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85D9" lockStructure="1"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etup" sheetId="3" state="visible" r:id="rId3"/>
    <sheet name="Inventory" sheetId="4" state="visible" r:id="rId4"/>
    <sheet name="Purchases" sheetId="5" state="visible" r:id="rId5"/>
    <sheet name="Sales" sheetId="6" state="visible" r:id="rId6"/>
    <sheet name="Price Calculator" sheetId="7" state="visible" r:id="rId7"/>
    <sheet name="Price List" sheetId="8" state="visible" r:id="rId8"/>
    <sheet name="Help" sheetId="9" state="visible" r:id="rId9"/>
    <sheet name="Lists" sheetId="10" state="hidden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0.0"/>
  </numFmts>
  <fonts count="13">
    <font>
      <name val="Calibri"/>
      <family val="2"/>
      <color theme="1"/>
      <sz val="11"/>
      <scheme val="minor"/>
    </font>
    <font>
      <name val="Inter"/>
      <b val="1"/>
      <color rgb="00FFFFFF"/>
      <sz val="18"/>
    </font>
    <font>
      <name val="Inter"/>
      <i val="1"/>
      <color rgb="005A6472"/>
      <sz val="10"/>
    </font>
    <font>
      <name val="Inter"/>
      <b val="1"/>
      <color rgb="00183153"/>
      <sz val="11"/>
    </font>
    <font>
      <name val="Inter"/>
      <color rgb="00183153"/>
      <sz val="10"/>
    </font>
    <font>
      <name val="Inter"/>
      <color rgb="005A6472"/>
      <sz val="9"/>
    </font>
    <font>
      <name val="Inter"/>
      <color rgb="00183153"/>
      <sz val="9"/>
    </font>
    <font>
      <name val="Inter"/>
      <b val="1"/>
      <color rgb="005A6472"/>
      <sz val="8"/>
    </font>
    <font>
      <name val="IBM Plex Mono"/>
      <b val="1"/>
      <color rgb="00183153"/>
      <sz val="13"/>
    </font>
    <font>
      <name val="Inter"/>
      <b val="1"/>
      <color rgb="00183153"/>
      <sz val="9"/>
    </font>
    <font>
      <name val="IBM Plex Mono"/>
      <b val="1"/>
      <color rgb="00183153"/>
      <sz val="9"/>
    </font>
    <font>
      <name val="Inter"/>
      <b val="1"/>
      <color rgb="005A6472"/>
      <sz val="9"/>
    </font>
    <font>
      <name val="IBM Plex Mono"/>
      <b val="1"/>
      <color rgb="00183153"/>
      <sz val="10"/>
    </font>
  </fonts>
  <fills count="11">
    <fill>
      <patternFill/>
    </fill>
    <fill>
      <patternFill patternType="gray125"/>
    </fill>
    <fill>
      <patternFill patternType="solid">
        <fgColor rgb="00137A8A"/>
      </patternFill>
    </fill>
    <fill>
      <patternFill patternType="solid">
        <fgColor rgb="00F5F7F2"/>
      </patternFill>
    </fill>
    <fill>
      <patternFill patternType="solid">
        <fgColor rgb="00DDEBF7"/>
      </patternFill>
    </fill>
    <fill>
      <patternFill patternType="solid">
        <fgColor rgb="00FAFBFC"/>
      </patternFill>
    </fill>
    <fill>
      <patternFill patternType="solid">
        <fgColor rgb="00D96C47"/>
      </patternFill>
    </fill>
    <fill>
      <patternFill patternType="solid">
        <fgColor rgb="00D9A441"/>
      </patternFill>
    </fill>
    <fill>
      <patternFill patternType="solid">
        <fgColor rgb="00DDEFD8"/>
      </patternFill>
    </fill>
    <fill>
      <patternFill patternType="solid">
        <fgColor rgb="00FFF1B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8E1E8"/>
      </left>
      <right style="thin">
        <color rgb="00D8E1E8"/>
      </right>
      <top style="thin">
        <color rgb="00D8E1E8"/>
      </top>
      <bottom style="thin">
        <color rgb="00D8E1E8"/>
      </bottom>
    </border>
    <border>
      <left style="thin">
        <color rgb="00D8E1E8"/>
      </left>
      <right style="thin">
        <color rgb="00D8E1E8"/>
      </right>
      <top style="medium">
        <color rgb="00137A8A"/>
      </top>
      <bottom style="medium">
        <color rgb="00137A8A"/>
      </bottom>
    </border>
    <border>
      <left style="medium">
        <color rgb="00137A8A"/>
      </left>
      <right style="thin">
        <color rgb="00D8E1E8"/>
      </right>
      <top style="medium">
        <color rgb="00137A8A"/>
      </top>
      <bottom style="medium">
        <color rgb="00137A8A"/>
      </bottom>
    </border>
    <border>
      <left style="thin">
        <color rgb="00D8E1E8"/>
      </left>
      <right style="medium">
        <color rgb="00137A8A"/>
      </right>
      <top style="medium">
        <color rgb="00137A8A"/>
      </top>
      <bottom style="medium">
        <color rgb="00137A8A"/>
      </bottom>
    </border>
    <border>
      <left style="thin">
        <color rgb="00D8E1E8"/>
      </left>
      <right style="thin">
        <color rgb="00D8E1E8"/>
      </right>
      <top style="thin">
        <color rgb="00D8E1E8"/>
      </top>
      <bottom style="medium">
        <color rgb="00137A8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5" borderId="1" pivotButton="0" quotePrefix="0" xfId="0"/>
    <xf numFmtId="1" fontId="8" fillId="4" borderId="1" pivotButton="0" quotePrefix="0" xfId="0"/>
    <xf numFmtId="1" fontId="8" fillId="6" borderId="1" pivotButton="0" quotePrefix="0" xfId="0"/>
    <xf numFmtId="1" fontId="8" fillId="7" borderId="1" pivotButton="0" quotePrefix="0" xfId="0"/>
    <xf numFmtId="164" fontId="8" fillId="8" borderId="1" pivotButton="0" quotePrefix="0" xfId="0"/>
    <xf numFmtId="164" fontId="8" fillId="9" borderId="1" pivotButton="0" quotePrefix="0" xfId="0"/>
    <xf numFmtId="164" fontId="8" fillId="4" borderId="1" pivotButton="0" quotePrefix="0" xfId="0"/>
    <xf numFmtId="0" fontId="9" fillId="5" borderId="2" applyAlignment="1" pivotButton="0" quotePrefix="0" xfId="0">
      <alignment horizontal="center" vertical="center"/>
    </xf>
    <xf numFmtId="0" fontId="6" fillId="10" borderId="1" pivotButton="0" quotePrefix="0" xfId="0"/>
    <xf numFmtId="0" fontId="10" fillId="4" borderId="1" pivotButton="0" quotePrefix="0" xfId="0"/>
    <xf numFmtId="0" fontId="11" fillId="0" borderId="3" pivotButton="0" quotePrefix="0" xfId="0"/>
    <xf numFmtId="0" fontId="12" fillId="9" borderId="4" applyProtection="1" pivotButton="0" quotePrefix="0" xfId="0">
      <protection locked="0" hidden="0"/>
    </xf>
    <xf numFmtId="165" fontId="12" fillId="9" borderId="4" applyProtection="1" pivotButton="0" quotePrefix="0" xfId="0">
      <protection locked="0" hidden="0"/>
    </xf>
    <xf numFmtId="0" fontId="6" fillId="0" borderId="0" pivotButton="0" quotePrefix="0" xfId="0"/>
    <xf numFmtId="0" fontId="12" fillId="9" borderId="4" pivotButton="0" quotePrefix="0" xfId="0"/>
    <xf numFmtId="0" fontId="6" fillId="9" borderId="1" applyAlignment="1" applyProtection="1" pivotButton="0" quotePrefix="0" xfId="0">
      <alignment horizontal="left"/>
      <protection locked="0" hidden="0"/>
    </xf>
    <xf numFmtId="1" fontId="6" fillId="9" borderId="1" applyAlignment="1" applyProtection="1" pivotButton="0" quotePrefix="0" xfId="0">
      <alignment horizontal="center"/>
      <protection locked="0" hidden="0"/>
    </xf>
    <xf numFmtId="1" fontId="6" fillId="4" borderId="1" applyAlignment="1" pivotButton="0" quotePrefix="0" xfId="0">
      <alignment horizontal="center"/>
    </xf>
    <xf numFmtId="164" fontId="6" fillId="9" borderId="1" applyAlignment="1" applyProtection="1" pivotButton="0" quotePrefix="0" xfId="0">
      <alignment horizontal="center"/>
      <protection locked="0" hidden="0"/>
    </xf>
    <xf numFmtId="164" fontId="6" fillId="4" borderId="1" applyAlignment="1" pivotButton="0" quotePrefix="0" xfId="0">
      <alignment horizontal="center"/>
    </xf>
    <xf numFmtId="2" fontId="6" fillId="4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9" fillId="5" borderId="5" pivotButton="0" quotePrefix="0" xfId="0"/>
    <xf numFmtId="1" fontId="9" fillId="5" borderId="5" pivotButton="0" quotePrefix="0" xfId="0"/>
    <xf numFmtId="164" fontId="9" fillId="5" borderId="5" pivotButton="0" quotePrefix="0" xfId="0"/>
    <xf numFmtId="165" fontId="6" fillId="9" borderId="1" applyAlignment="1" applyProtection="1" pivotButton="0" quotePrefix="0" xfId="0">
      <alignment horizontal="left"/>
      <protection locked="0" hidden="0"/>
    </xf>
    <xf numFmtId="164" fontId="6" fillId="4" borderId="1" applyAlignment="1" applyProtection="1" pivotButton="0" quotePrefix="0" xfId="0">
      <alignment horizontal="center"/>
      <protection locked="0" hidden="0"/>
    </xf>
    <xf numFmtId="9" fontId="6" fillId="9" borderId="1" applyAlignment="1" applyProtection="1" pivotButton="0" quotePrefix="0" xfId="0">
      <alignment horizontal="center"/>
      <protection locked="0" hidden="0"/>
    </xf>
    <xf numFmtId="9" fontId="6" fillId="4" borderId="1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/>
      <protection locked="0" hidden="0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value by item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'Inventory'!K4</f>
            </strRef>
          </tx>
          <spPr>
            <a:ln>
              <a:prstDash val="solid"/>
            </a:ln>
          </spPr>
          <cat>
            <numRef>
              <f>'Inventory'!$B$5:$B$104</f>
            </numRef>
          </cat>
          <val>
            <numRef>
              <f>'Inventory'!$K$5:$K$104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'Dashboard'!B9</f>
            </strRef>
          </tx>
          <spPr>
            <a:ln>
              <a:prstDash val="solid"/>
            </a:ln>
          </spPr>
          <cat>
            <numRef>
              <f>'Dashboard'!$A$10:$A$14</f>
            </numRef>
          </cat>
          <val>
            <numRef>
              <f>'Dashboard'!$B$10:$B$14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BeatsPerfect</author>
  </authors>
  <commentList>
    <comment ref="A4" authorId="0" shapeId="0">
      <text>
        <t>This workbook is designed to be edited from the yellow cells only.</t>
      </text>
    </comment>
  </commentList>
</comments>
</file>

<file path=xl/comments/comment2.xml><?xml version="1.0" encoding="utf-8"?>
<comments xmlns="http://schemas.openxmlformats.org/spreadsheetml/2006/main">
  <authors>
    <author>BeatsPerfect</author>
  </authors>
  <commentList>
    <comment ref="A4" authorId="0" shapeId="0">
      <text>
        <t>Use this sheet for support and limits.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52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7</row>
      <rowOff>0</rowOff>
    </from>
    <ext cx="37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4" customWidth="1" min="2" max="2"/>
    <col width="4" customWidth="1" min="3" max="3"/>
    <col width="40" customWidth="1" min="4" max="4"/>
  </cols>
  <sheetData>
    <row r="1" ht="28" customHeight="1">
      <c r="A1" s="1" t="inlineStr">
        <is>
          <t>Inventory Tracker Studio</t>
        </is>
      </c>
    </row>
    <row r="2" ht="22" customHeight="1">
      <c r="A2" s="2" t="inlineStr">
        <is>
          <t>Example review date is March 15. The seed sales are from the prior 30 days so Inventory can show real reorder behavior.</t>
        </is>
      </c>
    </row>
    <row r="4">
      <c r="A4" s="3" t="inlineStr">
        <is>
          <t>How the example works</t>
        </is>
      </c>
      <c r="D4" s="3" t="inlineStr">
        <is>
          <t>Editable areas</t>
        </is>
      </c>
    </row>
    <row r="5">
      <c r="A5" s="4" t="inlineStr">
        <is>
          <t>1. Setup reviews inventory on March 15 and looks back 30 days.</t>
        </is>
      </c>
      <c r="D5" s="4" t="inlineStr">
        <is>
          <t>Setup input cells</t>
        </is>
      </c>
    </row>
    <row r="6">
      <c r="A6" s="4" t="inlineStr">
        <is>
          <t>2. Sales contains recent February and March example orders for the seeded SKUs.</t>
        </is>
      </c>
      <c r="D6" s="4" t="inlineStr">
        <is>
          <t>Blank Inventory SKU, item, supplier, opening stock, unit cost, and notes rows</t>
        </is>
      </c>
    </row>
    <row r="7">
      <c r="A7" s="4" t="inlineStr">
        <is>
          <t>3. Inventory uses those sales to calculate velocity, days cover, projected stockout, reorder-by date, and suggested quantity.</t>
        </is>
      </c>
      <c r="D7" s="4" t="inlineStr">
        <is>
          <t>Blank Purchase log rows</t>
        </is>
      </c>
    </row>
    <row r="8">
      <c r="A8" s="4" t="inlineStr">
        <is>
          <t>4. Read Inventory for the next action: fix stock data, order now, order this week, plan reorder, or no action.</t>
        </is>
      </c>
      <c r="D8" s="4" t="inlineStr">
        <is>
          <t>Blank Sales log rows</t>
        </is>
      </c>
    </row>
    <row r="9">
      <c r="A9" s="4" t="inlineStr">
        <is>
          <t>5. Once you understand the example, replace the seed rows with your own SKUs, purchases, and last 30 days of sales.</t>
        </is>
      </c>
      <c r="D9" s="4" t="inlineStr">
        <is>
          <t>Blank Price Calculator rows</t>
        </is>
      </c>
    </row>
    <row r="11">
      <c r="D11" s="3" t="inlineStr">
        <is>
          <t>Leave alone</t>
        </is>
      </c>
    </row>
    <row r="12">
      <c r="D12" s="4" t="inlineStr">
        <is>
          <t>Dashboard formulas and charts</t>
        </is>
      </c>
    </row>
    <row r="13">
      <c r="A13" s="3" t="inlineStr">
        <is>
          <t>When the workbook gets full</t>
        </is>
      </c>
      <c r="D13" s="4" t="inlineStr">
        <is>
          <t>Inventory status formulas</t>
        </is>
      </c>
    </row>
    <row r="14">
      <c r="A14" s="5" t="inlineStr">
        <is>
          <t>Make a fresh copy, bring over your Inventory list and the last 30 days of Sales, then continue tracking there.</t>
        </is>
      </c>
      <c r="D14" s="4" t="inlineStr">
        <is>
          <t>Sales profit formulas</t>
        </is>
      </c>
    </row>
    <row r="15">
      <c r="D15" s="4" t="inlineStr">
        <is>
          <t>Price List snapshot formulas</t>
        </is>
      </c>
    </row>
    <row r="16">
      <c r="A16" s="3" t="inlineStr">
        <is>
          <t>What this is not</t>
        </is>
      </c>
    </row>
    <row r="17">
      <c r="A17" s="4" t="inlineStr">
        <is>
          <t>• Not a subscription app</t>
        </is>
      </c>
      <c r="D17" s="3" t="inlineStr">
        <is>
          <t>Seed and working capacity</t>
        </is>
      </c>
    </row>
    <row r="18">
      <c r="A18" s="4" t="inlineStr">
        <is>
          <t>• Not bank-connected</t>
        </is>
      </c>
      <c r="D18" s="6" t="inlineStr">
        <is>
          <t>Seed rows show a real 30-day sales example. Blank rows are ready for your data while formulas cover 100 inventory rows, 300 purchases, 500 sales, 100 calculator rows, and 100 price-list rows.</t>
        </is>
      </c>
    </row>
    <row r="19">
      <c r="A19" s="4" t="inlineStr">
        <is>
          <t>• Not tax or accounting advice</t>
        </is>
      </c>
    </row>
    <row r="20">
      <c r="A20" s="4" t="inlineStr">
        <is>
          <t>• Not a live inventory service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H2"/>
    <mergeCell ref="A1:H1"/>
  </mergeCells>
  <printOptions horizontalCentered="0" verticalCentered="0"/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 ht="28" customHeight="1">
      <c r="A1" s="1" t="inlineStr">
        <is>
          <t>Dashboard</t>
        </is>
      </c>
    </row>
    <row r="2" ht="22" customHeight="1">
      <c r="A2" s="2" t="inlineStr">
        <is>
          <t>The replenishment decision surface: what to reorder, when, and how much.</t>
        </is>
      </c>
    </row>
    <row r="4">
      <c r="B4" s="7" t="inlineStr">
        <is>
          <t>Seed SKUs</t>
        </is>
      </c>
      <c r="D4" s="7" t="inlineStr">
        <is>
          <t>Order now</t>
        </is>
      </c>
      <c r="F4" s="7" t="inlineStr">
        <is>
          <t>Order qty</t>
        </is>
      </c>
      <c r="H4" s="7" t="inlineStr">
        <is>
          <t>Inventory value</t>
        </is>
      </c>
      <c r="J4" s="7" t="inlineStr">
        <is>
          <t>Purchase spend</t>
        </is>
      </c>
      <c r="L4" s="7" t="inlineStr">
        <is>
          <t>Sales revenue</t>
        </is>
      </c>
      <c r="N4" s="7" t="inlineStr">
        <is>
          <t>Gross profit</t>
        </is>
      </c>
    </row>
    <row r="5">
      <c r="B5" s="8">
        <f>COUNTA(Inventory!A5:A104)</f>
        <v/>
      </c>
      <c r="D5" s="9">
        <f>COUNTIF(Inventory!S5:S104,"Order now")</f>
        <v/>
      </c>
      <c r="F5" s="10">
        <f>SUM(Inventory!Q5:Q104)</f>
        <v/>
      </c>
      <c r="H5" s="11">
        <f>SUM(Inventory!K5:K104)</f>
        <v/>
      </c>
      <c r="J5" s="12">
        <f>SUM(Purchases!G5:G304)</f>
        <v/>
      </c>
      <c r="L5" s="13">
        <f>SUM(Sales!G5:G504)</f>
        <v/>
      </c>
      <c r="N5" s="11">
        <f>SUM(Sales!I5:I504)</f>
        <v/>
      </c>
    </row>
    <row r="8">
      <c r="A8" s="3" t="inlineStr">
        <is>
          <t>Reorder action mix</t>
        </is>
      </c>
    </row>
    <row r="9">
      <c r="A9" s="14" t="inlineStr">
        <is>
          <t>Status</t>
        </is>
      </c>
      <c r="B9" s="14" t="inlineStr">
        <is>
          <t>Count</t>
        </is>
      </c>
    </row>
    <row r="10">
      <c r="A10" s="15" t="inlineStr">
        <is>
          <t>Fix stock data</t>
        </is>
      </c>
      <c r="B10" s="16">
        <f>COUNTIF(Inventory!S5:S104,"Fix stock data")</f>
        <v/>
      </c>
    </row>
    <row r="11">
      <c r="A11" s="15" t="inlineStr">
        <is>
          <t>Order now</t>
        </is>
      </c>
      <c r="B11" s="16">
        <f>COUNTIF(Inventory!S5:S104,"Order now")</f>
        <v/>
      </c>
    </row>
    <row r="12">
      <c r="A12" s="15" t="inlineStr">
        <is>
          <t>Order this week</t>
        </is>
      </c>
      <c r="B12" s="16">
        <f>COUNTIF(Inventory!S5:S104,"Order this week")</f>
        <v/>
      </c>
    </row>
    <row r="13">
      <c r="A13" s="15" t="inlineStr">
        <is>
          <t>Plan reorder</t>
        </is>
      </c>
      <c r="B13" s="16">
        <f>COUNTIF(Inventory!S5:S104,"Plan reorder")</f>
        <v/>
      </c>
    </row>
    <row r="14">
      <c r="A14" s="15" t="inlineStr">
        <is>
          <t>No action</t>
        </is>
      </c>
      <c r="B14" s="16">
        <f>COUNTIF(Inventory!S5:S104,"No action")</f>
        <v/>
      </c>
    </row>
    <row r="16">
      <c r="A16" s="3" t="inlineStr">
        <is>
          <t>Top notes</t>
        </is>
      </c>
    </row>
    <row r="17">
      <c r="A17" s="4" t="inlineStr">
        <is>
          <t>• Use Setup first, then Inventory.</t>
        </is>
      </c>
    </row>
    <row r="18">
      <c r="A18" s="4" t="inlineStr">
        <is>
          <t>• Inventory outputs action, dates, quantity, velocity, derived reorder point, lead time, and safety stock.</t>
        </is>
      </c>
    </row>
    <row r="19">
      <c r="A19" s="4" t="inlineStr">
        <is>
          <t>• Rows after the seed examples are blank for buyer use but keep formulas and validation.</t>
        </is>
      </c>
    </row>
    <row r="20">
      <c r="A20" s="4" t="inlineStr">
        <is>
          <t>• If sales exceed available stock, action changes to Fix stock data before any reorder advice.</t>
        </is>
      </c>
    </row>
    <row r="21">
      <c r="A21" s="4" t="inlineStr">
        <is>
          <t>• Price Calculator helps you test margins before listing.</t>
        </is>
      </c>
    </row>
    <row r="22">
      <c r="A22" s="4" t="inlineStr">
        <is>
          <t>• Price List stores the approved price snapshot.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P1"/>
    <mergeCell ref="A2:P2"/>
  </mergeCells>
  <printOptions horizontalCentered="0" verticalCentered="0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2" customWidth="1" min="4" max="4"/>
  </cols>
  <sheetData>
    <row r="1" ht="28" customHeight="1">
      <c r="A1" s="1" t="inlineStr">
        <is>
          <t>Setup</t>
        </is>
      </c>
    </row>
    <row r="2" ht="22" customHeight="1">
      <c r="A2" s="2" t="inlineStr">
        <is>
          <t>Choose the defaults that drive replenishment, stock, and pricing formulas.</t>
        </is>
      </c>
    </row>
    <row r="4">
      <c r="A4" s="17" t="inlineStr">
        <is>
          <t>Currency symbol</t>
        </is>
      </c>
      <c r="B4" s="18" t="inlineStr">
        <is>
          <t>$</t>
        </is>
      </c>
      <c r="D4" s="3" t="inlineStr">
        <is>
          <t>Categories</t>
        </is>
      </c>
    </row>
    <row r="5">
      <c r="A5" s="17" t="inlineStr">
        <is>
          <t>Review date</t>
        </is>
      </c>
      <c r="B5" s="19" t="n">
        <v>46096</v>
      </c>
      <c r="D5" s="6" t="inlineStr">
        <is>
          <t>Accessories, Drinkware, Stationery, Home, Wall Art, Apparel</t>
        </is>
      </c>
    </row>
    <row r="6">
      <c r="A6" s="17" t="inlineStr">
        <is>
          <t>Sales lookback days</t>
        </is>
      </c>
      <c r="B6" s="18" t="n">
        <v>30</v>
      </c>
    </row>
    <row r="7">
      <c r="A7" s="17" t="inlineStr">
        <is>
          <t>Sales tax</t>
        </is>
      </c>
      <c r="B7" s="18" t="n">
        <v>0.1</v>
      </c>
      <c r="D7" s="3" t="inlineStr">
        <is>
          <t>Editable cells</t>
        </is>
      </c>
    </row>
    <row r="8">
      <c r="A8" s="17" t="inlineStr">
        <is>
          <t>Marketplace fee</t>
        </is>
      </c>
      <c r="B8" s="18" t="n">
        <v>0.13</v>
      </c>
      <c r="D8" s="20" t="inlineStr">
        <is>
          <t>Yellow input cells in Setup, Inventory, Purchases, Sales, and Price Calculator.</t>
        </is>
      </c>
    </row>
    <row r="9">
      <c r="A9" s="17" t="inlineStr">
        <is>
          <t>Target margin</t>
        </is>
      </c>
      <c r="B9" s="18" t="n">
        <v>0.45</v>
      </c>
    </row>
    <row r="10">
      <c r="A10" s="17" t="inlineStr">
        <is>
          <t>Reorder point policy</t>
        </is>
      </c>
      <c r="B10" s="21" t="inlineStr">
        <is>
          <t>Derived from velocity, lead time, and safety stock</t>
        </is>
      </c>
    </row>
    <row r="11">
      <c r="A11" s="17" t="inlineStr">
        <is>
          <t>Lead time days</t>
        </is>
      </c>
      <c r="B11" s="18" t="n">
        <v>14</v>
      </c>
    </row>
    <row r="12">
      <c r="A12" s="17" t="inlineStr">
        <is>
          <t>Safety stock days</t>
        </is>
      </c>
      <c r="B12" s="18" t="n">
        <v>7</v>
      </c>
    </row>
    <row r="13">
      <c r="A13" s="17" t="inlineStr">
        <is>
          <t>Default pack size</t>
        </is>
      </c>
      <c r="B13" s="18" t="n">
        <v>6</v>
      </c>
      <c r="D13" s="3" t="inlineStr">
        <is>
          <t>Workbook capacity</t>
        </is>
      </c>
    </row>
    <row r="14">
      <c r="A14" s="17" t="inlineStr">
        <is>
          <t>Support note</t>
        </is>
      </c>
      <c r="B14" s="18" t="inlineStr">
        <is>
          <t>Use the workbook for stock, purchases, sales, and pricing.</t>
        </is>
      </c>
      <c r="D14" s="6" t="inlineStr">
        <is>
          <t>The delivered workbook ships with a few seed examples plus blank formula-ready rows: 100 inventory rows, 300 purchase rows, 500 sales rows, 100 calculator rows, and 100 price-list rows.</t>
        </is>
      </c>
    </row>
    <row r="16">
      <c r="D16" s="3" t="inlineStr">
        <is>
          <t>Unsupported</t>
        </is>
      </c>
    </row>
    <row r="17">
      <c r="D17" s="20" t="inlineStr">
        <is>
          <t>Live bank sync, tax filing, and custom bookkeeping.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F2"/>
    <mergeCell ref="A1:F1"/>
  </mergeCells>
  <dataValidations count="2">
    <dataValidation sqref="B7:B9" showDropDown="0" showInputMessage="0" showErrorMessage="0" allowBlank="0" type="decimal" operator="between">
      <formula1>0</formula1>
      <formula2>1</formula2>
    </dataValidation>
    <dataValidation sqref="B11:B13" showDropDown="0" showInputMessage="0" showErrorMessage="0" allowBlank="0" type="whole" operator="greaterThanOrEqual">
      <formula1>0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1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13" customWidth="1" min="5" max="5"/>
    <col width="11" customWidth="1" min="6" max="6"/>
    <col width="10" customWidth="1" min="7" max="7"/>
    <col width="11" customWidth="1" min="8" max="8"/>
    <col width="13" customWidth="1" min="9" max="9"/>
    <col width="12" customWidth="1" min="10" max="10"/>
    <col width="15" customWidth="1" min="11" max="11"/>
    <col width="17" customWidth="1" min="12" max="12"/>
    <col width="12" customWidth="1" min="13" max="13"/>
    <col width="18" customWidth="1" min="14" max="14"/>
    <col width="14" customWidth="1" min="15" max="15"/>
    <col width="13" customWidth="1" min="16" max="16"/>
    <col width="18" customWidth="1" min="17" max="17"/>
    <col width="14" customWidth="1" min="18" max="18"/>
    <col width="16" customWidth="1" min="19" max="19"/>
    <col width="14" customWidth="1" min="20" max="20"/>
    <col width="24" customWidth="1" min="21" max="21"/>
  </cols>
  <sheetData>
    <row r="1" ht="28" customHeight="1">
      <c r="A1" s="1" t="inlineStr">
        <is>
          <t>Inventory</t>
        </is>
      </c>
    </row>
    <row r="2" ht="22" customHeight="1">
      <c r="A2" s="2" t="inlineStr">
        <is>
          <t>Decide what to reorder, when to reorder it, and how much to buy.</t>
        </is>
      </c>
    </row>
    <row r="4">
      <c r="A4" s="14" t="inlineStr">
        <is>
          <t>SKU</t>
        </is>
      </c>
      <c r="B4" s="14" t="inlineStr">
        <is>
          <t>Item</t>
        </is>
      </c>
      <c r="C4" s="14" t="inlineStr">
        <is>
          <t>Category</t>
        </is>
      </c>
      <c r="D4" s="14" t="inlineStr">
        <is>
          <t>Supplier</t>
        </is>
      </c>
      <c r="E4" s="14" t="inlineStr">
        <is>
          <t>Opening Stock</t>
        </is>
      </c>
      <c r="F4" s="14" t="inlineStr">
        <is>
          <t>Purchases</t>
        </is>
      </c>
      <c r="G4" s="14" t="inlineStr">
        <is>
          <t>Sales</t>
        </is>
      </c>
      <c r="H4" s="14" t="inlineStr">
        <is>
          <t>On Hand</t>
        </is>
      </c>
      <c r="I4" s="14" t="inlineStr">
        <is>
          <t>Derived Reorder Point</t>
        </is>
      </c>
      <c r="J4" s="14" t="inlineStr">
        <is>
          <t>Unit Cost</t>
        </is>
      </c>
      <c r="K4" s="14" t="inlineStr">
        <is>
          <t>Inventory Value</t>
        </is>
      </c>
      <c r="L4" s="14" t="inlineStr">
        <is>
          <t>Sales Velocity/Day</t>
        </is>
      </c>
      <c r="M4" s="14" t="inlineStr">
        <is>
          <t>Days Cover</t>
        </is>
      </c>
      <c r="N4" s="14" t="inlineStr">
        <is>
          <t>Projected Stockout</t>
        </is>
      </c>
      <c r="O4" s="14" t="inlineStr">
        <is>
          <t>Lead Time Used</t>
        </is>
      </c>
      <c r="P4" s="14" t="inlineStr">
        <is>
          <t>Safety Stock</t>
        </is>
      </c>
      <c r="Q4" s="14" t="inlineStr">
        <is>
          <t>Suggested Order Qty</t>
        </is>
      </c>
      <c r="R4" s="14" t="inlineStr">
        <is>
          <t>Reorder By</t>
        </is>
      </c>
      <c r="S4" s="14" t="inlineStr">
        <is>
          <t>Reorder Action</t>
        </is>
      </c>
      <c r="T4" s="14" t="inlineStr">
        <is>
          <t>Status</t>
        </is>
      </c>
      <c r="U4" s="14" t="inlineStr">
        <is>
          <t>Notes</t>
        </is>
      </c>
    </row>
    <row r="5">
      <c r="A5" s="22" t="inlineStr">
        <is>
          <t>SKU-001</t>
        </is>
      </c>
      <c r="B5" s="22" t="inlineStr">
        <is>
          <t>Canvas Tote - Sand</t>
        </is>
      </c>
      <c r="C5" s="22" t="inlineStr">
        <is>
          <t>Accessories</t>
        </is>
      </c>
      <c r="D5" s="22" t="inlineStr">
        <is>
          <t>Northstar Wholesale</t>
        </is>
      </c>
      <c r="E5" s="23" t="n">
        <v>24</v>
      </c>
      <c r="F5" s="24">
        <f>IF($A5="","",SUMIFS(Purchases!$D$5:$D$304,Purchases!$B$5:$B$304,$A5))</f>
        <v/>
      </c>
      <c r="G5" s="24">
        <f>IF($A5="","",SUMIFS(Sales!$D$5:$D$504,Sales!$B$5:$B$504,$A5))</f>
        <v/>
      </c>
      <c r="H5" s="24">
        <f>IF($A5="","",MAX(0,(E5+F5-G5)))</f>
        <v/>
      </c>
      <c r="I5" s="24">
        <f>IF($A5="","",ROUNDUP(L5*O5+P5,0))</f>
        <v/>
      </c>
      <c r="J5" s="25" t="n">
        <v>0.95</v>
      </c>
      <c r="K5" s="26">
        <f>IF($A5="","",H5*J5)</f>
        <v/>
      </c>
      <c r="L5" s="27">
        <f>IF($A5="","",IFERROR(SUMIFS(Sales!$D$5:$D$504,Sales!$B$5:$B$504,$A5,Sales!$A$5:$A$504,"&gt;="&amp;Setup!$B$5-Setup!$B$6,Sales!$A$5:$A$504,"&lt;="&amp;Setup!$B$5)/Setup!$B$6,0))</f>
        <v/>
      </c>
      <c r="M5" s="28">
        <f>IF($A5="","",IF(L5&lt;=0,999,H5/L5))</f>
        <v/>
      </c>
      <c r="N5" s="29">
        <f>IF($A5="","",IF(L5&lt;=0,"No recent sales",Setup!$B$5+M5))</f>
        <v/>
      </c>
      <c r="O5" s="24">
        <f>IF($A5="","",Setup!$B$11)</f>
        <v/>
      </c>
      <c r="P5" s="24">
        <f>IF($A5="","",ROUNDUP(L5*Setup!$B$12,0))</f>
        <v/>
      </c>
      <c r="Q5" s="24">
        <f>IF($A5="","",IF((E5+F5-G5)&lt;0,0,IF(MAX(0,ROUNDUP(I5-H5,0))=0,0,CEILING(MAX(0,ROUNDUP(I5-H5,0)),Setup!$B$13))))</f>
        <v/>
      </c>
      <c r="R5" s="29">
        <f>IF($A5="","",IF(L5&lt;=0,"No sales signal",N5-O5))</f>
        <v/>
      </c>
      <c r="S5" s="30">
        <f>IF($A5="","",IF((E5+F5-G5)&lt;0,"Fix stock data",IF(R5="No sales signal","No action",IF(R5&lt;=Setup!$B$5,"Order now",IF(R5&lt;=Setup!$B$5+7,"Order this week",IF(H5&lt;=I5,"Plan reorder","No action"))))))</f>
        <v/>
      </c>
      <c r="T5" s="30">
        <f>IF($A5="","",IF((E5+F5-G5)&lt;0,"Review stock data",IF(H5=0,"Out of stock",IF(H5&lt;=I5,"Reorder soon","Healthy"))))</f>
        <v/>
      </c>
      <c r="U5" s="22" t="inlineStr">
        <is>
          <t>Reusable carry tote / batch 1</t>
        </is>
      </c>
    </row>
    <row r="6">
      <c r="A6" s="22" t="inlineStr">
        <is>
          <t>SKU-002</t>
        </is>
      </c>
      <c r="B6" s="22" t="inlineStr">
        <is>
          <t>Canvas Tote - Olive</t>
        </is>
      </c>
      <c r="C6" s="22" t="inlineStr">
        <is>
          <t>Accessories</t>
        </is>
      </c>
      <c r="D6" s="22" t="inlineStr">
        <is>
          <t>Northstar Wholesale</t>
        </is>
      </c>
      <c r="E6" s="23" t="n">
        <v>27</v>
      </c>
      <c r="F6" s="24">
        <f>IF($A6="","",SUMIFS(Purchases!$D$5:$D$304,Purchases!$B$5:$B$304,$A6))</f>
        <v/>
      </c>
      <c r="G6" s="24">
        <f>IF($A6="","",SUMIFS(Sales!$D$5:$D$504,Sales!$B$5:$B$504,$A6))</f>
        <v/>
      </c>
      <c r="H6" s="24">
        <f>IF($A6="","",MAX(0,(E6+F6-G6)))</f>
        <v/>
      </c>
      <c r="I6" s="24">
        <f>IF($A6="","",ROUNDUP(L6*O6+P6,0))</f>
        <v/>
      </c>
      <c r="J6" s="25" t="n">
        <v>1.12</v>
      </c>
      <c r="K6" s="26">
        <f>IF($A6="","",H6*J6)</f>
        <v/>
      </c>
      <c r="L6" s="27">
        <f>IF($A6="","",IFERROR(SUMIFS(Sales!$D$5:$D$504,Sales!$B$5:$B$504,$A6,Sales!$A$5:$A$504,"&gt;="&amp;Setup!$B$5-Setup!$B$6,Sales!$A$5:$A$504,"&lt;="&amp;Setup!$B$5)/Setup!$B$6,0))</f>
        <v/>
      </c>
      <c r="M6" s="28">
        <f>IF($A6="","",IF(L6&lt;=0,999,H6/L6))</f>
        <v/>
      </c>
      <c r="N6" s="29">
        <f>IF($A6="","",IF(L6&lt;=0,"No recent sales",Setup!$B$5+M6))</f>
        <v/>
      </c>
      <c r="O6" s="24">
        <f>IF($A6="","",Setup!$B$11)</f>
        <v/>
      </c>
      <c r="P6" s="24">
        <f>IF($A6="","",ROUNDUP(L6*Setup!$B$12,0))</f>
        <v/>
      </c>
      <c r="Q6" s="24">
        <f>IF($A6="","",IF((E6+F6-G6)&lt;0,0,IF(MAX(0,ROUNDUP(I6-H6,0))=0,0,CEILING(MAX(0,ROUNDUP(I6-H6,0)),Setup!$B$13))))</f>
        <v/>
      </c>
      <c r="R6" s="29">
        <f>IF($A6="","",IF(L6&lt;=0,"No sales signal",N6-O6))</f>
        <v/>
      </c>
      <c r="S6" s="30">
        <f>IF($A6="","",IF((E6+F6-G6)&lt;0,"Fix stock data",IF(R6="No sales signal","No action",IF(R6&lt;=Setup!$B$5,"Order now",IF(R6&lt;=Setup!$B$5+7,"Order this week",IF(H6&lt;=I6,"Plan reorder","No action"))))))</f>
        <v/>
      </c>
      <c r="T6" s="30">
        <f>IF($A6="","",IF((E6+F6-G6)&lt;0,"Review stock data",IF(H6=0,"Out of stock",IF(H6&lt;=I6,"Reorder soon","Healthy"))))</f>
        <v/>
      </c>
      <c r="U6" s="22" t="inlineStr">
        <is>
          <t>Reusable carry tote / batch 1</t>
        </is>
      </c>
    </row>
    <row r="7">
      <c r="A7" s="22" t="inlineStr">
        <is>
          <t>SKU-003</t>
        </is>
      </c>
      <c r="B7" s="22" t="inlineStr">
        <is>
          <t>Canvas Tote - Slate</t>
        </is>
      </c>
      <c r="C7" s="22" t="inlineStr">
        <is>
          <t>Accessories</t>
        </is>
      </c>
      <c r="D7" s="22" t="inlineStr">
        <is>
          <t>Northstar Wholesale</t>
        </is>
      </c>
      <c r="E7" s="23" t="n">
        <v>24</v>
      </c>
      <c r="F7" s="24">
        <f>IF($A7="","",SUMIFS(Purchases!$D$5:$D$304,Purchases!$B$5:$B$304,$A7))</f>
        <v/>
      </c>
      <c r="G7" s="24">
        <f>IF($A7="","",SUMIFS(Sales!$D$5:$D$504,Sales!$B$5:$B$504,$A7))</f>
        <v/>
      </c>
      <c r="H7" s="24">
        <f>IF($A7="","",MAX(0,(E7+F7-G7)))</f>
        <v/>
      </c>
      <c r="I7" s="24">
        <f>IF($A7="","",ROUNDUP(L7*O7+P7,0))</f>
        <v/>
      </c>
      <c r="J7" s="25" t="n">
        <v>1.29</v>
      </c>
      <c r="K7" s="26">
        <f>IF($A7="","",H7*J7)</f>
        <v/>
      </c>
      <c r="L7" s="27">
        <f>IF($A7="","",IFERROR(SUMIFS(Sales!$D$5:$D$504,Sales!$B$5:$B$504,$A7,Sales!$A$5:$A$504,"&gt;="&amp;Setup!$B$5-Setup!$B$6,Sales!$A$5:$A$504,"&lt;="&amp;Setup!$B$5)/Setup!$B$6,0))</f>
        <v/>
      </c>
      <c r="M7" s="28">
        <f>IF($A7="","",IF(L7&lt;=0,999,H7/L7))</f>
        <v/>
      </c>
      <c r="N7" s="29">
        <f>IF($A7="","",IF(L7&lt;=0,"No recent sales",Setup!$B$5+M7))</f>
        <v/>
      </c>
      <c r="O7" s="24">
        <f>IF($A7="","",Setup!$B$11)</f>
        <v/>
      </c>
      <c r="P7" s="24">
        <f>IF($A7="","",ROUNDUP(L7*Setup!$B$12,0))</f>
        <v/>
      </c>
      <c r="Q7" s="24">
        <f>IF($A7="","",IF((E7+F7-G7)&lt;0,0,IF(MAX(0,ROUNDUP(I7-H7,0))=0,0,CEILING(MAX(0,ROUNDUP(I7-H7,0)),Setup!$B$13))))</f>
        <v/>
      </c>
      <c r="R7" s="29">
        <f>IF($A7="","",IF(L7&lt;=0,"No sales signal",N7-O7))</f>
        <v/>
      </c>
      <c r="S7" s="30">
        <f>IF($A7="","",IF((E7+F7-G7)&lt;0,"Fix stock data",IF(R7="No sales signal","No action",IF(R7&lt;=Setup!$B$5,"Order now",IF(R7&lt;=Setup!$B$5+7,"Order this week",IF(H7&lt;=I7,"Plan reorder","No action"))))))</f>
        <v/>
      </c>
      <c r="T7" s="30">
        <f>IF($A7="","",IF((E7+F7-G7)&lt;0,"Review stock data",IF(H7=0,"Out of stock",IF(H7&lt;=I7,"Reorder soon","Healthy"))))</f>
        <v/>
      </c>
      <c r="U7" s="22" t="inlineStr">
        <is>
          <t>Reusable carry tote / batch 1</t>
        </is>
      </c>
    </row>
    <row r="8">
      <c r="A8" s="22" t="inlineStr">
        <is>
          <t>SKU-004</t>
        </is>
      </c>
      <c r="B8" s="22" t="inlineStr">
        <is>
          <t>Canvas Tote - Coral</t>
        </is>
      </c>
      <c r="C8" s="22" t="inlineStr">
        <is>
          <t>Accessories</t>
        </is>
      </c>
      <c r="D8" s="22" t="inlineStr">
        <is>
          <t>Northstar Wholesale</t>
        </is>
      </c>
      <c r="E8" s="23" t="n">
        <v>27</v>
      </c>
      <c r="F8" s="24">
        <f>IF($A8="","",SUMIFS(Purchases!$D$5:$D$304,Purchases!$B$5:$B$304,$A8))</f>
        <v/>
      </c>
      <c r="G8" s="24">
        <f>IF($A8="","",SUMIFS(Sales!$D$5:$D$504,Sales!$B$5:$B$504,$A8))</f>
        <v/>
      </c>
      <c r="H8" s="24">
        <f>IF($A8="","",MAX(0,(E8+F8-G8)))</f>
        <v/>
      </c>
      <c r="I8" s="24">
        <f>IF($A8="","",ROUNDUP(L8*O8+P8,0))</f>
        <v/>
      </c>
      <c r="J8" s="25" t="n">
        <v>1.46</v>
      </c>
      <c r="K8" s="26">
        <f>IF($A8="","",H8*J8)</f>
        <v/>
      </c>
      <c r="L8" s="27">
        <f>IF($A8="","",IFERROR(SUMIFS(Sales!$D$5:$D$504,Sales!$B$5:$B$504,$A8,Sales!$A$5:$A$504,"&gt;="&amp;Setup!$B$5-Setup!$B$6,Sales!$A$5:$A$504,"&lt;="&amp;Setup!$B$5)/Setup!$B$6,0))</f>
        <v/>
      </c>
      <c r="M8" s="28">
        <f>IF($A8="","",IF(L8&lt;=0,999,H8/L8))</f>
        <v/>
      </c>
      <c r="N8" s="29">
        <f>IF($A8="","",IF(L8&lt;=0,"No recent sales",Setup!$B$5+M8))</f>
        <v/>
      </c>
      <c r="O8" s="24">
        <f>IF($A8="","",Setup!$B$11)</f>
        <v/>
      </c>
      <c r="P8" s="24">
        <f>IF($A8="","",ROUNDUP(L8*Setup!$B$12,0))</f>
        <v/>
      </c>
      <c r="Q8" s="24">
        <f>IF($A8="","",IF((E8+F8-G8)&lt;0,0,IF(MAX(0,ROUNDUP(I8-H8,0))=0,0,CEILING(MAX(0,ROUNDUP(I8-H8,0)),Setup!$B$13))))</f>
        <v/>
      </c>
      <c r="R8" s="29">
        <f>IF($A8="","",IF(L8&lt;=0,"No sales signal",N8-O8))</f>
        <v/>
      </c>
      <c r="S8" s="30">
        <f>IF($A8="","",IF((E8+F8-G8)&lt;0,"Fix stock data",IF(R8="No sales signal","No action",IF(R8&lt;=Setup!$B$5,"Order now",IF(R8&lt;=Setup!$B$5+7,"Order this week",IF(H8&lt;=I8,"Plan reorder","No action"))))))</f>
        <v/>
      </c>
      <c r="T8" s="30">
        <f>IF($A8="","",IF((E8+F8-G8)&lt;0,"Review stock data",IF(H8=0,"Out of stock",IF(H8&lt;=I8,"Reorder soon","Healthy"))))</f>
        <v/>
      </c>
      <c r="U8" s="22" t="inlineStr">
        <is>
          <t>Reusable carry tote / batch 1</t>
        </is>
      </c>
    </row>
    <row r="9">
      <c r="A9" s="22" t="inlineStr">
        <is>
          <t>SKU-005</t>
        </is>
      </c>
      <c r="B9" s="22" t="inlineStr">
        <is>
          <t>Canvas Tote - Natural</t>
        </is>
      </c>
      <c r="C9" s="22" t="inlineStr">
        <is>
          <t>Accessories</t>
        </is>
      </c>
      <c r="D9" s="22" t="inlineStr">
        <is>
          <t>Northstar Wholesale</t>
        </is>
      </c>
      <c r="E9" s="23" t="n">
        <v>30</v>
      </c>
      <c r="F9" s="24">
        <f>IF($A9="","",SUMIFS(Purchases!$D$5:$D$304,Purchases!$B$5:$B$304,$A9))</f>
        <v/>
      </c>
      <c r="G9" s="24">
        <f>IF($A9="","",SUMIFS(Sales!$D$5:$D$504,Sales!$B$5:$B$504,$A9))</f>
        <v/>
      </c>
      <c r="H9" s="24">
        <f>IF($A9="","",MAX(0,(E9+F9-G9)))</f>
        <v/>
      </c>
      <c r="I9" s="24">
        <f>IF($A9="","",ROUNDUP(L9*O9+P9,0))</f>
        <v/>
      </c>
      <c r="J9" s="25" t="n">
        <v>1.63</v>
      </c>
      <c r="K9" s="26">
        <f>IF($A9="","",H9*J9)</f>
        <v/>
      </c>
      <c r="L9" s="27">
        <f>IF($A9="","",IFERROR(SUMIFS(Sales!$D$5:$D$504,Sales!$B$5:$B$504,$A9,Sales!$A$5:$A$504,"&gt;="&amp;Setup!$B$5-Setup!$B$6,Sales!$A$5:$A$504,"&lt;="&amp;Setup!$B$5)/Setup!$B$6,0))</f>
        <v/>
      </c>
      <c r="M9" s="28">
        <f>IF($A9="","",IF(L9&lt;=0,999,H9/L9))</f>
        <v/>
      </c>
      <c r="N9" s="29">
        <f>IF($A9="","",IF(L9&lt;=0,"No recent sales",Setup!$B$5+M9))</f>
        <v/>
      </c>
      <c r="O9" s="24">
        <f>IF($A9="","",Setup!$B$11)</f>
        <v/>
      </c>
      <c r="P9" s="24">
        <f>IF($A9="","",ROUNDUP(L9*Setup!$B$12,0))</f>
        <v/>
      </c>
      <c r="Q9" s="24">
        <f>IF($A9="","",IF((E9+F9-G9)&lt;0,0,IF(MAX(0,ROUNDUP(I9-H9,0))=0,0,CEILING(MAX(0,ROUNDUP(I9-H9,0)),Setup!$B$13))))</f>
        <v/>
      </c>
      <c r="R9" s="29">
        <f>IF($A9="","",IF(L9&lt;=0,"No sales signal",N9-O9))</f>
        <v/>
      </c>
      <c r="S9" s="30">
        <f>IF($A9="","",IF((E9+F9-G9)&lt;0,"Fix stock data",IF(R9="No sales signal","No action",IF(R9&lt;=Setup!$B$5,"Order now",IF(R9&lt;=Setup!$B$5+7,"Order this week",IF(H9&lt;=I9,"Plan reorder","No action"))))))</f>
        <v/>
      </c>
      <c r="T9" s="30">
        <f>IF($A9="","",IF((E9+F9-G9)&lt;0,"Review stock data",IF(H9=0,"Out of stock",IF(H9&lt;=I9,"Reorder soon","Healthy"))))</f>
        <v/>
      </c>
      <c r="U9" s="22" t="inlineStr">
        <is>
          <t>Reusable carry tote / batch 1</t>
        </is>
      </c>
    </row>
    <row r="10">
      <c r="A10" s="22" t="inlineStr">
        <is>
          <t>SKU-006</t>
        </is>
      </c>
      <c r="B10" s="22" t="inlineStr">
        <is>
          <t>Ceramic Mug - Sand</t>
        </is>
      </c>
      <c r="C10" s="22" t="inlineStr">
        <is>
          <t>Drinkware</t>
        </is>
      </c>
      <c r="D10" s="22" t="inlineStr">
        <is>
          <t>Harbor Supply</t>
        </is>
      </c>
      <c r="E10" s="23" t="n">
        <v>32</v>
      </c>
      <c r="F10" s="24">
        <f>IF($A10="","",SUMIFS(Purchases!$D$5:$D$304,Purchases!$B$5:$B$304,$A10))</f>
        <v/>
      </c>
      <c r="G10" s="24">
        <f>IF($A10="","",SUMIFS(Sales!$D$5:$D$504,Sales!$B$5:$B$504,$A10))</f>
        <v/>
      </c>
      <c r="H10" s="24">
        <f>IF($A10="","",MAX(0,(E10+F10-G10)))</f>
        <v/>
      </c>
      <c r="I10" s="24">
        <f>IF($A10="","",ROUNDUP(L10*O10+P10,0))</f>
        <v/>
      </c>
      <c r="J10" s="25" t="n">
        <v>2.1</v>
      </c>
      <c r="K10" s="26">
        <f>IF($A10="","",H10*J10)</f>
        <v/>
      </c>
      <c r="L10" s="27">
        <f>IF($A10="","",IFERROR(SUMIFS(Sales!$D$5:$D$504,Sales!$B$5:$B$504,$A10,Sales!$A$5:$A$504,"&gt;="&amp;Setup!$B$5-Setup!$B$6,Sales!$A$5:$A$504,"&lt;="&amp;Setup!$B$5)/Setup!$B$6,0))</f>
        <v/>
      </c>
      <c r="M10" s="28">
        <f>IF($A10="","",IF(L10&lt;=0,999,H10/L10))</f>
        <v/>
      </c>
      <c r="N10" s="29">
        <f>IF($A10="","",IF(L10&lt;=0,"No recent sales",Setup!$B$5+M10))</f>
        <v/>
      </c>
      <c r="O10" s="24">
        <f>IF($A10="","",Setup!$B$11)</f>
        <v/>
      </c>
      <c r="P10" s="24">
        <f>IF($A10="","",ROUNDUP(L10*Setup!$B$12,0))</f>
        <v/>
      </c>
      <c r="Q10" s="24">
        <f>IF($A10="","",IF((E10+F10-G10)&lt;0,0,IF(MAX(0,ROUNDUP(I10-H10,0))=0,0,CEILING(MAX(0,ROUNDUP(I10-H10,0)),Setup!$B$13))))</f>
        <v/>
      </c>
      <c r="R10" s="29">
        <f>IF($A10="","",IF(L10&lt;=0,"No sales signal",N10-O10))</f>
        <v/>
      </c>
      <c r="S10" s="30">
        <f>IF($A10="","",IF((E10+F10-G10)&lt;0,"Fix stock data",IF(R10="No sales signal","No action",IF(R10&lt;=Setup!$B$5,"Order now",IF(R10&lt;=Setup!$B$5+7,"Order this week",IF(H10&lt;=I10,"Plan reorder","No action"))))))</f>
        <v/>
      </c>
      <c r="T10" s="30">
        <f>IF($A10="","",IF((E10+F10-G10)&lt;0,"Review stock data",IF(H10=0,"Out of stock",IF(H10&lt;=I10,"Reorder soon","Healthy"))))</f>
        <v/>
      </c>
      <c r="U10" s="22" t="inlineStr">
        <is>
          <t>Gloss finish mug / batch 1</t>
        </is>
      </c>
    </row>
    <row r="11">
      <c r="A11" s="22" t="inlineStr">
        <is>
          <t>SKU-007</t>
        </is>
      </c>
      <c r="B11" s="22" t="inlineStr">
        <is>
          <t>Ceramic Mug - Olive</t>
        </is>
      </c>
      <c r="C11" s="22" t="inlineStr">
        <is>
          <t>Drinkware</t>
        </is>
      </c>
      <c r="D11" s="22" t="inlineStr">
        <is>
          <t>Harbor Supply</t>
        </is>
      </c>
      <c r="E11" s="23" t="n">
        <v>28</v>
      </c>
      <c r="F11" s="24">
        <f>IF($A11="","",SUMIFS(Purchases!$D$5:$D$304,Purchases!$B$5:$B$304,$A11))</f>
        <v/>
      </c>
      <c r="G11" s="24">
        <f>IF($A11="","",SUMIFS(Sales!$D$5:$D$504,Sales!$B$5:$B$504,$A11))</f>
        <v/>
      </c>
      <c r="H11" s="24">
        <f>IF($A11="","",MAX(0,(E11+F11-G11)))</f>
        <v/>
      </c>
      <c r="I11" s="24">
        <f>IF($A11="","",ROUNDUP(L11*O11+P11,0))</f>
        <v/>
      </c>
      <c r="J11" s="25" t="n">
        <v>2.27</v>
      </c>
      <c r="K11" s="26">
        <f>IF($A11="","",H11*J11)</f>
        <v/>
      </c>
      <c r="L11" s="27">
        <f>IF($A11="","",IFERROR(SUMIFS(Sales!$D$5:$D$504,Sales!$B$5:$B$504,$A11,Sales!$A$5:$A$504,"&gt;="&amp;Setup!$B$5-Setup!$B$6,Sales!$A$5:$A$504,"&lt;="&amp;Setup!$B$5)/Setup!$B$6,0))</f>
        <v/>
      </c>
      <c r="M11" s="28">
        <f>IF($A11="","",IF(L11&lt;=0,999,H11/L11))</f>
        <v/>
      </c>
      <c r="N11" s="29">
        <f>IF($A11="","",IF(L11&lt;=0,"No recent sales",Setup!$B$5+M11))</f>
        <v/>
      </c>
      <c r="O11" s="24">
        <f>IF($A11="","",Setup!$B$11)</f>
        <v/>
      </c>
      <c r="P11" s="24">
        <f>IF($A11="","",ROUNDUP(L11*Setup!$B$12,0))</f>
        <v/>
      </c>
      <c r="Q11" s="24">
        <f>IF($A11="","",IF((E11+F11-G11)&lt;0,0,IF(MAX(0,ROUNDUP(I11-H11,0))=0,0,CEILING(MAX(0,ROUNDUP(I11-H11,0)),Setup!$B$13))))</f>
        <v/>
      </c>
      <c r="R11" s="29">
        <f>IF($A11="","",IF(L11&lt;=0,"No sales signal",N11-O11))</f>
        <v/>
      </c>
      <c r="S11" s="30">
        <f>IF($A11="","",IF((E11+F11-G11)&lt;0,"Fix stock data",IF(R11="No sales signal","No action",IF(R11&lt;=Setup!$B$5,"Order now",IF(R11&lt;=Setup!$B$5+7,"Order this week",IF(H11&lt;=I11,"Plan reorder","No action"))))))</f>
        <v/>
      </c>
      <c r="T11" s="30">
        <f>IF($A11="","",IF((E11+F11-G11)&lt;0,"Review stock data",IF(H11=0,"Out of stock",IF(H11&lt;=I11,"Reorder soon","Healthy"))))</f>
        <v/>
      </c>
      <c r="U11" s="22" t="inlineStr">
        <is>
          <t>Gloss finish mug / batch 1</t>
        </is>
      </c>
    </row>
    <row r="12">
      <c r="A12" s="22" t="inlineStr">
        <is>
          <t>SKU-008</t>
        </is>
      </c>
      <c r="B12" s="22" t="inlineStr">
        <is>
          <t>Ceramic Mug - Slate</t>
        </is>
      </c>
      <c r="C12" s="22" t="inlineStr">
        <is>
          <t>Drinkware</t>
        </is>
      </c>
      <c r="D12" s="22" t="inlineStr">
        <is>
          <t>Harbor Supply</t>
        </is>
      </c>
      <c r="E12" s="23" t="n">
        <v>30</v>
      </c>
      <c r="F12" s="24">
        <f>IF($A12="","",SUMIFS(Purchases!$D$5:$D$304,Purchases!$B$5:$B$304,$A12))</f>
        <v/>
      </c>
      <c r="G12" s="24">
        <f>IF($A12="","",SUMIFS(Sales!$D$5:$D$504,Sales!$B$5:$B$504,$A12))</f>
        <v/>
      </c>
      <c r="H12" s="24">
        <f>IF($A12="","",MAX(0,(E12+F12-G12)))</f>
        <v/>
      </c>
      <c r="I12" s="24">
        <f>IF($A12="","",ROUNDUP(L12*O12+P12,0))</f>
        <v/>
      </c>
      <c r="J12" s="25" t="n">
        <v>2.44</v>
      </c>
      <c r="K12" s="26">
        <f>IF($A12="","",H12*J12)</f>
        <v/>
      </c>
      <c r="L12" s="27">
        <f>IF($A12="","",IFERROR(SUMIFS(Sales!$D$5:$D$504,Sales!$B$5:$B$504,$A12,Sales!$A$5:$A$504,"&gt;="&amp;Setup!$B$5-Setup!$B$6,Sales!$A$5:$A$504,"&lt;="&amp;Setup!$B$5)/Setup!$B$6,0))</f>
        <v/>
      </c>
      <c r="M12" s="28">
        <f>IF($A12="","",IF(L12&lt;=0,999,H12/L12))</f>
        <v/>
      </c>
      <c r="N12" s="29">
        <f>IF($A12="","",IF(L12&lt;=0,"No recent sales",Setup!$B$5+M12))</f>
        <v/>
      </c>
      <c r="O12" s="24">
        <f>IF($A12="","",Setup!$B$11)</f>
        <v/>
      </c>
      <c r="P12" s="24">
        <f>IF($A12="","",ROUNDUP(L12*Setup!$B$12,0))</f>
        <v/>
      </c>
      <c r="Q12" s="24">
        <f>IF($A12="","",IF((E12+F12-G12)&lt;0,0,IF(MAX(0,ROUNDUP(I12-H12,0))=0,0,CEILING(MAX(0,ROUNDUP(I12-H12,0)),Setup!$B$13))))</f>
        <v/>
      </c>
      <c r="R12" s="29">
        <f>IF($A12="","",IF(L12&lt;=0,"No sales signal",N12-O12))</f>
        <v/>
      </c>
      <c r="S12" s="30">
        <f>IF($A12="","",IF((E12+F12-G12)&lt;0,"Fix stock data",IF(R12="No sales signal","No action",IF(R12&lt;=Setup!$B$5,"Order now",IF(R12&lt;=Setup!$B$5+7,"Order this week",IF(H12&lt;=I12,"Plan reorder","No action"))))))</f>
        <v/>
      </c>
      <c r="T12" s="30">
        <f>IF($A12="","",IF((E12+F12-G12)&lt;0,"Review stock data",IF(H12=0,"Out of stock",IF(H12&lt;=I12,"Reorder soon","Healthy"))))</f>
        <v/>
      </c>
      <c r="U12" s="22" t="inlineStr">
        <is>
          <t>Gloss finish mug / batch 1</t>
        </is>
      </c>
    </row>
    <row r="13">
      <c r="A13" s="22" t="inlineStr"/>
      <c r="B13" s="22" t="inlineStr"/>
      <c r="C13" s="22" t="inlineStr"/>
      <c r="D13" s="22" t="inlineStr"/>
      <c r="E13" s="23" t="inlineStr"/>
      <c r="F13" s="24">
        <f>IF($A13="","",SUMIFS(Purchases!$D$5:$D$304,Purchases!$B$5:$B$304,$A13))</f>
        <v/>
      </c>
      <c r="G13" s="24">
        <f>IF($A13="","",SUMIFS(Sales!$D$5:$D$504,Sales!$B$5:$B$504,$A13))</f>
        <v/>
      </c>
      <c r="H13" s="24">
        <f>IF($A13="","",MAX(0,(E13+F13-G13)))</f>
        <v/>
      </c>
      <c r="I13" s="24">
        <f>IF($A13="","",ROUNDUP(L13*O13+P13,0))</f>
        <v/>
      </c>
      <c r="J13" s="25" t="inlineStr"/>
      <c r="K13" s="26">
        <f>IF($A13="","",H13*J13)</f>
        <v/>
      </c>
      <c r="L13" s="27">
        <f>IF($A13="","",IFERROR(SUMIFS(Sales!$D$5:$D$504,Sales!$B$5:$B$504,$A13,Sales!$A$5:$A$504,"&gt;="&amp;Setup!$B$5-Setup!$B$6,Sales!$A$5:$A$504,"&lt;="&amp;Setup!$B$5)/Setup!$B$6,0))</f>
        <v/>
      </c>
      <c r="M13" s="28">
        <f>IF($A13="","",IF(L13&lt;=0,999,H13/L13))</f>
        <v/>
      </c>
      <c r="N13" s="29">
        <f>IF($A13="","",IF(L13&lt;=0,"No recent sales",Setup!$B$5+M13))</f>
        <v/>
      </c>
      <c r="O13" s="24">
        <f>IF($A13="","",Setup!$B$11)</f>
        <v/>
      </c>
      <c r="P13" s="24">
        <f>IF($A13="","",ROUNDUP(L13*Setup!$B$12,0))</f>
        <v/>
      </c>
      <c r="Q13" s="24">
        <f>IF($A13="","",IF((E13+F13-G13)&lt;0,0,IF(MAX(0,ROUNDUP(I13-H13,0))=0,0,CEILING(MAX(0,ROUNDUP(I13-H13,0)),Setup!$B$13))))</f>
        <v/>
      </c>
      <c r="R13" s="29">
        <f>IF($A13="","",IF(L13&lt;=0,"No sales signal",N13-O13))</f>
        <v/>
      </c>
      <c r="S13" s="30">
        <f>IF($A13="","",IF((E13+F13-G13)&lt;0,"Fix stock data",IF(R13="No sales signal","No action",IF(R13&lt;=Setup!$B$5,"Order now",IF(R13&lt;=Setup!$B$5+7,"Order this week",IF(H13&lt;=I13,"Plan reorder","No action"))))))</f>
        <v/>
      </c>
      <c r="T13" s="30">
        <f>IF($A13="","",IF((E13+F13-G13)&lt;0,"Review stock data",IF(H13=0,"Out of stock",IF(H13&lt;=I13,"Reorder soon","Healthy"))))</f>
        <v/>
      </c>
      <c r="U13" s="22" t="inlineStr"/>
    </row>
    <row r="14">
      <c r="A14" s="22" t="inlineStr"/>
      <c r="B14" s="22" t="inlineStr"/>
      <c r="C14" s="22" t="inlineStr"/>
      <c r="D14" s="22" t="inlineStr"/>
      <c r="E14" s="23" t="inlineStr"/>
      <c r="F14" s="24">
        <f>IF($A14="","",SUMIFS(Purchases!$D$5:$D$304,Purchases!$B$5:$B$304,$A14))</f>
        <v/>
      </c>
      <c r="G14" s="24">
        <f>IF($A14="","",SUMIFS(Sales!$D$5:$D$504,Sales!$B$5:$B$504,$A14))</f>
        <v/>
      </c>
      <c r="H14" s="24">
        <f>IF($A14="","",MAX(0,(E14+F14-G14)))</f>
        <v/>
      </c>
      <c r="I14" s="24">
        <f>IF($A14="","",ROUNDUP(L14*O14+P14,0))</f>
        <v/>
      </c>
      <c r="J14" s="25" t="inlineStr"/>
      <c r="K14" s="26">
        <f>IF($A14="","",H14*J14)</f>
        <v/>
      </c>
      <c r="L14" s="27">
        <f>IF($A14="","",IFERROR(SUMIFS(Sales!$D$5:$D$504,Sales!$B$5:$B$504,$A14,Sales!$A$5:$A$504,"&gt;="&amp;Setup!$B$5-Setup!$B$6,Sales!$A$5:$A$504,"&lt;="&amp;Setup!$B$5)/Setup!$B$6,0))</f>
        <v/>
      </c>
      <c r="M14" s="28">
        <f>IF($A14="","",IF(L14&lt;=0,999,H14/L14))</f>
        <v/>
      </c>
      <c r="N14" s="29">
        <f>IF($A14="","",IF(L14&lt;=0,"No recent sales",Setup!$B$5+M14))</f>
        <v/>
      </c>
      <c r="O14" s="24">
        <f>IF($A14="","",Setup!$B$11)</f>
        <v/>
      </c>
      <c r="P14" s="24">
        <f>IF($A14="","",ROUNDUP(L14*Setup!$B$12,0))</f>
        <v/>
      </c>
      <c r="Q14" s="24">
        <f>IF($A14="","",IF((E14+F14-G14)&lt;0,0,IF(MAX(0,ROUNDUP(I14-H14,0))=0,0,CEILING(MAX(0,ROUNDUP(I14-H14,0)),Setup!$B$13))))</f>
        <v/>
      </c>
      <c r="R14" s="29">
        <f>IF($A14="","",IF(L14&lt;=0,"No sales signal",N14-O14))</f>
        <v/>
      </c>
      <c r="S14" s="30">
        <f>IF($A14="","",IF((E14+F14-G14)&lt;0,"Fix stock data",IF(R14="No sales signal","No action",IF(R14&lt;=Setup!$B$5,"Order now",IF(R14&lt;=Setup!$B$5+7,"Order this week",IF(H14&lt;=I14,"Plan reorder","No action"))))))</f>
        <v/>
      </c>
      <c r="T14" s="30">
        <f>IF($A14="","",IF((E14+F14-G14)&lt;0,"Review stock data",IF(H14=0,"Out of stock",IF(H14&lt;=I14,"Reorder soon","Healthy"))))</f>
        <v/>
      </c>
      <c r="U14" s="22" t="inlineStr"/>
    </row>
    <row r="15">
      <c r="A15" s="22" t="inlineStr"/>
      <c r="B15" s="22" t="inlineStr"/>
      <c r="C15" s="22" t="inlineStr"/>
      <c r="D15" s="22" t="inlineStr"/>
      <c r="E15" s="23" t="inlineStr"/>
      <c r="F15" s="24">
        <f>IF($A15="","",SUMIFS(Purchases!$D$5:$D$304,Purchases!$B$5:$B$304,$A15))</f>
        <v/>
      </c>
      <c r="G15" s="24">
        <f>IF($A15="","",SUMIFS(Sales!$D$5:$D$504,Sales!$B$5:$B$504,$A15))</f>
        <v/>
      </c>
      <c r="H15" s="24">
        <f>IF($A15="","",MAX(0,(E15+F15-G15)))</f>
        <v/>
      </c>
      <c r="I15" s="24">
        <f>IF($A15="","",ROUNDUP(L15*O15+P15,0))</f>
        <v/>
      </c>
      <c r="J15" s="25" t="inlineStr"/>
      <c r="K15" s="26">
        <f>IF($A15="","",H15*J15)</f>
        <v/>
      </c>
      <c r="L15" s="27">
        <f>IF($A15="","",IFERROR(SUMIFS(Sales!$D$5:$D$504,Sales!$B$5:$B$504,$A15,Sales!$A$5:$A$504,"&gt;="&amp;Setup!$B$5-Setup!$B$6,Sales!$A$5:$A$504,"&lt;="&amp;Setup!$B$5)/Setup!$B$6,0))</f>
        <v/>
      </c>
      <c r="M15" s="28">
        <f>IF($A15="","",IF(L15&lt;=0,999,H15/L15))</f>
        <v/>
      </c>
      <c r="N15" s="29">
        <f>IF($A15="","",IF(L15&lt;=0,"No recent sales",Setup!$B$5+M15))</f>
        <v/>
      </c>
      <c r="O15" s="24">
        <f>IF($A15="","",Setup!$B$11)</f>
        <v/>
      </c>
      <c r="P15" s="24">
        <f>IF($A15="","",ROUNDUP(L15*Setup!$B$12,0))</f>
        <v/>
      </c>
      <c r="Q15" s="24">
        <f>IF($A15="","",IF((E15+F15-G15)&lt;0,0,IF(MAX(0,ROUNDUP(I15-H15,0))=0,0,CEILING(MAX(0,ROUNDUP(I15-H15,0)),Setup!$B$13))))</f>
        <v/>
      </c>
      <c r="R15" s="29">
        <f>IF($A15="","",IF(L15&lt;=0,"No sales signal",N15-O15))</f>
        <v/>
      </c>
      <c r="S15" s="30">
        <f>IF($A15="","",IF((E15+F15-G15)&lt;0,"Fix stock data",IF(R15="No sales signal","No action",IF(R15&lt;=Setup!$B$5,"Order now",IF(R15&lt;=Setup!$B$5+7,"Order this week",IF(H15&lt;=I15,"Plan reorder","No action"))))))</f>
        <v/>
      </c>
      <c r="T15" s="30">
        <f>IF($A15="","",IF((E15+F15-G15)&lt;0,"Review stock data",IF(H15=0,"Out of stock",IF(H15&lt;=I15,"Reorder soon","Healthy"))))</f>
        <v/>
      </c>
      <c r="U15" s="22" t="inlineStr"/>
    </row>
    <row r="16">
      <c r="A16" s="22" t="inlineStr"/>
      <c r="B16" s="22" t="inlineStr"/>
      <c r="C16" s="22" t="inlineStr"/>
      <c r="D16" s="22" t="inlineStr"/>
      <c r="E16" s="23" t="inlineStr"/>
      <c r="F16" s="24">
        <f>IF($A16="","",SUMIFS(Purchases!$D$5:$D$304,Purchases!$B$5:$B$304,$A16))</f>
        <v/>
      </c>
      <c r="G16" s="24">
        <f>IF($A16="","",SUMIFS(Sales!$D$5:$D$504,Sales!$B$5:$B$504,$A16))</f>
        <v/>
      </c>
      <c r="H16" s="24">
        <f>IF($A16="","",MAX(0,(E16+F16-G16)))</f>
        <v/>
      </c>
      <c r="I16" s="24">
        <f>IF($A16="","",ROUNDUP(L16*O16+P16,0))</f>
        <v/>
      </c>
      <c r="J16" s="25" t="inlineStr"/>
      <c r="K16" s="26">
        <f>IF($A16="","",H16*J16)</f>
        <v/>
      </c>
      <c r="L16" s="27">
        <f>IF($A16="","",IFERROR(SUMIFS(Sales!$D$5:$D$504,Sales!$B$5:$B$504,$A16,Sales!$A$5:$A$504,"&gt;="&amp;Setup!$B$5-Setup!$B$6,Sales!$A$5:$A$504,"&lt;="&amp;Setup!$B$5)/Setup!$B$6,0))</f>
        <v/>
      </c>
      <c r="M16" s="28">
        <f>IF($A16="","",IF(L16&lt;=0,999,H16/L16))</f>
        <v/>
      </c>
      <c r="N16" s="29">
        <f>IF($A16="","",IF(L16&lt;=0,"No recent sales",Setup!$B$5+M16))</f>
        <v/>
      </c>
      <c r="O16" s="24">
        <f>IF($A16="","",Setup!$B$11)</f>
        <v/>
      </c>
      <c r="P16" s="24">
        <f>IF($A16="","",ROUNDUP(L16*Setup!$B$12,0))</f>
        <v/>
      </c>
      <c r="Q16" s="24">
        <f>IF($A16="","",IF((E16+F16-G16)&lt;0,0,IF(MAX(0,ROUNDUP(I16-H16,0))=0,0,CEILING(MAX(0,ROUNDUP(I16-H16,0)),Setup!$B$13))))</f>
        <v/>
      </c>
      <c r="R16" s="29">
        <f>IF($A16="","",IF(L16&lt;=0,"No sales signal",N16-O16))</f>
        <v/>
      </c>
      <c r="S16" s="30">
        <f>IF($A16="","",IF((E16+F16-G16)&lt;0,"Fix stock data",IF(R16="No sales signal","No action",IF(R16&lt;=Setup!$B$5,"Order now",IF(R16&lt;=Setup!$B$5+7,"Order this week",IF(H16&lt;=I16,"Plan reorder","No action"))))))</f>
        <v/>
      </c>
      <c r="T16" s="30">
        <f>IF($A16="","",IF((E16+F16-G16)&lt;0,"Review stock data",IF(H16=0,"Out of stock",IF(H16&lt;=I16,"Reorder soon","Healthy"))))</f>
        <v/>
      </c>
      <c r="U16" s="22" t="inlineStr"/>
    </row>
    <row r="17">
      <c r="A17" s="22" t="inlineStr"/>
      <c r="B17" s="22" t="inlineStr"/>
      <c r="C17" s="22" t="inlineStr"/>
      <c r="D17" s="22" t="inlineStr"/>
      <c r="E17" s="23" t="inlineStr"/>
      <c r="F17" s="24">
        <f>IF($A17="","",SUMIFS(Purchases!$D$5:$D$304,Purchases!$B$5:$B$304,$A17))</f>
        <v/>
      </c>
      <c r="G17" s="24">
        <f>IF($A17="","",SUMIFS(Sales!$D$5:$D$504,Sales!$B$5:$B$504,$A17))</f>
        <v/>
      </c>
      <c r="H17" s="24">
        <f>IF($A17="","",MAX(0,(E17+F17-G17)))</f>
        <v/>
      </c>
      <c r="I17" s="24">
        <f>IF($A17="","",ROUNDUP(L17*O17+P17,0))</f>
        <v/>
      </c>
      <c r="J17" s="25" t="inlineStr"/>
      <c r="K17" s="26">
        <f>IF($A17="","",H17*J17)</f>
        <v/>
      </c>
      <c r="L17" s="27">
        <f>IF($A17="","",IFERROR(SUMIFS(Sales!$D$5:$D$504,Sales!$B$5:$B$504,$A17,Sales!$A$5:$A$504,"&gt;="&amp;Setup!$B$5-Setup!$B$6,Sales!$A$5:$A$504,"&lt;="&amp;Setup!$B$5)/Setup!$B$6,0))</f>
        <v/>
      </c>
      <c r="M17" s="28">
        <f>IF($A17="","",IF(L17&lt;=0,999,H17/L17))</f>
        <v/>
      </c>
      <c r="N17" s="29">
        <f>IF($A17="","",IF(L17&lt;=0,"No recent sales",Setup!$B$5+M17))</f>
        <v/>
      </c>
      <c r="O17" s="24">
        <f>IF($A17="","",Setup!$B$11)</f>
        <v/>
      </c>
      <c r="P17" s="24">
        <f>IF($A17="","",ROUNDUP(L17*Setup!$B$12,0))</f>
        <v/>
      </c>
      <c r="Q17" s="24">
        <f>IF($A17="","",IF((E17+F17-G17)&lt;0,0,IF(MAX(0,ROUNDUP(I17-H17,0))=0,0,CEILING(MAX(0,ROUNDUP(I17-H17,0)),Setup!$B$13))))</f>
        <v/>
      </c>
      <c r="R17" s="29">
        <f>IF($A17="","",IF(L17&lt;=0,"No sales signal",N17-O17))</f>
        <v/>
      </c>
      <c r="S17" s="30">
        <f>IF($A17="","",IF((E17+F17-G17)&lt;0,"Fix stock data",IF(R17="No sales signal","No action",IF(R17&lt;=Setup!$B$5,"Order now",IF(R17&lt;=Setup!$B$5+7,"Order this week",IF(H17&lt;=I17,"Plan reorder","No action"))))))</f>
        <v/>
      </c>
      <c r="T17" s="30">
        <f>IF($A17="","",IF((E17+F17-G17)&lt;0,"Review stock data",IF(H17=0,"Out of stock",IF(H17&lt;=I17,"Reorder soon","Healthy"))))</f>
        <v/>
      </c>
      <c r="U17" s="22" t="inlineStr"/>
    </row>
    <row r="18">
      <c r="A18" s="22" t="inlineStr"/>
      <c r="B18" s="22" t="inlineStr"/>
      <c r="C18" s="22" t="inlineStr"/>
      <c r="D18" s="22" t="inlineStr"/>
      <c r="E18" s="23" t="inlineStr"/>
      <c r="F18" s="24">
        <f>IF($A18="","",SUMIFS(Purchases!$D$5:$D$304,Purchases!$B$5:$B$304,$A18))</f>
        <v/>
      </c>
      <c r="G18" s="24">
        <f>IF($A18="","",SUMIFS(Sales!$D$5:$D$504,Sales!$B$5:$B$504,$A18))</f>
        <v/>
      </c>
      <c r="H18" s="24">
        <f>IF($A18="","",MAX(0,(E18+F18-G18)))</f>
        <v/>
      </c>
      <c r="I18" s="24">
        <f>IF($A18="","",ROUNDUP(L18*O18+P18,0))</f>
        <v/>
      </c>
      <c r="J18" s="25" t="inlineStr"/>
      <c r="K18" s="26">
        <f>IF($A18="","",H18*J18)</f>
        <v/>
      </c>
      <c r="L18" s="27">
        <f>IF($A18="","",IFERROR(SUMIFS(Sales!$D$5:$D$504,Sales!$B$5:$B$504,$A18,Sales!$A$5:$A$504,"&gt;="&amp;Setup!$B$5-Setup!$B$6,Sales!$A$5:$A$504,"&lt;="&amp;Setup!$B$5)/Setup!$B$6,0))</f>
        <v/>
      </c>
      <c r="M18" s="28">
        <f>IF($A18="","",IF(L18&lt;=0,999,H18/L18))</f>
        <v/>
      </c>
      <c r="N18" s="29">
        <f>IF($A18="","",IF(L18&lt;=0,"No recent sales",Setup!$B$5+M18))</f>
        <v/>
      </c>
      <c r="O18" s="24">
        <f>IF($A18="","",Setup!$B$11)</f>
        <v/>
      </c>
      <c r="P18" s="24">
        <f>IF($A18="","",ROUNDUP(L18*Setup!$B$12,0))</f>
        <v/>
      </c>
      <c r="Q18" s="24">
        <f>IF($A18="","",IF((E18+F18-G18)&lt;0,0,IF(MAX(0,ROUNDUP(I18-H18,0))=0,0,CEILING(MAX(0,ROUNDUP(I18-H18,0)),Setup!$B$13))))</f>
        <v/>
      </c>
      <c r="R18" s="29">
        <f>IF($A18="","",IF(L18&lt;=0,"No sales signal",N18-O18))</f>
        <v/>
      </c>
      <c r="S18" s="30">
        <f>IF($A18="","",IF((E18+F18-G18)&lt;0,"Fix stock data",IF(R18="No sales signal","No action",IF(R18&lt;=Setup!$B$5,"Order now",IF(R18&lt;=Setup!$B$5+7,"Order this week",IF(H18&lt;=I18,"Plan reorder","No action"))))))</f>
        <v/>
      </c>
      <c r="T18" s="30">
        <f>IF($A18="","",IF((E18+F18-G18)&lt;0,"Review stock data",IF(H18=0,"Out of stock",IF(H18&lt;=I18,"Reorder soon","Healthy"))))</f>
        <v/>
      </c>
      <c r="U18" s="22" t="inlineStr"/>
    </row>
    <row r="19">
      <c r="A19" s="22" t="inlineStr"/>
      <c r="B19" s="22" t="inlineStr"/>
      <c r="C19" s="22" t="inlineStr"/>
      <c r="D19" s="22" t="inlineStr"/>
      <c r="E19" s="23" t="inlineStr"/>
      <c r="F19" s="24">
        <f>IF($A19="","",SUMIFS(Purchases!$D$5:$D$304,Purchases!$B$5:$B$304,$A19))</f>
        <v/>
      </c>
      <c r="G19" s="24">
        <f>IF($A19="","",SUMIFS(Sales!$D$5:$D$504,Sales!$B$5:$B$504,$A19))</f>
        <v/>
      </c>
      <c r="H19" s="24">
        <f>IF($A19="","",MAX(0,(E19+F19-G19)))</f>
        <v/>
      </c>
      <c r="I19" s="24">
        <f>IF($A19="","",ROUNDUP(L19*O19+P19,0))</f>
        <v/>
      </c>
      <c r="J19" s="25" t="inlineStr"/>
      <c r="K19" s="26">
        <f>IF($A19="","",H19*J19)</f>
        <v/>
      </c>
      <c r="L19" s="27">
        <f>IF($A19="","",IFERROR(SUMIFS(Sales!$D$5:$D$504,Sales!$B$5:$B$504,$A19,Sales!$A$5:$A$504,"&gt;="&amp;Setup!$B$5-Setup!$B$6,Sales!$A$5:$A$504,"&lt;="&amp;Setup!$B$5)/Setup!$B$6,0))</f>
        <v/>
      </c>
      <c r="M19" s="28">
        <f>IF($A19="","",IF(L19&lt;=0,999,H19/L19))</f>
        <v/>
      </c>
      <c r="N19" s="29">
        <f>IF($A19="","",IF(L19&lt;=0,"No recent sales",Setup!$B$5+M19))</f>
        <v/>
      </c>
      <c r="O19" s="24">
        <f>IF($A19="","",Setup!$B$11)</f>
        <v/>
      </c>
      <c r="P19" s="24">
        <f>IF($A19="","",ROUNDUP(L19*Setup!$B$12,0))</f>
        <v/>
      </c>
      <c r="Q19" s="24">
        <f>IF($A19="","",IF((E19+F19-G19)&lt;0,0,IF(MAX(0,ROUNDUP(I19-H19,0))=0,0,CEILING(MAX(0,ROUNDUP(I19-H19,0)),Setup!$B$13))))</f>
        <v/>
      </c>
      <c r="R19" s="29">
        <f>IF($A19="","",IF(L19&lt;=0,"No sales signal",N19-O19))</f>
        <v/>
      </c>
      <c r="S19" s="30">
        <f>IF($A19="","",IF((E19+F19-G19)&lt;0,"Fix stock data",IF(R19="No sales signal","No action",IF(R19&lt;=Setup!$B$5,"Order now",IF(R19&lt;=Setup!$B$5+7,"Order this week",IF(H19&lt;=I19,"Plan reorder","No action"))))))</f>
        <v/>
      </c>
      <c r="T19" s="30">
        <f>IF($A19="","",IF((E19+F19-G19)&lt;0,"Review stock data",IF(H19=0,"Out of stock",IF(H19&lt;=I19,"Reorder soon","Healthy"))))</f>
        <v/>
      </c>
      <c r="U19" s="22" t="inlineStr"/>
    </row>
    <row r="20">
      <c r="A20" s="22" t="inlineStr"/>
      <c r="B20" s="22" t="inlineStr"/>
      <c r="C20" s="22" t="inlineStr"/>
      <c r="D20" s="22" t="inlineStr"/>
      <c r="E20" s="23" t="inlineStr"/>
      <c r="F20" s="24">
        <f>IF($A20="","",SUMIFS(Purchases!$D$5:$D$304,Purchases!$B$5:$B$304,$A20))</f>
        <v/>
      </c>
      <c r="G20" s="24">
        <f>IF($A20="","",SUMIFS(Sales!$D$5:$D$504,Sales!$B$5:$B$504,$A20))</f>
        <v/>
      </c>
      <c r="H20" s="24">
        <f>IF($A20="","",MAX(0,(E20+F20-G20)))</f>
        <v/>
      </c>
      <c r="I20" s="24">
        <f>IF($A20="","",ROUNDUP(L20*O20+P20,0))</f>
        <v/>
      </c>
      <c r="J20" s="25" t="inlineStr"/>
      <c r="K20" s="26">
        <f>IF($A20="","",H20*J20)</f>
        <v/>
      </c>
      <c r="L20" s="27">
        <f>IF($A20="","",IFERROR(SUMIFS(Sales!$D$5:$D$504,Sales!$B$5:$B$504,$A20,Sales!$A$5:$A$504,"&gt;="&amp;Setup!$B$5-Setup!$B$6,Sales!$A$5:$A$504,"&lt;="&amp;Setup!$B$5)/Setup!$B$6,0))</f>
        <v/>
      </c>
      <c r="M20" s="28">
        <f>IF($A20="","",IF(L20&lt;=0,999,H20/L20))</f>
        <v/>
      </c>
      <c r="N20" s="29">
        <f>IF($A20="","",IF(L20&lt;=0,"No recent sales",Setup!$B$5+M20))</f>
        <v/>
      </c>
      <c r="O20" s="24">
        <f>IF($A20="","",Setup!$B$11)</f>
        <v/>
      </c>
      <c r="P20" s="24">
        <f>IF($A20="","",ROUNDUP(L20*Setup!$B$12,0))</f>
        <v/>
      </c>
      <c r="Q20" s="24">
        <f>IF($A20="","",IF((E20+F20-G20)&lt;0,0,IF(MAX(0,ROUNDUP(I20-H20,0))=0,0,CEILING(MAX(0,ROUNDUP(I20-H20,0)),Setup!$B$13))))</f>
        <v/>
      </c>
      <c r="R20" s="29">
        <f>IF($A20="","",IF(L20&lt;=0,"No sales signal",N20-O20))</f>
        <v/>
      </c>
      <c r="S20" s="30">
        <f>IF($A20="","",IF((E20+F20-G20)&lt;0,"Fix stock data",IF(R20="No sales signal","No action",IF(R20&lt;=Setup!$B$5,"Order now",IF(R20&lt;=Setup!$B$5+7,"Order this week",IF(H20&lt;=I20,"Plan reorder","No action"))))))</f>
        <v/>
      </c>
      <c r="T20" s="30">
        <f>IF($A20="","",IF((E20+F20-G20)&lt;0,"Review stock data",IF(H20=0,"Out of stock",IF(H20&lt;=I20,"Reorder soon","Healthy"))))</f>
        <v/>
      </c>
      <c r="U20" s="22" t="inlineStr"/>
    </row>
    <row r="21">
      <c r="A21" s="22" t="inlineStr"/>
      <c r="B21" s="22" t="inlineStr"/>
      <c r="C21" s="22" t="inlineStr"/>
      <c r="D21" s="22" t="inlineStr"/>
      <c r="E21" s="23" t="inlineStr"/>
      <c r="F21" s="24">
        <f>IF($A21="","",SUMIFS(Purchases!$D$5:$D$304,Purchases!$B$5:$B$304,$A21))</f>
        <v/>
      </c>
      <c r="G21" s="24">
        <f>IF($A21="","",SUMIFS(Sales!$D$5:$D$504,Sales!$B$5:$B$504,$A21))</f>
        <v/>
      </c>
      <c r="H21" s="24">
        <f>IF($A21="","",MAX(0,(E21+F21-G21)))</f>
        <v/>
      </c>
      <c r="I21" s="24">
        <f>IF($A21="","",ROUNDUP(L21*O21+P21,0))</f>
        <v/>
      </c>
      <c r="J21" s="25" t="inlineStr"/>
      <c r="K21" s="26">
        <f>IF($A21="","",H21*J21)</f>
        <v/>
      </c>
      <c r="L21" s="27">
        <f>IF($A21="","",IFERROR(SUMIFS(Sales!$D$5:$D$504,Sales!$B$5:$B$504,$A21,Sales!$A$5:$A$504,"&gt;="&amp;Setup!$B$5-Setup!$B$6,Sales!$A$5:$A$504,"&lt;="&amp;Setup!$B$5)/Setup!$B$6,0))</f>
        <v/>
      </c>
      <c r="M21" s="28">
        <f>IF($A21="","",IF(L21&lt;=0,999,H21/L21))</f>
        <v/>
      </c>
      <c r="N21" s="29">
        <f>IF($A21="","",IF(L21&lt;=0,"No recent sales",Setup!$B$5+M21))</f>
        <v/>
      </c>
      <c r="O21" s="24">
        <f>IF($A21="","",Setup!$B$11)</f>
        <v/>
      </c>
      <c r="P21" s="24">
        <f>IF($A21="","",ROUNDUP(L21*Setup!$B$12,0))</f>
        <v/>
      </c>
      <c r="Q21" s="24">
        <f>IF($A21="","",IF((E21+F21-G21)&lt;0,0,IF(MAX(0,ROUNDUP(I21-H21,0))=0,0,CEILING(MAX(0,ROUNDUP(I21-H21,0)),Setup!$B$13))))</f>
        <v/>
      </c>
      <c r="R21" s="29">
        <f>IF($A21="","",IF(L21&lt;=0,"No sales signal",N21-O21))</f>
        <v/>
      </c>
      <c r="S21" s="30">
        <f>IF($A21="","",IF((E21+F21-G21)&lt;0,"Fix stock data",IF(R21="No sales signal","No action",IF(R21&lt;=Setup!$B$5,"Order now",IF(R21&lt;=Setup!$B$5+7,"Order this week",IF(H21&lt;=I21,"Plan reorder","No action"))))))</f>
        <v/>
      </c>
      <c r="T21" s="30">
        <f>IF($A21="","",IF((E21+F21-G21)&lt;0,"Review stock data",IF(H21=0,"Out of stock",IF(H21&lt;=I21,"Reorder soon","Healthy"))))</f>
        <v/>
      </c>
      <c r="U21" s="22" t="inlineStr"/>
    </row>
    <row r="22">
      <c r="A22" s="22" t="inlineStr"/>
      <c r="B22" s="22" t="inlineStr"/>
      <c r="C22" s="22" t="inlineStr"/>
      <c r="D22" s="22" t="inlineStr"/>
      <c r="E22" s="23" t="inlineStr"/>
      <c r="F22" s="24">
        <f>IF($A22="","",SUMIFS(Purchases!$D$5:$D$304,Purchases!$B$5:$B$304,$A22))</f>
        <v/>
      </c>
      <c r="G22" s="24">
        <f>IF($A22="","",SUMIFS(Sales!$D$5:$D$504,Sales!$B$5:$B$504,$A22))</f>
        <v/>
      </c>
      <c r="H22" s="24">
        <f>IF($A22="","",MAX(0,(E22+F22-G22)))</f>
        <v/>
      </c>
      <c r="I22" s="24">
        <f>IF($A22="","",ROUNDUP(L22*O22+P22,0))</f>
        <v/>
      </c>
      <c r="J22" s="25" t="inlineStr"/>
      <c r="K22" s="26">
        <f>IF($A22="","",H22*J22)</f>
        <v/>
      </c>
      <c r="L22" s="27">
        <f>IF($A22="","",IFERROR(SUMIFS(Sales!$D$5:$D$504,Sales!$B$5:$B$504,$A22,Sales!$A$5:$A$504,"&gt;="&amp;Setup!$B$5-Setup!$B$6,Sales!$A$5:$A$504,"&lt;="&amp;Setup!$B$5)/Setup!$B$6,0))</f>
        <v/>
      </c>
      <c r="M22" s="28">
        <f>IF($A22="","",IF(L22&lt;=0,999,H22/L22))</f>
        <v/>
      </c>
      <c r="N22" s="29">
        <f>IF($A22="","",IF(L22&lt;=0,"No recent sales",Setup!$B$5+M22))</f>
        <v/>
      </c>
      <c r="O22" s="24">
        <f>IF($A22="","",Setup!$B$11)</f>
        <v/>
      </c>
      <c r="P22" s="24">
        <f>IF($A22="","",ROUNDUP(L22*Setup!$B$12,0))</f>
        <v/>
      </c>
      <c r="Q22" s="24">
        <f>IF($A22="","",IF((E22+F22-G22)&lt;0,0,IF(MAX(0,ROUNDUP(I22-H22,0))=0,0,CEILING(MAX(0,ROUNDUP(I22-H22,0)),Setup!$B$13))))</f>
        <v/>
      </c>
      <c r="R22" s="29">
        <f>IF($A22="","",IF(L22&lt;=0,"No sales signal",N22-O22))</f>
        <v/>
      </c>
      <c r="S22" s="30">
        <f>IF($A22="","",IF((E22+F22-G22)&lt;0,"Fix stock data",IF(R22="No sales signal","No action",IF(R22&lt;=Setup!$B$5,"Order now",IF(R22&lt;=Setup!$B$5+7,"Order this week",IF(H22&lt;=I22,"Plan reorder","No action"))))))</f>
        <v/>
      </c>
      <c r="T22" s="30">
        <f>IF($A22="","",IF((E22+F22-G22)&lt;0,"Review stock data",IF(H22=0,"Out of stock",IF(H22&lt;=I22,"Reorder soon","Healthy"))))</f>
        <v/>
      </c>
      <c r="U22" s="22" t="inlineStr"/>
    </row>
    <row r="23">
      <c r="A23" s="22" t="inlineStr"/>
      <c r="B23" s="22" t="inlineStr"/>
      <c r="C23" s="22" t="inlineStr"/>
      <c r="D23" s="22" t="inlineStr"/>
      <c r="E23" s="23" t="inlineStr"/>
      <c r="F23" s="24">
        <f>IF($A23="","",SUMIFS(Purchases!$D$5:$D$304,Purchases!$B$5:$B$304,$A23))</f>
        <v/>
      </c>
      <c r="G23" s="24">
        <f>IF($A23="","",SUMIFS(Sales!$D$5:$D$504,Sales!$B$5:$B$504,$A23))</f>
        <v/>
      </c>
      <c r="H23" s="24">
        <f>IF($A23="","",MAX(0,(E23+F23-G23)))</f>
        <v/>
      </c>
      <c r="I23" s="24">
        <f>IF($A23="","",ROUNDUP(L23*O23+P23,0))</f>
        <v/>
      </c>
      <c r="J23" s="25" t="inlineStr"/>
      <c r="K23" s="26">
        <f>IF($A23="","",H23*J23)</f>
        <v/>
      </c>
      <c r="L23" s="27">
        <f>IF($A23="","",IFERROR(SUMIFS(Sales!$D$5:$D$504,Sales!$B$5:$B$504,$A23,Sales!$A$5:$A$504,"&gt;="&amp;Setup!$B$5-Setup!$B$6,Sales!$A$5:$A$504,"&lt;="&amp;Setup!$B$5)/Setup!$B$6,0))</f>
        <v/>
      </c>
      <c r="M23" s="28">
        <f>IF($A23="","",IF(L23&lt;=0,999,H23/L23))</f>
        <v/>
      </c>
      <c r="N23" s="29">
        <f>IF($A23="","",IF(L23&lt;=0,"No recent sales",Setup!$B$5+M23))</f>
        <v/>
      </c>
      <c r="O23" s="24">
        <f>IF($A23="","",Setup!$B$11)</f>
        <v/>
      </c>
      <c r="P23" s="24">
        <f>IF($A23="","",ROUNDUP(L23*Setup!$B$12,0))</f>
        <v/>
      </c>
      <c r="Q23" s="24">
        <f>IF($A23="","",IF((E23+F23-G23)&lt;0,0,IF(MAX(0,ROUNDUP(I23-H23,0))=0,0,CEILING(MAX(0,ROUNDUP(I23-H23,0)),Setup!$B$13))))</f>
        <v/>
      </c>
      <c r="R23" s="29">
        <f>IF($A23="","",IF(L23&lt;=0,"No sales signal",N23-O23))</f>
        <v/>
      </c>
      <c r="S23" s="30">
        <f>IF($A23="","",IF((E23+F23-G23)&lt;0,"Fix stock data",IF(R23="No sales signal","No action",IF(R23&lt;=Setup!$B$5,"Order now",IF(R23&lt;=Setup!$B$5+7,"Order this week",IF(H23&lt;=I23,"Plan reorder","No action"))))))</f>
        <v/>
      </c>
      <c r="T23" s="30">
        <f>IF($A23="","",IF((E23+F23-G23)&lt;0,"Review stock data",IF(H23=0,"Out of stock",IF(H23&lt;=I23,"Reorder soon","Healthy"))))</f>
        <v/>
      </c>
      <c r="U23" s="22" t="inlineStr"/>
    </row>
    <row r="24">
      <c r="A24" s="22" t="inlineStr"/>
      <c r="B24" s="22" t="inlineStr"/>
      <c r="C24" s="22" t="inlineStr"/>
      <c r="D24" s="22" t="inlineStr"/>
      <c r="E24" s="23" t="inlineStr"/>
      <c r="F24" s="24">
        <f>IF($A24="","",SUMIFS(Purchases!$D$5:$D$304,Purchases!$B$5:$B$304,$A24))</f>
        <v/>
      </c>
      <c r="G24" s="24">
        <f>IF($A24="","",SUMIFS(Sales!$D$5:$D$504,Sales!$B$5:$B$504,$A24))</f>
        <v/>
      </c>
      <c r="H24" s="24">
        <f>IF($A24="","",MAX(0,(E24+F24-G24)))</f>
        <v/>
      </c>
      <c r="I24" s="24">
        <f>IF($A24="","",ROUNDUP(L24*O24+P24,0))</f>
        <v/>
      </c>
      <c r="J24" s="25" t="inlineStr"/>
      <c r="K24" s="26">
        <f>IF($A24="","",H24*J24)</f>
        <v/>
      </c>
      <c r="L24" s="27">
        <f>IF($A24="","",IFERROR(SUMIFS(Sales!$D$5:$D$504,Sales!$B$5:$B$504,$A24,Sales!$A$5:$A$504,"&gt;="&amp;Setup!$B$5-Setup!$B$6,Sales!$A$5:$A$504,"&lt;="&amp;Setup!$B$5)/Setup!$B$6,0))</f>
        <v/>
      </c>
      <c r="M24" s="28">
        <f>IF($A24="","",IF(L24&lt;=0,999,H24/L24))</f>
        <v/>
      </c>
      <c r="N24" s="29">
        <f>IF($A24="","",IF(L24&lt;=0,"No recent sales",Setup!$B$5+M24))</f>
        <v/>
      </c>
      <c r="O24" s="24">
        <f>IF($A24="","",Setup!$B$11)</f>
        <v/>
      </c>
      <c r="P24" s="24">
        <f>IF($A24="","",ROUNDUP(L24*Setup!$B$12,0))</f>
        <v/>
      </c>
      <c r="Q24" s="24">
        <f>IF($A24="","",IF((E24+F24-G24)&lt;0,0,IF(MAX(0,ROUNDUP(I24-H24,0))=0,0,CEILING(MAX(0,ROUNDUP(I24-H24,0)),Setup!$B$13))))</f>
        <v/>
      </c>
      <c r="R24" s="29">
        <f>IF($A24="","",IF(L24&lt;=0,"No sales signal",N24-O24))</f>
        <v/>
      </c>
      <c r="S24" s="30">
        <f>IF($A24="","",IF((E24+F24-G24)&lt;0,"Fix stock data",IF(R24="No sales signal","No action",IF(R24&lt;=Setup!$B$5,"Order now",IF(R24&lt;=Setup!$B$5+7,"Order this week",IF(H24&lt;=I24,"Plan reorder","No action"))))))</f>
        <v/>
      </c>
      <c r="T24" s="30">
        <f>IF($A24="","",IF((E24+F24-G24)&lt;0,"Review stock data",IF(H24=0,"Out of stock",IF(H24&lt;=I24,"Reorder soon","Healthy"))))</f>
        <v/>
      </c>
      <c r="U24" s="22" t="inlineStr"/>
    </row>
    <row r="25">
      <c r="A25" s="22" t="inlineStr"/>
      <c r="B25" s="22" t="inlineStr"/>
      <c r="C25" s="22" t="inlineStr"/>
      <c r="D25" s="22" t="inlineStr"/>
      <c r="E25" s="23" t="inlineStr"/>
      <c r="F25" s="24">
        <f>IF($A25="","",SUMIFS(Purchases!$D$5:$D$304,Purchases!$B$5:$B$304,$A25))</f>
        <v/>
      </c>
      <c r="G25" s="24">
        <f>IF($A25="","",SUMIFS(Sales!$D$5:$D$504,Sales!$B$5:$B$504,$A25))</f>
        <v/>
      </c>
      <c r="H25" s="24">
        <f>IF($A25="","",MAX(0,(E25+F25-G25)))</f>
        <v/>
      </c>
      <c r="I25" s="24">
        <f>IF($A25="","",ROUNDUP(L25*O25+P25,0))</f>
        <v/>
      </c>
      <c r="J25" s="25" t="inlineStr"/>
      <c r="K25" s="26">
        <f>IF($A25="","",H25*J25)</f>
        <v/>
      </c>
      <c r="L25" s="27">
        <f>IF($A25="","",IFERROR(SUMIFS(Sales!$D$5:$D$504,Sales!$B$5:$B$504,$A25,Sales!$A$5:$A$504,"&gt;="&amp;Setup!$B$5-Setup!$B$6,Sales!$A$5:$A$504,"&lt;="&amp;Setup!$B$5)/Setup!$B$6,0))</f>
        <v/>
      </c>
      <c r="M25" s="28">
        <f>IF($A25="","",IF(L25&lt;=0,999,H25/L25))</f>
        <v/>
      </c>
      <c r="N25" s="29">
        <f>IF($A25="","",IF(L25&lt;=0,"No recent sales",Setup!$B$5+M25))</f>
        <v/>
      </c>
      <c r="O25" s="24">
        <f>IF($A25="","",Setup!$B$11)</f>
        <v/>
      </c>
      <c r="P25" s="24">
        <f>IF($A25="","",ROUNDUP(L25*Setup!$B$12,0))</f>
        <v/>
      </c>
      <c r="Q25" s="24">
        <f>IF($A25="","",IF((E25+F25-G25)&lt;0,0,IF(MAX(0,ROUNDUP(I25-H25,0))=0,0,CEILING(MAX(0,ROUNDUP(I25-H25,0)),Setup!$B$13))))</f>
        <v/>
      </c>
      <c r="R25" s="29">
        <f>IF($A25="","",IF(L25&lt;=0,"No sales signal",N25-O25))</f>
        <v/>
      </c>
      <c r="S25" s="30">
        <f>IF($A25="","",IF((E25+F25-G25)&lt;0,"Fix stock data",IF(R25="No sales signal","No action",IF(R25&lt;=Setup!$B$5,"Order now",IF(R25&lt;=Setup!$B$5+7,"Order this week",IF(H25&lt;=I25,"Plan reorder","No action"))))))</f>
        <v/>
      </c>
      <c r="T25" s="30">
        <f>IF($A25="","",IF((E25+F25-G25)&lt;0,"Review stock data",IF(H25=0,"Out of stock",IF(H25&lt;=I25,"Reorder soon","Healthy"))))</f>
        <v/>
      </c>
      <c r="U25" s="22" t="inlineStr"/>
    </row>
    <row r="26">
      <c r="A26" s="22" t="inlineStr"/>
      <c r="B26" s="22" t="inlineStr"/>
      <c r="C26" s="22" t="inlineStr"/>
      <c r="D26" s="22" t="inlineStr"/>
      <c r="E26" s="23" t="inlineStr"/>
      <c r="F26" s="24">
        <f>IF($A26="","",SUMIFS(Purchases!$D$5:$D$304,Purchases!$B$5:$B$304,$A26))</f>
        <v/>
      </c>
      <c r="G26" s="24">
        <f>IF($A26="","",SUMIFS(Sales!$D$5:$D$504,Sales!$B$5:$B$504,$A26))</f>
        <v/>
      </c>
      <c r="H26" s="24">
        <f>IF($A26="","",MAX(0,(E26+F26-G26)))</f>
        <v/>
      </c>
      <c r="I26" s="24">
        <f>IF($A26="","",ROUNDUP(L26*O26+P26,0))</f>
        <v/>
      </c>
      <c r="J26" s="25" t="inlineStr"/>
      <c r="K26" s="26">
        <f>IF($A26="","",H26*J26)</f>
        <v/>
      </c>
      <c r="L26" s="27">
        <f>IF($A26="","",IFERROR(SUMIFS(Sales!$D$5:$D$504,Sales!$B$5:$B$504,$A26,Sales!$A$5:$A$504,"&gt;="&amp;Setup!$B$5-Setup!$B$6,Sales!$A$5:$A$504,"&lt;="&amp;Setup!$B$5)/Setup!$B$6,0))</f>
        <v/>
      </c>
      <c r="M26" s="28">
        <f>IF($A26="","",IF(L26&lt;=0,999,H26/L26))</f>
        <v/>
      </c>
      <c r="N26" s="29">
        <f>IF($A26="","",IF(L26&lt;=0,"No recent sales",Setup!$B$5+M26))</f>
        <v/>
      </c>
      <c r="O26" s="24">
        <f>IF($A26="","",Setup!$B$11)</f>
        <v/>
      </c>
      <c r="P26" s="24">
        <f>IF($A26="","",ROUNDUP(L26*Setup!$B$12,0))</f>
        <v/>
      </c>
      <c r="Q26" s="24">
        <f>IF($A26="","",IF((E26+F26-G26)&lt;0,0,IF(MAX(0,ROUNDUP(I26-H26,0))=0,0,CEILING(MAX(0,ROUNDUP(I26-H26,0)),Setup!$B$13))))</f>
        <v/>
      </c>
      <c r="R26" s="29">
        <f>IF($A26="","",IF(L26&lt;=0,"No sales signal",N26-O26))</f>
        <v/>
      </c>
      <c r="S26" s="30">
        <f>IF($A26="","",IF((E26+F26-G26)&lt;0,"Fix stock data",IF(R26="No sales signal","No action",IF(R26&lt;=Setup!$B$5,"Order now",IF(R26&lt;=Setup!$B$5+7,"Order this week",IF(H26&lt;=I26,"Plan reorder","No action"))))))</f>
        <v/>
      </c>
      <c r="T26" s="30">
        <f>IF($A26="","",IF((E26+F26-G26)&lt;0,"Review stock data",IF(H26=0,"Out of stock",IF(H26&lt;=I26,"Reorder soon","Healthy"))))</f>
        <v/>
      </c>
      <c r="U26" s="22" t="inlineStr"/>
    </row>
    <row r="27">
      <c r="A27" s="22" t="inlineStr"/>
      <c r="B27" s="22" t="inlineStr"/>
      <c r="C27" s="22" t="inlineStr"/>
      <c r="D27" s="22" t="inlineStr"/>
      <c r="E27" s="23" t="inlineStr"/>
      <c r="F27" s="24">
        <f>IF($A27="","",SUMIFS(Purchases!$D$5:$D$304,Purchases!$B$5:$B$304,$A27))</f>
        <v/>
      </c>
      <c r="G27" s="24">
        <f>IF($A27="","",SUMIFS(Sales!$D$5:$D$504,Sales!$B$5:$B$504,$A27))</f>
        <v/>
      </c>
      <c r="H27" s="24">
        <f>IF($A27="","",MAX(0,(E27+F27-G27)))</f>
        <v/>
      </c>
      <c r="I27" s="24">
        <f>IF($A27="","",ROUNDUP(L27*O27+P27,0))</f>
        <v/>
      </c>
      <c r="J27" s="25" t="inlineStr"/>
      <c r="K27" s="26">
        <f>IF($A27="","",H27*J27)</f>
        <v/>
      </c>
      <c r="L27" s="27">
        <f>IF($A27="","",IFERROR(SUMIFS(Sales!$D$5:$D$504,Sales!$B$5:$B$504,$A27,Sales!$A$5:$A$504,"&gt;="&amp;Setup!$B$5-Setup!$B$6,Sales!$A$5:$A$504,"&lt;="&amp;Setup!$B$5)/Setup!$B$6,0))</f>
        <v/>
      </c>
      <c r="M27" s="28">
        <f>IF($A27="","",IF(L27&lt;=0,999,H27/L27))</f>
        <v/>
      </c>
      <c r="N27" s="29">
        <f>IF($A27="","",IF(L27&lt;=0,"No recent sales",Setup!$B$5+M27))</f>
        <v/>
      </c>
      <c r="O27" s="24">
        <f>IF($A27="","",Setup!$B$11)</f>
        <v/>
      </c>
      <c r="P27" s="24">
        <f>IF($A27="","",ROUNDUP(L27*Setup!$B$12,0))</f>
        <v/>
      </c>
      <c r="Q27" s="24">
        <f>IF($A27="","",IF((E27+F27-G27)&lt;0,0,IF(MAX(0,ROUNDUP(I27-H27,0))=0,0,CEILING(MAX(0,ROUNDUP(I27-H27,0)),Setup!$B$13))))</f>
        <v/>
      </c>
      <c r="R27" s="29">
        <f>IF($A27="","",IF(L27&lt;=0,"No sales signal",N27-O27))</f>
        <v/>
      </c>
      <c r="S27" s="30">
        <f>IF($A27="","",IF((E27+F27-G27)&lt;0,"Fix stock data",IF(R27="No sales signal","No action",IF(R27&lt;=Setup!$B$5,"Order now",IF(R27&lt;=Setup!$B$5+7,"Order this week",IF(H27&lt;=I27,"Plan reorder","No action"))))))</f>
        <v/>
      </c>
      <c r="T27" s="30">
        <f>IF($A27="","",IF((E27+F27-G27)&lt;0,"Review stock data",IF(H27=0,"Out of stock",IF(H27&lt;=I27,"Reorder soon","Healthy"))))</f>
        <v/>
      </c>
      <c r="U27" s="22" t="inlineStr"/>
    </row>
    <row r="28">
      <c r="A28" s="22" t="inlineStr"/>
      <c r="B28" s="22" t="inlineStr"/>
      <c r="C28" s="22" t="inlineStr"/>
      <c r="D28" s="22" t="inlineStr"/>
      <c r="E28" s="23" t="inlineStr"/>
      <c r="F28" s="24">
        <f>IF($A28="","",SUMIFS(Purchases!$D$5:$D$304,Purchases!$B$5:$B$304,$A28))</f>
        <v/>
      </c>
      <c r="G28" s="24">
        <f>IF($A28="","",SUMIFS(Sales!$D$5:$D$504,Sales!$B$5:$B$504,$A28))</f>
        <v/>
      </c>
      <c r="H28" s="24">
        <f>IF($A28="","",MAX(0,(E28+F28-G28)))</f>
        <v/>
      </c>
      <c r="I28" s="24">
        <f>IF($A28="","",ROUNDUP(L28*O28+P28,0))</f>
        <v/>
      </c>
      <c r="J28" s="25" t="inlineStr"/>
      <c r="K28" s="26">
        <f>IF($A28="","",H28*J28)</f>
        <v/>
      </c>
      <c r="L28" s="27">
        <f>IF($A28="","",IFERROR(SUMIFS(Sales!$D$5:$D$504,Sales!$B$5:$B$504,$A28,Sales!$A$5:$A$504,"&gt;="&amp;Setup!$B$5-Setup!$B$6,Sales!$A$5:$A$504,"&lt;="&amp;Setup!$B$5)/Setup!$B$6,0))</f>
        <v/>
      </c>
      <c r="M28" s="28">
        <f>IF($A28="","",IF(L28&lt;=0,999,H28/L28))</f>
        <v/>
      </c>
      <c r="N28" s="29">
        <f>IF($A28="","",IF(L28&lt;=0,"No recent sales",Setup!$B$5+M28))</f>
        <v/>
      </c>
      <c r="O28" s="24">
        <f>IF($A28="","",Setup!$B$11)</f>
        <v/>
      </c>
      <c r="P28" s="24">
        <f>IF($A28="","",ROUNDUP(L28*Setup!$B$12,0))</f>
        <v/>
      </c>
      <c r="Q28" s="24">
        <f>IF($A28="","",IF((E28+F28-G28)&lt;0,0,IF(MAX(0,ROUNDUP(I28-H28,0))=0,0,CEILING(MAX(0,ROUNDUP(I28-H28,0)),Setup!$B$13))))</f>
        <v/>
      </c>
      <c r="R28" s="29">
        <f>IF($A28="","",IF(L28&lt;=0,"No sales signal",N28-O28))</f>
        <v/>
      </c>
      <c r="S28" s="30">
        <f>IF($A28="","",IF((E28+F28-G28)&lt;0,"Fix stock data",IF(R28="No sales signal","No action",IF(R28&lt;=Setup!$B$5,"Order now",IF(R28&lt;=Setup!$B$5+7,"Order this week",IF(H28&lt;=I28,"Plan reorder","No action"))))))</f>
        <v/>
      </c>
      <c r="T28" s="30">
        <f>IF($A28="","",IF((E28+F28-G28)&lt;0,"Review stock data",IF(H28=0,"Out of stock",IF(H28&lt;=I28,"Reorder soon","Healthy"))))</f>
        <v/>
      </c>
      <c r="U28" s="22" t="inlineStr"/>
    </row>
    <row r="29">
      <c r="A29" s="22" t="inlineStr"/>
      <c r="B29" s="22" t="inlineStr"/>
      <c r="C29" s="22" t="inlineStr"/>
      <c r="D29" s="22" t="inlineStr"/>
      <c r="E29" s="23" t="inlineStr"/>
      <c r="F29" s="24">
        <f>IF($A29="","",SUMIFS(Purchases!$D$5:$D$304,Purchases!$B$5:$B$304,$A29))</f>
        <v/>
      </c>
      <c r="G29" s="24">
        <f>IF($A29="","",SUMIFS(Sales!$D$5:$D$504,Sales!$B$5:$B$504,$A29))</f>
        <v/>
      </c>
      <c r="H29" s="24">
        <f>IF($A29="","",MAX(0,(E29+F29-G29)))</f>
        <v/>
      </c>
      <c r="I29" s="24">
        <f>IF($A29="","",ROUNDUP(L29*O29+P29,0))</f>
        <v/>
      </c>
      <c r="J29" s="25" t="inlineStr"/>
      <c r="K29" s="26">
        <f>IF($A29="","",H29*J29)</f>
        <v/>
      </c>
      <c r="L29" s="27">
        <f>IF($A29="","",IFERROR(SUMIFS(Sales!$D$5:$D$504,Sales!$B$5:$B$504,$A29,Sales!$A$5:$A$504,"&gt;="&amp;Setup!$B$5-Setup!$B$6,Sales!$A$5:$A$504,"&lt;="&amp;Setup!$B$5)/Setup!$B$6,0))</f>
        <v/>
      </c>
      <c r="M29" s="28">
        <f>IF($A29="","",IF(L29&lt;=0,999,H29/L29))</f>
        <v/>
      </c>
      <c r="N29" s="29">
        <f>IF($A29="","",IF(L29&lt;=0,"No recent sales",Setup!$B$5+M29))</f>
        <v/>
      </c>
      <c r="O29" s="24">
        <f>IF($A29="","",Setup!$B$11)</f>
        <v/>
      </c>
      <c r="P29" s="24">
        <f>IF($A29="","",ROUNDUP(L29*Setup!$B$12,0))</f>
        <v/>
      </c>
      <c r="Q29" s="24">
        <f>IF($A29="","",IF((E29+F29-G29)&lt;0,0,IF(MAX(0,ROUNDUP(I29-H29,0))=0,0,CEILING(MAX(0,ROUNDUP(I29-H29,0)),Setup!$B$13))))</f>
        <v/>
      </c>
      <c r="R29" s="29">
        <f>IF($A29="","",IF(L29&lt;=0,"No sales signal",N29-O29))</f>
        <v/>
      </c>
      <c r="S29" s="30">
        <f>IF($A29="","",IF((E29+F29-G29)&lt;0,"Fix stock data",IF(R29="No sales signal","No action",IF(R29&lt;=Setup!$B$5,"Order now",IF(R29&lt;=Setup!$B$5+7,"Order this week",IF(H29&lt;=I29,"Plan reorder","No action"))))))</f>
        <v/>
      </c>
      <c r="T29" s="30">
        <f>IF($A29="","",IF((E29+F29-G29)&lt;0,"Review stock data",IF(H29=0,"Out of stock",IF(H29&lt;=I29,"Reorder soon","Healthy"))))</f>
        <v/>
      </c>
      <c r="U29" s="22" t="inlineStr"/>
    </row>
    <row r="30">
      <c r="A30" s="22" t="inlineStr"/>
      <c r="B30" s="22" t="inlineStr"/>
      <c r="C30" s="22" t="inlineStr"/>
      <c r="D30" s="22" t="inlineStr"/>
      <c r="E30" s="23" t="inlineStr"/>
      <c r="F30" s="24">
        <f>IF($A30="","",SUMIFS(Purchases!$D$5:$D$304,Purchases!$B$5:$B$304,$A30))</f>
        <v/>
      </c>
      <c r="G30" s="24">
        <f>IF($A30="","",SUMIFS(Sales!$D$5:$D$504,Sales!$B$5:$B$504,$A30))</f>
        <v/>
      </c>
      <c r="H30" s="24">
        <f>IF($A30="","",MAX(0,(E30+F30-G30)))</f>
        <v/>
      </c>
      <c r="I30" s="24">
        <f>IF($A30="","",ROUNDUP(L30*O30+P30,0))</f>
        <v/>
      </c>
      <c r="J30" s="25" t="inlineStr"/>
      <c r="K30" s="26">
        <f>IF($A30="","",H30*J30)</f>
        <v/>
      </c>
      <c r="L30" s="27">
        <f>IF($A30="","",IFERROR(SUMIFS(Sales!$D$5:$D$504,Sales!$B$5:$B$504,$A30,Sales!$A$5:$A$504,"&gt;="&amp;Setup!$B$5-Setup!$B$6,Sales!$A$5:$A$504,"&lt;="&amp;Setup!$B$5)/Setup!$B$6,0))</f>
        <v/>
      </c>
      <c r="M30" s="28">
        <f>IF($A30="","",IF(L30&lt;=0,999,H30/L30))</f>
        <v/>
      </c>
      <c r="N30" s="29">
        <f>IF($A30="","",IF(L30&lt;=0,"No recent sales",Setup!$B$5+M30))</f>
        <v/>
      </c>
      <c r="O30" s="24">
        <f>IF($A30="","",Setup!$B$11)</f>
        <v/>
      </c>
      <c r="P30" s="24">
        <f>IF($A30="","",ROUNDUP(L30*Setup!$B$12,0))</f>
        <v/>
      </c>
      <c r="Q30" s="24">
        <f>IF($A30="","",IF((E30+F30-G30)&lt;0,0,IF(MAX(0,ROUNDUP(I30-H30,0))=0,0,CEILING(MAX(0,ROUNDUP(I30-H30,0)),Setup!$B$13))))</f>
        <v/>
      </c>
      <c r="R30" s="29">
        <f>IF($A30="","",IF(L30&lt;=0,"No sales signal",N30-O30))</f>
        <v/>
      </c>
      <c r="S30" s="30">
        <f>IF($A30="","",IF((E30+F30-G30)&lt;0,"Fix stock data",IF(R30="No sales signal","No action",IF(R30&lt;=Setup!$B$5,"Order now",IF(R30&lt;=Setup!$B$5+7,"Order this week",IF(H30&lt;=I30,"Plan reorder","No action"))))))</f>
        <v/>
      </c>
      <c r="T30" s="30">
        <f>IF($A30="","",IF((E30+F30-G30)&lt;0,"Review stock data",IF(H30=0,"Out of stock",IF(H30&lt;=I30,"Reorder soon","Healthy"))))</f>
        <v/>
      </c>
      <c r="U30" s="22" t="inlineStr"/>
    </row>
    <row r="31">
      <c r="A31" s="22" t="inlineStr"/>
      <c r="B31" s="22" t="inlineStr"/>
      <c r="C31" s="22" t="inlineStr"/>
      <c r="D31" s="22" t="inlineStr"/>
      <c r="E31" s="23" t="inlineStr"/>
      <c r="F31" s="24">
        <f>IF($A31="","",SUMIFS(Purchases!$D$5:$D$304,Purchases!$B$5:$B$304,$A31))</f>
        <v/>
      </c>
      <c r="G31" s="24">
        <f>IF($A31="","",SUMIFS(Sales!$D$5:$D$504,Sales!$B$5:$B$504,$A31))</f>
        <v/>
      </c>
      <c r="H31" s="24">
        <f>IF($A31="","",MAX(0,(E31+F31-G31)))</f>
        <v/>
      </c>
      <c r="I31" s="24">
        <f>IF($A31="","",ROUNDUP(L31*O31+P31,0))</f>
        <v/>
      </c>
      <c r="J31" s="25" t="inlineStr"/>
      <c r="K31" s="26">
        <f>IF($A31="","",H31*J31)</f>
        <v/>
      </c>
      <c r="L31" s="27">
        <f>IF($A31="","",IFERROR(SUMIFS(Sales!$D$5:$D$504,Sales!$B$5:$B$504,$A31,Sales!$A$5:$A$504,"&gt;="&amp;Setup!$B$5-Setup!$B$6,Sales!$A$5:$A$504,"&lt;="&amp;Setup!$B$5)/Setup!$B$6,0))</f>
        <v/>
      </c>
      <c r="M31" s="28">
        <f>IF($A31="","",IF(L31&lt;=0,999,H31/L31))</f>
        <v/>
      </c>
      <c r="N31" s="29">
        <f>IF($A31="","",IF(L31&lt;=0,"No recent sales",Setup!$B$5+M31))</f>
        <v/>
      </c>
      <c r="O31" s="24">
        <f>IF($A31="","",Setup!$B$11)</f>
        <v/>
      </c>
      <c r="P31" s="24">
        <f>IF($A31="","",ROUNDUP(L31*Setup!$B$12,0))</f>
        <v/>
      </c>
      <c r="Q31" s="24">
        <f>IF($A31="","",IF((E31+F31-G31)&lt;0,0,IF(MAX(0,ROUNDUP(I31-H31,0))=0,0,CEILING(MAX(0,ROUNDUP(I31-H31,0)),Setup!$B$13))))</f>
        <v/>
      </c>
      <c r="R31" s="29">
        <f>IF($A31="","",IF(L31&lt;=0,"No sales signal",N31-O31))</f>
        <v/>
      </c>
      <c r="S31" s="30">
        <f>IF($A31="","",IF((E31+F31-G31)&lt;0,"Fix stock data",IF(R31="No sales signal","No action",IF(R31&lt;=Setup!$B$5,"Order now",IF(R31&lt;=Setup!$B$5+7,"Order this week",IF(H31&lt;=I31,"Plan reorder","No action"))))))</f>
        <v/>
      </c>
      <c r="T31" s="30">
        <f>IF($A31="","",IF((E31+F31-G31)&lt;0,"Review stock data",IF(H31=0,"Out of stock",IF(H31&lt;=I31,"Reorder soon","Healthy"))))</f>
        <v/>
      </c>
      <c r="U31" s="22" t="inlineStr"/>
    </row>
    <row r="32">
      <c r="A32" s="22" t="inlineStr"/>
      <c r="B32" s="22" t="inlineStr"/>
      <c r="C32" s="22" t="inlineStr"/>
      <c r="D32" s="22" t="inlineStr"/>
      <c r="E32" s="23" t="inlineStr"/>
      <c r="F32" s="24">
        <f>IF($A32="","",SUMIFS(Purchases!$D$5:$D$304,Purchases!$B$5:$B$304,$A32))</f>
        <v/>
      </c>
      <c r="G32" s="24">
        <f>IF($A32="","",SUMIFS(Sales!$D$5:$D$504,Sales!$B$5:$B$504,$A32))</f>
        <v/>
      </c>
      <c r="H32" s="24">
        <f>IF($A32="","",MAX(0,(E32+F32-G32)))</f>
        <v/>
      </c>
      <c r="I32" s="24">
        <f>IF($A32="","",ROUNDUP(L32*O32+P32,0))</f>
        <v/>
      </c>
      <c r="J32" s="25" t="inlineStr"/>
      <c r="K32" s="26">
        <f>IF($A32="","",H32*J32)</f>
        <v/>
      </c>
      <c r="L32" s="27">
        <f>IF($A32="","",IFERROR(SUMIFS(Sales!$D$5:$D$504,Sales!$B$5:$B$504,$A32,Sales!$A$5:$A$504,"&gt;="&amp;Setup!$B$5-Setup!$B$6,Sales!$A$5:$A$504,"&lt;="&amp;Setup!$B$5)/Setup!$B$6,0))</f>
        <v/>
      </c>
      <c r="M32" s="28">
        <f>IF($A32="","",IF(L32&lt;=0,999,H32/L32))</f>
        <v/>
      </c>
      <c r="N32" s="29">
        <f>IF($A32="","",IF(L32&lt;=0,"No recent sales",Setup!$B$5+M32))</f>
        <v/>
      </c>
      <c r="O32" s="24">
        <f>IF($A32="","",Setup!$B$11)</f>
        <v/>
      </c>
      <c r="P32" s="24">
        <f>IF($A32="","",ROUNDUP(L32*Setup!$B$12,0))</f>
        <v/>
      </c>
      <c r="Q32" s="24">
        <f>IF($A32="","",IF((E32+F32-G32)&lt;0,0,IF(MAX(0,ROUNDUP(I32-H32,0))=0,0,CEILING(MAX(0,ROUNDUP(I32-H32,0)),Setup!$B$13))))</f>
        <v/>
      </c>
      <c r="R32" s="29">
        <f>IF($A32="","",IF(L32&lt;=0,"No sales signal",N32-O32))</f>
        <v/>
      </c>
      <c r="S32" s="30">
        <f>IF($A32="","",IF((E32+F32-G32)&lt;0,"Fix stock data",IF(R32="No sales signal","No action",IF(R32&lt;=Setup!$B$5,"Order now",IF(R32&lt;=Setup!$B$5+7,"Order this week",IF(H32&lt;=I32,"Plan reorder","No action"))))))</f>
        <v/>
      </c>
      <c r="T32" s="30">
        <f>IF($A32="","",IF((E32+F32-G32)&lt;0,"Review stock data",IF(H32=0,"Out of stock",IF(H32&lt;=I32,"Reorder soon","Healthy"))))</f>
        <v/>
      </c>
      <c r="U32" s="22" t="inlineStr"/>
    </row>
    <row r="33">
      <c r="A33" s="22" t="inlineStr"/>
      <c r="B33" s="22" t="inlineStr"/>
      <c r="C33" s="22" t="inlineStr"/>
      <c r="D33" s="22" t="inlineStr"/>
      <c r="E33" s="23" t="inlineStr"/>
      <c r="F33" s="24">
        <f>IF($A33="","",SUMIFS(Purchases!$D$5:$D$304,Purchases!$B$5:$B$304,$A33))</f>
        <v/>
      </c>
      <c r="G33" s="24">
        <f>IF($A33="","",SUMIFS(Sales!$D$5:$D$504,Sales!$B$5:$B$504,$A33))</f>
        <v/>
      </c>
      <c r="H33" s="24">
        <f>IF($A33="","",MAX(0,(E33+F33-G33)))</f>
        <v/>
      </c>
      <c r="I33" s="24">
        <f>IF($A33="","",ROUNDUP(L33*O33+P33,0))</f>
        <v/>
      </c>
      <c r="J33" s="25" t="inlineStr"/>
      <c r="K33" s="26">
        <f>IF($A33="","",H33*J33)</f>
        <v/>
      </c>
      <c r="L33" s="27">
        <f>IF($A33="","",IFERROR(SUMIFS(Sales!$D$5:$D$504,Sales!$B$5:$B$504,$A33,Sales!$A$5:$A$504,"&gt;="&amp;Setup!$B$5-Setup!$B$6,Sales!$A$5:$A$504,"&lt;="&amp;Setup!$B$5)/Setup!$B$6,0))</f>
        <v/>
      </c>
      <c r="M33" s="28">
        <f>IF($A33="","",IF(L33&lt;=0,999,H33/L33))</f>
        <v/>
      </c>
      <c r="N33" s="29">
        <f>IF($A33="","",IF(L33&lt;=0,"No recent sales",Setup!$B$5+M33))</f>
        <v/>
      </c>
      <c r="O33" s="24">
        <f>IF($A33="","",Setup!$B$11)</f>
        <v/>
      </c>
      <c r="P33" s="24">
        <f>IF($A33="","",ROUNDUP(L33*Setup!$B$12,0))</f>
        <v/>
      </c>
      <c r="Q33" s="24">
        <f>IF($A33="","",IF((E33+F33-G33)&lt;0,0,IF(MAX(0,ROUNDUP(I33-H33,0))=0,0,CEILING(MAX(0,ROUNDUP(I33-H33,0)),Setup!$B$13))))</f>
        <v/>
      </c>
      <c r="R33" s="29">
        <f>IF($A33="","",IF(L33&lt;=0,"No sales signal",N33-O33))</f>
        <v/>
      </c>
      <c r="S33" s="30">
        <f>IF($A33="","",IF((E33+F33-G33)&lt;0,"Fix stock data",IF(R33="No sales signal","No action",IF(R33&lt;=Setup!$B$5,"Order now",IF(R33&lt;=Setup!$B$5+7,"Order this week",IF(H33&lt;=I33,"Plan reorder","No action"))))))</f>
        <v/>
      </c>
      <c r="T33" s="30">
        <f>IF($A33="","",IF((E33+F33-G33)&lt;0,"Review stock data",IF(H33=0,"Out of stock",IF(H33&lt;=I33,"Reorder soon","Healthy"))))</f>
        <v/>
      </c>
      <c r="U33" s="22" t="inlineStr"/>
    </row>
    <row r="34">
      <c r="A34" s="22" t="inlineStr"/>
      <c r="B34" s="22" t="inlineStr"/>
      <c r="C34" s="22" t="inlineStr"/>
      <c r="D34" s="22" t="inlineStr"/>
      <c r="E34" s="23" t="inlineStr"/>
      <c r="F34" s="24">
        <f>IF($A34="","",SUMIFS(Purchases!$D$5:$D$304,Purchases!$B$5:$B$304,$A34))</f>
        <v/>
      </c>
      <c r="G34" s="24">
        <f>IF($A34="","",SUMIFS(Sales!$D$5:$D$504,Sales!$B$5:$B$504,$A34))</f>
        <v/>
      </c>
      <c r="H34" s="24">
        <f>IF($A34="","",MAX(0,(E34+F34-G34)))</f>
        <v/>
      </c>
      <c r="I34" s="24">
        <f>IF($A34="","",ROUNDUP(L34*O34+P34,0))</f>
        <v/>
      </c>
      <c r="J34" s="25" t="inlineStr"/>
      <c r="K34" s="26">
        <f>IF($A34="","",H34*J34)</f>
        <v/>
      </c>
      <c r="L34" s="27">
        <f>IF($A34="","",IFERROR(SUMIFS(Sales!$D$5:$D$504,Sales!$B$5:$B$504,$A34,Sales!$A$5:$A$504,"&gt;="&amp;Setup!$B$5-Setup!$B$6,Sales!$A$5:$A$504,"&lt;="&amp;Setup!$B$5)/Setup!$B$6,0))</f>
        <v/>
      </c>
      <c r="M34" s="28">
        <f>IF($A34="","",IF(L34&lt;=0,999,H34/L34))</f>
        <v/>
      </c>
      <c r="N34" s="29">
        <f>IF($A34="","",IF(L34&lt;=0,"No recent sales",Setup!$B$5+M34))</f>
        <v/>
      </c>
      <c r="O34" s="24">
        <f>IF($A34="","",Setup!$B$11)</f>
        <v/>
      </c>
      <c r="P34" s="24">
        <f>IF($A34="","",ROUNDUP(L34*Setup!$B$12,0))</f>
        <v/>
      </c>
      <c r="Q34" s="24">
        <f>IF($A34="","",IF((E34+F34-G34)&lt;0,0,IF(MAX(0,ROUNDUP(I34-H34,0))=0,0,CEILING(MAX(0,ROUNDUP(I34-H34,0)),Setup!$B$13))))</f>
        <v/>
      </c>
      <c r="R34" s="29">
        <f>IF($A34="","",IF(L34&lt;=0,"No sales signal",N34-O34))</f>
        <v/>
      </c>
      <c r="S34" s="30">
        <f>IF($A34="","",IF((E34+F34-G34)&lt;0,"Fix stock data",IF(R34="No sales signal","No action",IF(R34&lt;=Setup!$B$5,"Order now",IF(R34&lt;=Setup!$B$5+7,"Order this week",IF(H34&lt;=I34,"Plan reorder","No action"))))))</f>
        <v/>
      </c>
      <c r="T34" s="30">
        <f>IF($A34="","",IF((E34+F34-G34)&lt;0,"Review stock data",IF(H34=0,"Out of stock",IF(H34&lt;=I34,"Reorder soon","Healthy"))))</f>
        <v/>
      </c>
      <c r="U34" s="22" t="inlineStr"/>
    </row>
    <row r="35">
      <c r="A35" s="22" t="inlineStr"/>
      <c r="B35" s="22" t="inlineStr"/>
      <c r="C35" s="22" t="inlineStr"/>
      <c r="D35" s="22" t="inlineStr"/>
      <c r="E35" s="23" t="inlineStr"/>
      <c r="F35" s="24">
        <f>IF($A35="","",SUMIFS(Purchases!$D$5:$D$304,Purchases!$B$5:$B$304,$A35))</f>
        <v/>
      </c>
      <c r="G35" s="24">
        <f>IF($A35="","",SUMIFS(Sales!$D$5:$D$504,Sales!$B$5:$B$504,$A35))</f>
        <v/>
      </c>
      <c r="H35" s="24">
        <f>IF($A35="","",MAX(0,(E35+F35-G35)))</f>
        <v/>
      </c>
      <c r="I35" s="24">
        <f>IF($A35="","",ROUNDUP(L35*O35+P35,0))</f>
        <v/>
      </c>
      <c r="J35" s="25" t="inlineStr"/>
      <c r="K35" s="26">
        <f>IF($A35="","",H35*J35)</f>
        <v/>
      </c>
      <c r="L35" s="27">
        <f>IF($A35="","",IFERROR(SUMIFS(Sales!$D$5:$D$504,Sales!$B$5:$B$504,$A35,Sales!$A$5:$A$504,"&gt;="&amp;Setup!$B$5-Setup!$B$6,Sales!$A$5:$A$504,"&lt;="&amp;Setup!$B$5)/Setup!$B$6,0))</f>
        <v/>
      </c>
      <c r="M35" s="28">
        <f>IF($A35="","",IF(L35&lt;=0,999,H35/L35))</f>
        <v/>
      </c>
      <c r="N35" s="29">
        <f>IF($A35="","",IF(L35&lt;=0,"No recent sales",Setup!$B$5+M35))</f>
        <v/>
      </c>
      <c r="O35" s="24">
        <f>IF($A35="","",Setup!$B$11)</f>
        <v/>
      </c>
      <c r="P35" s="24">
        <f>IF($A35="","",ROUNDUP(L35*Setup!$B$12,0))</f>
        <v/>
      </c>
      <c r="Q35" s="24">
        <f>IF($A35="","",IF((E35+F35-G35)&lt;0,0,IF(MAX(0,ROUNDUP(I35-H35,0))=0,0,CEILING(MAX(0,ROUNDUP(I35-H35,0)),Setup!$B$13))))</f>
        <v/>
      </c>
      <c r="R35" s="29">
        <f>IF($A35="","",IF(L35&lt;=0,"No sales signal",N35-O35))</f>
        <v/>
      </c>
      <c r="S35" s="30">
        <f>IF($A35="","",IF((E35+F35-G35)&lt;0,"Fix stock data",IF(R35="No sales signal","No action",IF(R35&lt;=Setup!$B$5,"Order now",IF(R35&lt;=Setup!$B$5+7,"Order this week",IF(H35&lt;=I35,"Plan reorder","No action"))))))</f>
        <v/>
      </c>
      <c r="T35" s="30">
        <f>IF($A35="","",IF((E35+F35-G35)&lt;0,"Review stock data",IF(H35=0,"Out of stock",IF(H35&lt;=I35,"Reorder soon","Healthy"))))</f>
        <v/>
      </c>
      <c r="U35" s="22" t="inlineStr"/>
    </row>
    <row r="36">
      <c r="A36" s="22" t="inlineStr"/>
      <c r="B36" s="22" t="inlineStr"/>
      <c r="C36" s="22" t="inlineStr"/>
      <c r="D36" s="22" t="inlineStr"/>
      <c r="E36" s="23" t="inlineStr"/>
      <c r="F36" s="24">
        <f>IF($A36="","",SUMIFS(Purchases!$D$5:$D$304,Purchases!$B$5:$B$304,$A36))</f>
        <v/>
      </c>
      <c r="G36" s="24">
        <f>IF($A36="","",SUMIFS(Sales!$D$5:$D$504,Sales!$B$5:$B$504,$A36))</f>
        <v/>
      </c>
      <c r="H36" s="24">
        <f>IF($A36="","",MAX(0,(E36+F36-G36)))</f>
        <v/>
      </c>
      <c r="I36" s="24">
        <f>IF($A36="","",ROUNDUP(L36*O36+P36,0))</f>
        <v/>
      </c>
      <c r="J36" s="25" t="inlineStr"/>
      <c r="K36" s="26">
        <f>IF($A36="","",H36*J36)</f>
        <v/>
      </c>
      <c r="L36" s="27">
        <f>IF($A36="","",IFERROR(SUMIFS(Sales!$D$5:$D$504,Sales!$B$5:$B$504,$A36,Sales!$A$5:$A$504,"&gt;="&amp;Setup!$B$5-Setup!$B$6,Sales!$A$5:$A$504,"&lt;="&amp;Setup!$B$5)/Setup!$B$6,0))</f>
        <v/>
      </c>
      <c r="M36" s="28">
        <f>IF($A36="","",IF(L36&lt;=0,999,H36/L36))</f>
        <v/>
      </c>
      <c r="N36" s="29">
        <f>IF($A36="","",IF(L36&lt;=0,"No recent sales",Setup!$B$5+M36))</f>
        <v/>
      </c>
      <c r="O36" s="24">
        <f>IF($A36="","",Setup!$B$11)</f>
        <v/>
      </c>
      <c r="P36" s="24">
        <f>IF($A36="","",ROUNDUP(L36*Setup!$B$12,0))</f>
        <v/>
      </c>
      <c r="Q36" s="24">
        <f>IF($A36="","",IF((E36+F36-G36)&lt;0,0,IF(MAX(0,ROUNDUP(I36-H36,0))=0,0,CEILING(MAX(0,ROUNDUP(I36-H36,0)),Setup!$B$13))))</f>
        <v/>
      </c>
      <c r="R36" s="29">
        <f>IF($A36="","",IF(L36&lt;=0,"No sales signal",N36-O36))</f>
        <v/>
      </c>
      <c r="S36" s="30">
        <f>IF($A36="","",IF((E36+F36-G36)&lt;0,"Fix stock data",IF(R36="No sales signal","No action",IF(R36&lt;=Setup!$B$5,"Order now",IF(R36&lt;=Setup!$B$5+7,"Order this week",IF(H36&lt;=I36,"Plan reorder","No action"))))))</f>
        <v/>
      </c>
      <c r="T36" s="30">
        <f>IF($A36="","",IF((E36+F36-G36)&lt;0,"Review stock data",IF(H36=0,"Out of stock",IF(H36&lt;=I36,"Reorder soon","Healthy"))))</f>
        <v/>
      </c>
      <c r="U36" s="22" t="inlineStr"/>
    </row>
    <row r="37">
      <c r="A37" s="22" t="inlineStr"/>
      <c r="B37" s="22" t="inlineStr"/>
      <c r="C37" s="22" t="inlineStr"/>
      <c r="D37" s="22" t="inlineStr"/>
      <c r="E37" s="23" t="inlineStr"/>
      <c r="F37" s="24">
        <f>IF($A37="","",SUMIFS(Purchases!$D$5:$D$304,Purchases!$B$5:$B$304,$A37))</f>
        <v/>
      </c>
      <c r="G37" s="24">
        <f>IF($A37="","",SUMIFS(Sales!$D$5:$D$504,Sales!$B$5:$B$504,$A37))</f>
        <v/>
      </c>
      <c r="H37" s="24">
        <f>IF($A37="","",MAX(0,(E37+F37-G37)))</f>
        <v/>
      </c>
      <c r="I37" s="24">
        <f>IF($A37="","",ROUNDUP(L37*O37+P37,0))</f>
        <v/>
      </c>
      <c r="J37" s="25" t="inlineStr"/>
      <c r="K37" s="26">
        <f>IF($A37="","",H37*J37)</f>
        <v/>
      </c>
      <c r="L37" s="27">
        <f>IF($A37="","",IFERROR(SUMIFS(Sales!$D$5:$D$504,Sales!$B$5:$B$504,$A37,Sales!$A$5:$A$504,"&gt;="&amp;Setup!$B$5-Setup!$B$6,Sales!$A$5:$A$504,"&lt;="&amp;Setup!$B$5)/Setup!$B$6,0))</f>
        <v/>
      </c>
      <c r="M37" s="28">
        <f>IF($A37="","",IF(L37&lt;=0,999,H37/L37))</f>
        <v/>
      </c>
      <c r="N37" s="29">
        <f>IF($A37="","",IF(L37&lt;=0,"No recent sales",Setup!$B$5+M37))</f>
        <v/>
      </c>
      <c r="O37" s="24">
        <f>IF($A37="","",Setup!$B$11)</f>
        <v/>
      </c>
      <c r="P37" s="24">
        <f>IF($A37="","",ROUNDUP(L37*Setup!$B$12,0))</f>
        <v/>
      </c>
      <c r="Q37" s="24">
        <f>IF($A37="","",IF((E37+F37-G37)&lt;0,0,IF(MAX(0,ROUNDUP(I37-H37,0))=0,0,CEILING(MAX(0,ROUNDUP(I37-H37,0)),Setup!$B$13))))</f>
        <v/>
      </c>
      <c r="R37" s="29">
        <f>IF($A37="","",IF(L37&lt;=0,"No sales signal",N37-O37))</f>
        <v/>
      </c>
      <c r="S37" s="30">
        <f>IF($A37="","",IF((E37+F37-G37)&lt;0,"Fix stock data",IF(R37="No sales signal","No action",IF(R37&lt;=Setup!$B$5,"Order now",IF(R37&lt;=Setup!$B$5+7,"Order this week",IF(H37&lt;=I37,"Plan reorder","No action"))))))</f>
        <v/>
      </c>
      <c r="T37" s="30">
        <f>IF($A37="","",IF((E37+F37-G37)&lt;0,"Review stock data",IF(H37=0,"Out of stock",IF(H37&lt;=I37,"Reorder soon","Healthy"))))</f>
        <v/>
      </c>
      <c r="U37" s="22" t="inlineStr"/>
    </row>
    <row r="38">
      <c r="A38" s="22" t="inlineStr"/>
      <c r="B38" s="22" t="inlineStr"/>
      <c r="C38" s="22" t="inlineStr"/>
      <c r="D38" s="22" t="inlineStr"/>
      <c r="E38" s="23" t="inlineStr"/>
      <c r="F38" s="24">
        <f>IF($A38="","",SUMIFS(Purchases!$D$5:$D$304,Purchases!$B$5:$B$304,$A38))</f>
        <v/>
      </c>
      <c r="G38" s="24">
        <f>IF($A38="","",SUMIFS(Sales!$D$5:$D$504,Sales!$B$5:$B$504,$A38))</f>
        <v/>
      </c>
      <c r="H38" s="24">
        <f>IF($A38="","",MAX(0,(E38+F38-G38)))</f>
        <v/>
      </c>
      <c r="I38" s="24">
        <f>IF($A38="","",ROUNDUP(L38*O38+P38,0))</f>
        <v/>
      </c>
      <c r="J38" s="25" t="inlineStr"/>
      <c r="K38" s="26">
        <f>IF($A38="","",H38*J38)</f>
        <v/>
      </c>
      <c r="L38" s="27">
        <f>IF($A38="","",IFERROR(SUMIFS(Sales!$D$5:$D$504,Sales!$B$5:$B$504,$A38,Sales!$A$5:$A$504,"&gt;="&amp;Setup!$B$5-Setup!$B$6,Sales!$A$5:$A$504,"&lt;="&amp;Setup!$B$5)/Setup!$B$6,0))</f>
        <v/>
      </c>
      <c r="M38" s="28">
        <f>IF($A38="","",IF(L38&lt;=0,999,H38/L38))</f>
        <v/>
      </c>
      <c r="N38" s="29">
        <f>IF($A38="","",IF(L38&lt;=0,"No recent sales",Setup!$B$5+M38))</f>
        <v/>
      </c>
      <c r="O38" s="24">
        <f>IF($A38="","",Setup!$B$11)</f>
        <v/>
      </c>
      <c r="P38" s="24">
        <f>IF($A38="","",ROUNDUP(L38*Setup!$B$12,0))</f>
        <v/>
      </c>
      <c r="Q38" s="24">
        <f>IF($A38="","",IF((E38+F38-G38)&lt;0,0,IF(MAX(0,ROUNDUP(I38-H38,0))=0,0,CEILING(MAX(0,ROUNDUP(I38-H38,0)),Setup!$B$13))))</f>
        <v/>
      </c>
      <c r="R38" s="29">
        <f>IF($A38="","",IF(L38&lt;=0,"No sales signal",N38-O38))</f>
        <v/>
      </c>
      <c r="S38" s="30">
        <f>IF($A38="","",IF((E38+F38-G38)&lt;0,"Fix stock data",IF(R38="No sales signal","No action",IF(R38&lt;=Setup!$B$5,"Order now",IF(R38&lt;=Setup!$B$5+7,"Order this week",IF(H38&lt;=I38,"Plan reorder","No action"))))))</f>
        <v/>
      </c>
      <c r="T38" s="30">
        <f>IF($A38="","",IF((E38+F38-G38)&lt;0,"Review stock data",IF(H38=0,"Out of stock",IF(H38&lt;=I38,"Reorder soon","Healthy"))))</f>
        <v/>
      </c>
      <c r="U38" s="22" t="inlineStr"/>
    </row>
    <row r="39">
      <c r="A39" s="22" t="inlineStr"/>
      <c r="B39" s="22" t="inlineStr"/>
      <c r="C39" s="22" t="inlineStr"/>
      <c r="D39" s="22" t="inlineStr"/>
      <c r="E39" s="23" t="inlineStr"/>
      <c r="F39" s="24">
        <f>IF($A39="","",SUMIFS(Purchases!$D$5:$D$304,Purchases!$B$5:$B$304,$A39))</f>
        <v/>
      </c>
      <c r="G39" s="24">
        <f>IF($A39="","",SUMIFS(Sales!$D$5:$D$504,Sales!$B$5:$B$504,$A39))</f>
        <v/>
      </c>
      <c r="H39" s="24">
        <f>IF($A39="","",MAX(0,(E39+F39-G39)))</f>
        <v/>
      </c>
      <c r="I39" s="24">
        <f>IF($A39="","",ROUNDUP(L39*O39+P39,0))</f>
        <v/>
      </c>
      <c r="J39" s="25" t="inlineStr"/>
      <c r="K39" s="26">
        <f>IF($A39="","",H39*J39)</f>
        <v/>
      </c>
      <c r="L39" s="27">
        <f>IF($A39="","",IFERROR(SUMIFS(Sales!$D$5:$D$504,Sales!$B$5:$B$504,$A39,Sales!$A$5:$A$504,"&gt;="&amp;Setup!$B$5-Setup!$B$6,Sales!$A$5:$A$504,"&lt;="&amp;Setup!$B$5)/Setup!$B$6,0))</f>
        <v/>
      </c>
      <c r="M39" s="28">
        <f>IF($A39="","",IF(L39&lt;=0,999,H39/L39))</f>
        <v/>
      </c>
      <c r="N39" s="29">
        <f>IF($A39="","",IF(L39&lt;=0,"No recent sales",Setup!$B$5+M39))</f>
        <v/>
      </c>
      <c r="O39" s="24">
        <f>IF($A39="","",Setup!$B$11)</f>
        <v/>
      </c>
      <c r="P39" s="24">
        <f>IF($A39="","",ROUNDUP(L39*Setup!$B$12,0))</f>
        <v/>
      </c>
      <c r="Q39" s="24">
        <f>IF($A39="","",IF((E39+F39-G39)&lt;0,0,IF(MAX(0,ROUNDUP(I39-H39,0))=0,0,CEILING(MAX(0,ROUNDUP(I39-H39,0)),Setup!$B$13))))</f>
        <v/>
      </c>
      <c r="R39" s="29">
        <f>IF($A39="","",IF(L39&lt;=0,"No sales signal",N39-O39))</f>
        <v/>
      </c>
      <c r="S39" s="30">
        <f>IF($A39="","",IF((E39+F39-G39)&lt;0,"Fix stock data",IF(R39="No sales signal","No action",IF(R39&lt;=Setup!$B$5,"Order now",IF(R39&lt;=Setup!$B$5+7,"Order this week",IF(H39&lt;=I39,"Plan reorder","No action"))))))</f>
        <v/>
      </c>
      <c r="T39" s="30">
        <f>IF($A39="","",IF((E39+F39-G39)&lt;0,"Review stock data",IF(H39=0,"Out of stock",IF(H39&lt;=I39,"Reorder soon","Healthy"))))</f>
        <v/>
      </c>
      <c r="U39" s="22" t="inlineStr"/>
    </row>
    <row r="40">
      <c r="A40" s="22" t="inlineStr"/>
      <c r="B40" s="22" t="inlineStr"/>
      <c r="C40" s="22" t="inlineStr"/>
      <c r="D40" s="22" t="inlineStr"/>
      <c r="E40" s="23" t="inlineStr"/>
      <c r="F40" s="24">
        <f>IF($A40="","",SUMIFS(Purchases!$D$5:$D$304,Purchases!$B$5:$B$304,$A40))</f>
        <v/>
      </c>
      <c r="G40" s="24">
        <f>IF($A40="","",SUMIFS(Sales!$D$5:$D$504,Sales!$B$5:$B$504,$A40))</f>
        <v/>
      </c>
      <c r="H40" s="24">
        <f>IF($A40="","",MAX(0,(E40+F40-G40)))</f>
        <v/>
      </c>
      <c r="I40" s="24">
        <f>IF($A40="","",ROUNDUP(L40*O40+P40,0))</f>
        <v/>
      </c>
      <c r="J40" s="25" t="inlineStr"/>
      <c r="K40" s="26">
        <f>IF($A40="","",H40*J40)</f>
        <v/>
      </c>
      <c r="L40" s="27">
        <f>IF($A40="","",IFERROR(SUMIFS(Sales!$D$5:$D$504,Sales!$B$5:$B$504,$A40,Sales!$A$5:$A$504,"&gt;="&amp;Setup!$B$5-Setup!$B$6,Sales!$A$5:$A$504,"&lt;="&amp;Setup!$B$5)/Setup!$B$6,0))</f>
        <v/>
      </c>
      <c r="M40" s="28">
        <f>IF($A40="","",IF(L40&lt;=0,999,H40/L40))</f>
        <v/>
      </c>
      <c r="N40" s="29">
        <f>IF($A40="","",IF(L40&lt;=0,"No recent sales",Setup!$B$5+M40))</f>
        <v/>
      </c>
      <c r="O40" s="24">
        <f>IF($A40="","",Setup!$B$11)</f>
        <v/>
      </c>
      <c r="P40" s="24">
        <f>IF($A40="","",ROUNDUP(L40*Setup!$B$12,0))</f>
        <v/>
      </c>
      <c r="Q40" s="24">
        <f>IF($A40="","",IF((E40+F40-G40)&lt;0,0,IF(MAX(0,ROUNDUP(I40-H40,0))=0,0,CEILING(MAX(0,ROUNDUP(I40-H40,0)),Setup!$B$13))))</f>
        <v/>
      </c>
      <c r="R40" s="29">
        <f>IF($A40="","",IF(L40&lt;=0,"No sales signal",N40-O40))</f>
        <v/>
      </c>
      <c r="S40" s="30">
        <f>IF($A40="","",IF((E40+F40-G40)&lt;0,"Fix stock data",IF(R40="No sales signal","No action",IF(R40&lt;=Setup!$B$5,"Order now",IF(R40&lt;=Setup!$B$5+7,"Order this week",IF(H40&lt;=I40,"Plan reorder","No action"))))))</f>
        <v/>
      </c>
      <c r="T40" s="30">
        <f>IF($A40="","",IF((E40+F40-G40)&lt;0,"Review stock data",IF(H40=0,"Out of stock",IF(H40&lt;=I40,"Reorder soon","Healthy"))))</f>
        <v/>
      </c>
      <c r="U40" s="22" t="inlineStr"/>
    </row>
    <row r="41">
      <c r="A41" s="22" t="inlineStr"/>
      <c r="B41" s="22" t="inlineStr"/>
      <c r="C41" s="22" t="inlineStr"/>
      <c r="D41" s="22" t="inlineStr"/>
      <c r="E41" s="23" t="inlineStr"/>
      <c r="F41" s="24">
        <f>IF($A41="","",SUMIFS(Purchases!$D$5:$D$304,Purchases!$B$5:$B$304,$A41))</f>
        <v/>
      </c>
      <c r="G41" s="24">
        <f>IF($A41="","",SUMIFS(Sales!$D$5:$D$504,Sales!$B$5:$B$504,$A41))</f>
        <v/>
      </c>
      <c r="H41" s="24">
        <f>IF($A41="","",MAX(0,(E41+F41-G41)))</f>
        <v/>
      </c>
      <c r="I41" s="24">
        <f>IF($A41="","",ROUNDUP(L41*O41+P41,0))</f>
        <v/>
      </c>
      <c r="J41" s="25" t="inlineStr"/>
      <c r="K41" s="26">
        <f>IF($A41="","",H41*J41)</f>
        <v/>
      </c>
      <c r="L41" s="27">
        <f>IF($A41="","",IFERROR(SUMIFS(Sales!$D$5:$D$504,Sales!$B$5:$B$504,$A41,Sales!$A$5:$A$504,"&gt;="&amp;Setup!$B$5-Setup!$B$6,Sales!$A$5:$A$504,"&lt;="&amp;Setup!$B$5)/Setup!$B$6,0))</f>
        <v/>
      </c>
      <c r="M41" s="28">
        <f>IF($A41="","",IF(L41&lt;=0,999,H41/L41))</f>
        <v/>
      </c>
      <c r="N41" s="29">
        <f>IF($A41="","",IF(L41&lt;=0,"No recent sales",Setup!$B$5+M41))</f>
        <v/>
      </c>
      <c r="O41" s="24">
        <f>IF($A41="","",Setup!$B$11)</f>
        <v/>
      </c>
      <c r="P41" s="24">
        <f>IF($A41="","",ROUNDUP(L41*Setup!$B$12,0))</f>
        <v/>
      </c>
      <c r="Q41" s="24">
        <f>IF($A41="","",IF((E41+F41-G41)&lt;0,0,IF(MAX(0,ROUNDUP(I41-H41,0))=0,0,CEILING(MAX(0,ROUNDUP(I41-H41,0)),Setup!$B$13))))</f>
        <v/>
      </c>
      <c r="R41" s="29">
        <f>IF($A41="","",IF(L41&lt;=0,"No sales signal",N41-O41))</f>
        <v/>
      </c>
      <c r="S41" s="30">
        <f>IF($A41="","",IF((E41+F41-G41)&lt;0,"Fix stock data",IF(R41="No sales signal","No action",IF(R41&lt;=Setup!$B$5,"Order now",IF(R41&lt;=Setup!$B$5+7,"Order this week",IF(H41&lt;=I41,"Plan reorder","No action"))))))</f>
        <v/>
      </c>
      <c r="T41" s="30">
        <f>IF($A41="","",IF((E41+F41-G41)&lt;0,"Review stock data",IF(H41=0,"Out of stock",IF(H41&lt;=I41,"Reorder soon","Healthy"))))</f>
        <v/>
      </c>
      <c r="U41" s="22" t="inlineStr"/>
    </row>
    <row r="42">
      <c r="A42" s="22" t="inlineStr"/>
      <c r="B42" s="22" t="inlineStr"/>
      <c r="C42" s="22" t="inlineStr"/>
      <c r="D42" s="22" t="inlineStr"/>
      <c r="E42" s="23" t="inlineStr"/>
      <c r="F42" s="24">
        <f>IF($A42="","",SUMIFS(Purchases!$D$5:$D$304,Purchases!$B$5:$B$304,$A42))</f>
        <v/>
      </c>
      <c r="G42" s="24">
        <f>IF($A42="","",SUMIFS(Sales!$D$5:$D$504,Sales!$B$5:$B$504,$A42))</f>
        <v/>
      </c>
      <c r="H42" s="24">
        <f>IF($A42="","",MAX(0,(E42+F42-G42)))</f>
        <v/>
      </c>
      <c r="I42" s="24">
        <f>IF($A42="","",ROUNDUP(L42*O42+P42,0))</f>
        <v/>
      </c>
      <c r="J42" s="25" t="inlineStr"/>
      <c r="K42" s="26">
        <f>IF($A42="","",H42*J42)</f>
        <v/>
      </c>
      <c r="L42" s="27">
        <f>IF($A42="","",IFERROR(SUMIFS(Sales!$D$5:$D$504,Sales!$B$5:$B$504,$A42,Sales!$A$5:$A$504,"&gt;="&amp;Setup!$B$5-Setup!$B$6,Sales!$A$5:$A$504,"&lt;="&amp;Setup!$B$5)/Setup!$B$6,0))</f>
        <v/>
      </c>
      <c r="M42" s="28">
        <f>IF($A42="","",IF(L42&lt;=0,999,H42/L42))</f>
        <v/>
      </c>
      <c r="N42" s="29">
        <f>IF($A42="","",IF(L42&lt;=0,"No recent sales",Setup!$B$5+M42))</f>
        <v/>
      </c>
      <c r="O42" s="24">
        <f>IF($A42="","",Setup!$B$11)</f>
        <v/>
      </c>
      <c r="P42" s="24">
        <f>IF($A42="","",ROUNDUP(L42*Setup!$B$12,0))</f>
        <v/>
      </c>
      <c r="Q42" s="24">
        <f>IF($A42="","",IF((E42+F42-G42)&lt;0,0,IF(MAX(0,ROUNDUP(I42-H42,0))=0,0,CEILING(MAX(0,ROUNDUP(I42-H42,0)),Setup!$B$13))))</f>
        <v/>
      </c>
      <c r="R42" s="29">
        <f>IF($A42="","",IF(L42&lt;=0,"No sales signal",N42-O42))</f>
        <v/>
      </c>
      <c r="S42" s="30">
        <f>IF($A42="","",IF((E42+F42-G42)&lt;0,"Fix stock data",IF(R42="No sales signal","No action",IF(R42&lt;=Setup!$B$5,"Order now",IF(R42&lt;=Setup!$B$5+7,"Order this week",IF(H42&lt;=I42,"Plan reorder","No action"))))))</f>
        <v/>
      </c>
      <c r="T42" s="30">
        <f>IF($A42="","",IF((E42+F42-G42)&lt;0,"Review stock data",IF(H42=0,"Out of stock",IF(H42&lt;=I42,"Reorder soon","Healthy"))))</f>
        <v/>
      </c>
      <c r="U42" s="22" t="inlineStr"/>
    </row>
    <row r="43">
      <c r="A43" s="22" t="inlineStr"/>
      <c r="B43" s="22" t="inlineStr"/>
      <c r="C43" s="22" t="inlineStr"/>
      <c r="D43" s="22" t="inlineStr"/>
      <c r="E43" s="23" t="inlineStr"/>
      <c r="F43" s="24">
        <f>IF($A43="","",SUMIFS(Purchases!$D$5:$D$304,Purchases!$B$5:$B$304,$A43))</f>
        <v/>
      </c>
      <c r="G43" s="24">
        <f>IF($A43="","",SUMIFS(Sales!$D$5:$D$504,Sales!$B$5:$B$504,$A43))</f>
        <v/>
      </c>
      <c r="H43" s="24">
        <f>IF($A43="","",MAX(0,(E43+F43-G43)))</f>
        <v/>
      </c>
      <c r="I43" s="24">
        <f>IF($A43="","",ROUNDUP(L43*O43+P43,0))</f>
        <v/>
      </c>
      <c r="J43" s="25" t="inlineStr"/>
      <c r="K43" s="26">
        <f>IF($A43="","",H43*J43)</f>
        <v/>
      </c>
      <c r="L43" s="27">
        <f>IF($A43="","",IFERROR(SUMIFS(Sales!$D$5:$D$504,Sales!$B$5:$B$504,$A43,Sales!$A$5:$A$504,"&gt;="&amp;Setup!$B$5-Setup!$B$6,Sales!$A$5:$A$504,"&lt;="&amp;Setup!$B$5)/Setup!$B$6,0))</f>
        <v/>
      </c>
      <c r="M43" s="28">
        <f>IF($A43="","",IF(L43&lt;=0,999,H43/L43))</f>
        <v/>
      </c>
      <c r="N43" s="29">
        <f>IF($A43="","",IF(L43&lt;=0,"No recent sales",Setup!$B$5+M43))</f>
        <v/>
      </c>
      <c r="O43" s="24">
        <f>IF($A43="","",Setup!$B$11)</f>
        <v/>
      </c>
      <c r="P43" s="24">
        <f>IF($A43="","",ROUNDUP(L43*Setup!$B$12,0))</f>
        <v/>
      </c>
      <c r="Q43" s="24">
        <f>IF($A43="","",IF((E43+F43-G43)&lt;0,0,IF(MAX(0,ROUNDUP(I43-H43,0))=0,0,CEILING(MAX(0,ROUNDUP(I43-H43,0)),Setup!$B$13))))</f>
        <v/>
      </c>
      <c r="R43" s="29">
        <f>IF($A43="","",IF(L43&lt;=0,"No sales signal",N43-O43))</f>
        <v/>
      </c>
      <c r="S43" s="30">
        <f>IF($A43="","",IF((E43+F43-G43)&lt;0,"Fix stock data",IF(R43="No sales signal","No action",IF(R43&lt;=Setup!$B$5,"Order now",IF(R43&lt;=Setup!$B$5+7,"Order this week",IF(H43&lt;=I43,"Plan reorder","No action"))))))</f>
        <v/>
      </c>
      <c r="T43" s="30">
        <f>IF($A43="","",IF((E43+F43-G43)&lt;0,"Review stock data",IF(H43=0,"Out of stock",IF(H43&lt;=I43,"Reorder soon","Healthy"))))</f>
        <v/>
      </c>
      <c r="U43" s="22" t="inlineStr"/>
    </row>
    <row r="44">
      <c r="A44" s="22" t="inlineStr"/>
      <c r="B44" s="22" t="inlineStr"/>
      <c r="C44" s="22" t="inlineStr"/>
      <c r="D44" s="22" t="inlineStr"/>
      <c r="E44" s="23" t="inlineStr"/>
      <c r="F44" s="24">
        <f>IF($A44="","",SUMIFS(Purchases!$D$5:$D$304,Purchases!$B$5:$B$304,$A44))</f>
        <v/>
      </c>
      <c r="G44" s="24">
        <f>IF($A44="","",SUMIFS(Sales!$D$5:$D$504,Sales!$B$5:$B$504,$A44))</f>
        <v/>
      </c>
      <c r="H44" s="24">
        <f>IF($A44="","",MAX(0,(E44+F44-G44)))</f>
        <v/>
      </c>
      <c r="I44" s="24">
        <f>IF($A44="","",ROUNDUP(L44*O44+P44,0))</f>
        <v/>
      </c>
      <c r="J44" s="25" t="inlineStr"/>
      <c r="K44" s="26">
        <f>IF($A44="","",H44*J44)</f>
        <v/>
      </c>
      <c r="L44" s="27">
        <f>IF($A44="","",IFERROR(SUMIFS(Sales!$D$5:$D$504,Sales!$B$5:$B$504,$A44,Sales!$A$5:$A$504,"&gt;="&amp;Setup!$B$5-Setup!$B$6,Sales!$A$5:$A$504,"&lt;="&amp;Setup!$B$5)/Setup!$B$6,0))</f>
        <v/>
      </c>
      <c r="M44" s="28">
        <f>IF($A44="","",IF(L44&lt;=0,999,H44/L44))</f>
        <v/>
      </c>
      <c r="N44" s="29">
        <f>IF($A44="","",IF(L44&lt;=0,"No recent sales",Setup!$B$5+M44))</f>
        <v/>
      </c>
      <c r="O44" s="24">
        <f>IF($A44="","",Setup!$B$11)</f>
        <v/>
      </c>
      <c r="P44" s="24">
        <f>IF($A44="","",ROUNDUP(L44*Setup!$B$12,0))</f>
        <v/>
      </c>
      <c r="Q44" s="24">
        <f>IF($A44="","",IF((E44+F44-G44)&lt;0,0,IF(MAX(0,ROUNDUP(I44-H44,0))=0,0,CEILING(MAX(0,ROUNDUP(I44-H44,0)),Setup!$B$13))))</f>
        <v/>
      </c>
      <c r="R44" s="29">
        <f>IF($A44="","",IF(L44&lt;=0,"No sales signal",N44-O44))</f>
        <v/>
      </c>
      <c r="S44" s="30">
        <f>IF($A44="","",IF((E44+F44-G44)&lt;0,"Fix stock data",IF(R44="No sales signal","No action",IF(R44&lt;=Setup!$B$5,"Order now",IF(R44&lt;=Setup!$B$5+7,"Order this week",IF(H44&lt;=I44,"Plan reorder","No action"))))))</f>
        <v/>
      </c>
      <c r="T44" s="30">
        <f>IF($A44="","",IF((E44+F44-G44)&lt;0,"Review stock data",IF(H44=0,"Out of stock",IF(H44&lt;=I44,"Reorder soon","Healthy"))))</f>
        <v/>
      </c>
      <c r="U44" s="22" t="inlineStr"/>
    </row>
    <row r="45">
      <c r="A45" s="22" t="inlineStr"/>
      <c r="B45" s="22" t="inlineStr"/>
      <c r="C45" s="22" t="inlineStr"/>
      <c r="D45" s="22" t="inlineStr"/>
      <c r="E45" s="23" t="inlineStr"/>
      <c r="F45" s="24">
        <f>IF($A45="","",SUMIFS(Purchases!$D$5:$D$304,Purchases!$B$5:$B$304,$A45))</f>
        <v/>
      </c>
      <c r="G45" s="24">
        <f>IF($A45="","",SUMIFS(Sales!$D$5:$D$504,Sales!$B$5:$B$504,$A45))</f>
        <v/>
      </c>
      <c r="H45" s="24">
        <f>IF($A45="","",MAX(0,(E45+F45-G45)))</f>
        <v/>
      </c>
      <c r="I45" s="24">
        <f>IF($A45="","",ROUNDUP(L45*O45+P45,0))</f>
        <v/>
      </c>
      <c r="J45" s="25" t="inlineStr"/>
      <c r="K45" s="26">
        <f>IF($A45="","",H45*J45)</f>
        <v/>
      </c>
      <c r="L45" s="27">
        <f>IF($A45="","",IFERROR(SUMIFS(Sales!$D$5:$D$504,Sales!$B$5:$B$504,$A45,Sales!$A$5:$A$504,"&gt;="&amp;Setup!$B$5-Setup!$B$6,Sales!$A$5:$A$504,"&lt;="&amp;Setup!$B$5)/Setup!$B$6,0))</f>
        <v/>
      </c>
      <c r="M45" s="28">
        <f>IF($A45="","",IF(L45&lt;=0,999,H45/L45))</f>
        <v/>
      </c>
      <c r="N45" s="29">
        <f>IF($A45="","",IF(L45&lt;=0,"No recent sales",Setup!$B$5+M45))</f>
        <v/>
      </c>
      <c r="O45" s="24">
        <f>IF($A45="","",Setup!$B$11)</f>
        <v/>
      </c>
      <c r="P45" s="24">
        <f>IF($A45="","",ROUNDUP(L45*Setup!$B$12,0))</f>
        <v/>
      </c>
      <c r="Q45" s="24">
        <f>IF($A45="","",IF((E45+F45-G45)&lt;0,0,IF(MAX(0,ROUNDUP(I45-H45,0))=0,0,CEILING(MAX(0,ROUNDUP(I45-H45,0)),Setup!$B$13))))</f>
        <v/>
      </c>
      <c r="R45" s="29">
        <f>IF($A45="","",IF(L45&lt;=0,"No sales signal",N45-O45))</f>
        <v/>
      </c>
      <c r="S45" s="30">
        <f>IF($A45="","",IF((E45+F45-G45)&lt;0,"Fix stock data",IF(R45="No sales signal","No action",IF(R45&lt;=Setup!$B$5,"Order now",IF(R45&lt;=Setup!$B$5+7,"Order this week",IF(H45&lt;=I45,"Plan reorder","No action"))))))</f>
        <v/>
      </c>
      <c r="T45" s="30">
        <f>IF($A45="","",IF((E45+F45-G45)&lt;0,"Review stock data",IF(H45=0,"Out of stock",IF(H45&lt;=I45,"Reorder soon","Healthy"))))</f>
        <v/>
      </c>
      <c r="U45" s="22" t="inlineStr"/>
    </row>
    <row r="46">
      <c r="A46" s="22" t="inlineStr"/>
      <c r="B46" s="22" t="inlineStr"/>
      <c r="C46" s="22" t="inlineStr"/>
      <c r="D46" s="22" t="inlineStr"/>
      <c r="E46" s="23" t="inlineStr"/>
      <c r="F46" s="24">
        <f>IF($A46="","",SUMIFS(Purchases!$D$5:$D$304,Purchases!$B$5:$B$304,$A46))</f>
        <v/>
      </c>
      <c r="G46" s="24">
        <f>IF($A46="","",SUMIFS(Sales!$D$5:$D$504,Sales!$B$5:$B$504,$A46))</f>
        <v/>
      </c>
      <c r="H46" s="24">
        <f>IF($A46="","",MAX(0,(E46+F46-G46)))</f>
        <v/>
      </c>
      <c r="I46" s="24">
        <f>IF($A46="","",ROUNDUP(L46*O46+P46,0))</f>
        <v/>
      </c>
      <c r="J46" s="25" t="inlineStr"/>
      <c r="K46" s="26">
        <f>IF($A46="","",H46*J46)</f>
        <v/>
      </c>
      <c r="L46" s="27">
        <f>IF($A46="","",IFERROR(SUMIFS(Sales!$D$5:$D$504,Sales!$B$5:$B$504,$A46,Sales!$A$5:$A$504,"&gt;="&amp;Setup!$B$5-Setup!$B$6,Sales!$A$5:$A$504,"&lt;="&amp;Setup!$B$5)/Setup!$B$6,0))</f>
        <v/>
      </c>
      <c r="M46" s="28">
        <f>IF($A46="","",IF(L46&lt;=0,999,H46/L46))</f>
        <v/>
      </c>
      <c r="N46" s="29">
        <f>IF($A46="","",IF(L46&lt;=0,"No recent sales",Setup!$B$5+M46))</f>
        <v/>
      </c>
      <c r="O46" s="24">
        <f>IF($A46="","",Setup!$B$11)</f>
        <v/>
      </c>
      <c r="P46" s="24">
        <f>IF($A46="","",ROUNDUP(L46*Setup!$B$12,0))</f>
        <v/>
      </c>
      <c r="Q46" s="24">
        <f>IF($A46="","",IF((E46+F46-G46)&lt;0,0,IF(MAX(0,ROUNDUP(I46-H46,0))=0,0,CEILING(MAX(0,ROUNDUP(I46-H46,0)),Setup!$B$13))))</f>
        <v/>
      </c>
      <c r="R46" s="29">
        <f>IF($A46="","",IF(L46&lt;=0,"No sales signal",N46-O46))</f>
        <v/>
      </c>
      <c r="S46" s="30">
        <f>IF($A46="","",IF((E46+F46-G46)&lt;0,"Fix stock data",IF(R46="No sales signal","No action",IF(R46&lt;=Setup!$B$5,"Order now",IF(R46&lt;=Setup!$B$5+7,"Order this week",IF(H46&lt;=I46,"Plan reorder","No action"))))))</f>
        <v/>
      </c>
      <c r="T46" s="30">
        <f>IF($A46="","",IF((E46+F46-G46)&lt;0,"Review stock data",IF(H46=0,"Out of stock",IF(H46&lt;=I46,"Reorder soon","Healthy"))))</f>
        <v/>
      </c>
      <c r="U46" s="22" t="inlineStr"/>
    </row>
    <row r="47">
      <c r="A47" s="22" t="inlineStr"/>
      <c r="B47" s="22" t="inlineStr"/>
      <c r="C47" s="22" t="inlineStr"/>
      <c r="D47" s="22" t="inlineStr"/>
      <c r="E47" s="23" t="inlineStr"/>
      <c r="F47" s="24">
        <f>IF($A47="","",SUMIFS(Purchases!$D$5:$D$304,Purchases!$B$5:$B$304,$A47))</f>
        <v/>
      </c>
      <c r="G47" s="24">
        <f>IF($A47="","",SUMIFS(Sales!$D$5:$D$504,Sales!$B$5:$B$504,$A47))</f>
        <v/>
      </c>
      <c r="H47" s="24">
        <f>IF($A47="","",MAX(0,(E47+F47-G47)))</f>
        <v/>
      </c>
      <c r="I47" s="24">
        <f>IF($A47="","",ROUNDUP(L47*O47+P47,0))</f>
        <v/>
      </c>
      <c r="J47" s="25" t="inlineStr"/>
      <c r="K47" s="26">
        <f>IF($A47="","",H47*J47)</f>
        <v/>
      </c>
      <c r="L47" s="27">
        <f>IF($A47="","",IFERROR(SUMIFS(Sales!$D$5:$D$504,Sales!$B$5:$B$504,$A47,Sales!$A$5:$A$504,"&gt;="&amp;Setup!$B$5-Setup!$B$6,Sales!$A$5:$A$504,"&lt;="&amp;Setup!$B$5)/Setup!$B$6,0))</f>
        <v/>
      </c>
      <c r="M47" s="28">
        <f>IF($A47="","",IF(L47&lt;=0,999,H47/L47))</f>
        <v/>
      </c>
      <c r="N47" s="29">
        <f>IF($A47="","",IF(L47&lt;=0,"No recent sales",Setup!$B$5+M47))</f>
        <v/>
      </c>
      <c r="O47" s="24">
        <f>IF($A47="","",Setup!$B$11)</f>
        <v/>
      </c>
      <c r="P47" s="24">
        <f>IF($A47="","",ROUNDUP(L47*Setup!$B$12,0))</f>
        <v/>
      </c>
      <c r="Q47" s="24">
        <f>IF($A47="","",IF((E47+F47-G47)&lt;0,0,IF(MAX(0,ROUNDUP(I47-H47,0))=0,0,CEILING(MAX(0,ROUNDUP(I47-H47,0)),Setup!$B$13))))</f>
        <v/>
      </c>
      <c r="R47" s="29">
        <f>IF($A47="","",IF(L47&lt;=0,"No sales signal",N47-O47))</f>
        <v/>
      </c>
      <c r="S47" s="30">
        <f>IF($A47="","",IF((E47+F47-G47)&lt;0,"Fix stock data",IF(R47="No sales signal","No action",IF(R47&lt;=Setup!$B$5,"Order now",IF(R47&lt;=Setup!$B$5+7,"Order this week",IF(H47&lt;=I47,"Plan reorder","No action"))))))</f>
        <v/>
      </c>
      <c r="T47" s="30">
        <f>IF($A47="","",IF((E47+F47-G47)&lt;0,"Review stock data",IF(H47=0,"Out of stock",IF(H47&lt;=I47,"Reorder soon","Healthy"))))</f>
        <v/>
      </c>
      <c r="U47" s="22" t="inlineStr"/>
    </row>
    <row r="48">
      <c r="A48" s="22" t="inlineStr"/>
      <c r="B48" s="22" t="inlineStr"/>
      <c r="C48" s="22" t="inlineStr"/>
      <c r="D48" s="22" t="inlineStr"/>
      <c r="E48" s="23" t="inlineStr"/>
      <c r="F48" s="24">
        <f>IF($A48="","",SUMIFS(Purchases!$D$5:$D$304,Purchases!$B$5:$B$304,$A48))</f>
        <v/>
      </c>
      <c r="G48" s="24">
        <f>IF($A48="","",SUMIFS(Sales!$D$5:$D$504,Sales!$B$5:$B$504,$A48))</f>
        <v/>
      </c>
      <c r="H48" s="24">
        <f>IF($A48="","",MAX(0,(E48+F48-G48)))</f>
        <v/>
      </c>
      <c r="I48" s="24">
        <f>IF($A48="","",ROUNDUP(L48*O48+P48,0))</f>
        <v/>
      </c>
      <c r="J48" s="25" t="inlineStr"/>
      <c r="K48" s="26">
        <f>IF($A48="","",H48*J48)</f>
        <v/>
      </c>
      <c r="L48" s="27">
        <f>IF($A48="","",IFERROR(SUMIFS(Sales!$D$5:$D$504,Sales!$B$5:$B$504,$A48,Sales!$A$5:$A$504,"&gt;="&amp;Setup!$B$5-Setup!$B$6,Sales!$A$5:$A$504,"&lt;="&amp;Setup!$B$5)/Setup!$B$6,0))</f>
        <v/>
      </c>
      <c r="M48" s="28">
        <f>IF($A48="","",IF(L48&lt;=0,999,H48/L48))</f>
        <v/>
      </c>
      <c r="N48" s="29">
        <f>IF($A48="","",IF(L48&lt;=0,"No recent sales",Setup!$B$5+M48))</f>
        <v/>
      </c>
      <c r="O48" s="24">
        <f>IF($A48="","",Setup!$B$11)</f>
        <v/>
      </c>
      <c r="P48" s="24">
        <f>IF($A48="","",ROUNDUP(L48*Setup!$B$12,0))</f>
        <v/>
      </c>
      <c r="Q48" s="24">
        <f>IF($A48="","",IF((E48+F48-G48)&lt;0,0,IF(MAX(0,ROUNDUP(I48-H48,0))=0,0,CEILING(MAX(0,ROUNDUP(I48-H48,0)),Setup!$B$13))))</f>
        <v/>
      </c>
      <c r="R48" s="29">
        <f>IF($A48="","",IF(L48&lt;=0,"No sales signal",N48-O48))</f>
        <v/>
      </c>
      <c r="S48" s="30">
        <f>IF($A48="","",IF((E48+F48-G48)&lt;0,"Fix stock data",IF(R48="No sales signal","No action",IF(R48&lt;=Setup!$B$5,"Order now",IF(R48&lt;=Setup!$B$5+7,"Order this week",IF(H48&lt;=I48,"Plan reorder","No action"))))))</f>
        <v/>
      </c>
      <c r="T48" s="30">
        <f>IF($A48="","",IF((E48+F48-G48)&lt;0,"Review stock data",IF(H48=0,"Out of stock",IF(H48&lt;=I48,"Reorder soon","Healthy"))))</f>
        <v/>
      </c>
      <c r="U48" s="22" t="inlineStr"/>
    </row>
    <row r="49">
      <c r="A49" s="22" t="inlineStr"/>
      <c r="B49" s="22" t="inlineStr"/>
      <c r="C49" s="22" t="inlineStr"/>
      <c r="D49" s="22" t="inlineStr"/>
      <c r="E49" s="23" t="inlineStr"/>
      <c r="F49" s="24">
        <f>IF($A49="","",SUMIFS(Purchases!$D$5:$D$304,Purchases!$B$5:$B$304,$A49))</f>
        <v/>
      </c>
      <c r="G49" s="24">
        <f>IF($A49="","",SUMIFS(Sales!$D$5:$D$504,Sales!$B$5:$B$504,$A49))</f>
        <v/>
      </c>
      <c r="H49" s="24">
        <f>IF($A49="","",MAX(0,(E49+F49-G49)))</f>
        <v/>
      </c>
      <c r="I49" s="24">
        <f>IF($A49="","",ROUNDUP(L49*O49+P49,0))</f>
        <v/>
      </c>
      <c r="J49" s="25" t="inlineStr"/>
      <c r="K49" s="26">
        <f>IF($A49="","",H49*J49)</f>
        <v/>
      </c>
      <c r="L49" s="27">
        <f>IF($A49="","",IFERROR(SUMIFS(Sales!$D$5:$D$504,Sales!$B$5:$B$504,$A49,Sales!$A$5:$A$504,"&gt;="&amp;Setup!$B$5-Setup!$B$6,Sales!$A$5:$A$504,"&lt;="&amp;Setup!$B$5)/Setup!$B$6,0))</f>
        <v/>
      </c>
      <c r="M49" s="28">
        <f>IF($A49="","",IF(L49&lt;=0,999,H49/L49))</f>
        <v/>
      </c>
      <c r="N49" s="29">
        <f>IF($A49="","",IF(L49&lt;=0,"No recent sales",Setup!$B$5+M49))</f>
        <v/>
      </c>
      <c r="O49" s="24">
        <f>IF($A49="","",Setup!$B$11)</f>
        <v/>
      </c>
      <c r="P49" s="24">
        <f>IF($A49="","",ROUNDUP(L49*Setup!$B$12,0))</f>
        <v/>
      </c>
      <c r="Q49" s="24">
        <f>IF($A49="","",IF((E49+F49-G49)&lt;0,0,IF(MAX(0,ROUNDUP(I49-H49,0))=0,0,CEILING(MAX(0,ROUNDUP(I49-H49,0)),Setup!$B$13))))</f>
        <v/>
      </c>
      <c r="R49" s="29">
        <f>IF($A49="","",IF(L49&lt;=0,"No sales signal",N49-O49))</f>
        <v/>
      </c>
      <c r="S49" s="30">
        <f>IF($A49="","",IF((E49+F49-G49)&lt;0,"Fix stock data",IF(R49="No sales signal","No action",IF(R49&lt;=Setup!$B$5,"Order now",IF(R49&lt;=Setup!$B$5+7,"Order this week",IF(H49&lt;=I49,"Plan reorder","No action"))))))</f>
        <v/>
      </c>
      <c r="T49" s="30">
        <f>IF($A49="","",IF((E49+F49-G49)&lt;0,"Review stock data",IF(H49=0,"Out of stock",IF(H49&lt;=I49,"Reorder soon","Healthy"))))</f>
        <v/>
      </c>
      <c r="U49" s="22" t="inlineStr"/>
    </row>
    <row r="50">
      <c r="A50" s="22" t="inlineStr"/>
      <c r="B50" s="22" t="inlineStr"/>
      <c r="C50" s="22" t="inlineStr"/>
      <c r="D50" s="22" t="inlineStr"/>
      <c r="E50" s="23" t="inlineStr"/>
      <c r="F50" s="24">
        <f>IF($A50="","",SUMIFS(Purchases!$D$5:$D$304,Purchases!$B$5:$B$304,$A50))</f>
        <v/>
      </c>
      <c r="G50" s="24">
        <f>IF($A50="","",SUMIFS(Sales!$D$5:$D$504,Sales!$B$5:$B$504,$A50))</f>
        <v/>
      </c>
      <c r="H50" s="24">
        <f>IF($A50="","",MAX(0,(E50+F50-G50)))</f>
        <v/>
      </c>
      <c r="I50" s="24">
        <f>IF($A50="","",ROUNDUP(L50*O50+P50,0))</f>
        <v/>
      </c>
      <c r="J50" s="25" t="inlineStr"/>
      <c r="K50" s="26">
        <f>IF($A50="","",H50*J50)</f>
        <v/>
      </c>
      <c r="L50" s="27">
        <f>IF($A50="","",IFERROR(SUMIFS(Sales!$D$5:$D$504,Sales!$B$5:$B$504,$A50,Sales!$A$5:$A$504,"&gt;="&amp;Setup!$B$5-Setup!$B$6,Sales!$A$5:$A$504,"&lt;="&amp;Setup!$B$5)/Setup!$B$6,0))</f>
        <v/>
      </c>
      <c r="M50" s="28">
        <f>IF($A50="","",IF(L50&lt;=0,999,H50/L50))</f>
        <v/>
      </c>
      <c r="N50" s="29">
        <f>IF($A50="","",IF(L50&lt;=0,"No recent sales",Setup!$B$5+M50))</f>
        <v/>
      </c>
      <c r="O50" s="24">
        <f>IF($A50="","",Setup!$B$11)</f>
        <v/>
      </c>
      <c r="P50" s="24">
        <f>IF($A50="","",ROUNDUP(L50*Setup!$B$12,0))</f>
        <v/>
      </c>
      <c r="Q50" s="24">
        <f>IF($A50="","",IF((E50+F50-G50)&lt;0,0,IF(MAX(0,ROUNDUP(I50-H50,0))=0,0,CEILING(MAX(0,ROUNDUP(I50-H50,0)),Setup!$B$13))))</f>
        <v/>
      </c>
      <c r="R50" s="29">
        <f>IF($A50="","",IF(L50&lt;=0,"No sales signal",N50-O50))</f>
        <v/>
      </c>
      <c r="S50" s="30">
        <f>IF($A50="","",IF((E50+F50-G50)&lt;0,"Fix stock data",IF(R50="No sales signal","No action",IF(R50&lt;=Setup!$B$5,"Order now",IF(R50&lt;=Setup!$B$5+7,"Order this week",IF(H50&lt;=I50,"Plan reorder","No action"))))))</f>
        <v/>
      </c>
      <c r="T50" s="30">
        <f>IF($A50="","",IF((E50+F50-G50)&lt;0,"Review stock data",IF(H50=0,"Out of stock",IF(H50&lt;=I50,"Reorder soon","Healthy"))))</f>
        <v/>
      </c>
      <c r="U50" s="22" t="inlineStr"/>
    </row>
    <row r="51">
      <c r="A51" s="22" t="inlineStr"/>
      <c r="B51" s="22" t="inlineStr"/>
      <c r="C51" s="22" t="inlineStr"/>
      <c r="D51" s="22" t="inlineStr"/>
      <c r="E51" s="23" t="inlineStr"/>
      <c r="F51" s="24">
        <f>IF($A51="","",SUMIFS(Purchases!$D$5:$D$304,Purchases!$B$5:$B$304,$A51))</f>
        <v/>
      </c>
      <c r="G51" s="24">
        <f>IF($A51="","",SUMIFS(Sales!$D$5:$D$504,Sales!$B$5:$B$504,$A51))</f>
        <v/>
      </c>
      <c r="H51" s="24">
        <f>IF($A51="","",MAX(0,(E51+F51-G51)))</f>
        <v/>
      </c>
      <c r="I51" s="24">
        <f>IF($A51="","",ROUNDUP(L51*O51+P51,0))</f>
        <v/>
      </c>
      <c r="J51" s="25" t="inlineStr"/>
      <c r="K51" s="26">
        <f>IF($A51="","",H51*J51)</f>
        <v/>
      </c>
      <c r="L51" s="27">
        <f>IF($A51="","",IFERROR(SUMIFS(Sales!$D$5:$D$504,Sales!$B$5:$B$504,$A51,Sales!$A$5:$A$504,"&gt;="&amp;Setup!$B$5-Setup!$B$6,Sales!$A$5:$A$504,"&lt;="&amp;Setup!$B$5)/Setup!$B$6,0))</f>
        <v/>
      </c>
      <c r="M51" s="28">
        <f>IF($A51="","",IF(L51&lt;=0,999,H51/L51))</f>
        <v/>
      </c>
      <c r="N51" s="29">
        <f>IF($A51="","",IF(L51&lt;=0,"No recent sales",Setup!$B$5+M51))</f>
        <v/>
      </c>
      <c r="O51" s="24">
        <f>IF($A51="","",Setup!$B$11)</f>
        <v/>
      </c>
      <c r="P51" s="24">
        <f>IF($A51="","",ROUNDUP(L51*Setup!$B$12,0))</f>
        <v/>
      </c>
      <c r="Q51" s="24">
        <f>IF($A51="","",IF((E51+F51-G51)&lt;0,0,IF(MAX(0,ROUNDUP(I51-H51,0))=0,0,CEILING(MAX(0,ROUNDUP(I51-H51,0)),Setup!$B$13))))</f>
        <v/>
      </c>
      <c r="R51" s="29">
        <f>IF($A51="","",IF(L51&lt;=0,"No sales signal",N51-O51))</f>
        <v/>
      </c>
      <c r="S51" s="30">
        <f>IF($A51="","",IF((E51+F51-G51)&lt;0,"Fix stock data",IF(R51="No sales signal","No action",IF(R51&lt;=Setup!$B$5,"Order now",IF(R51&lt;=Setup!$B$5+7,"Order this week",IF(H51&lt;=I51,"Plan reorder","No action"))))))</f>
        <v/>
      </c>
      <c r="T51" s="30">
        <f>IF($A51="","",IF((E51+F51-G51)&lt;0,"Review stock data",IF(H51=0,"Out of stock",IF(H51&lt;=I51,"Reorder soon","Healthy"))))</f>
        <v/>
      </c>
      <c r="U51" s="22" t="inlineStr"/>
    </row>
    <row r="52">
      <c r="A52" s="22" t="inlineStr"/>
      <c r="B52" s="22" t="inlineStr"/>
      <c r="C52" s="22" t="inlineStr"/>
      <c r="D52" s="22" t="inlineStr"/>
      <c r="E52" s="23" t="inlineStr"/>
      <c r="F52" s="24">
        <f>IF($A52="","",SUMIFS(Purchases!$D$5:$D$304,Purchases!$B$5:$B$304,$A52))</f>
        <v/>
      </c>
      <c r="G52" s="24">
        <f>IF($A52="","",SUMIFS(Sales!$D$5:$D$504,Sales!$B$5:$B$504,$A52))</f>
        <v/>
      </c>
      <c r="H52" s="24">
        <f>IF($A52="","",MAX(0,(E52+F52-G52)))</f>
        <v/>
      </c>
      <c r="I52" s="24">
        <f>IF($A52="","",ROUNDUP(L52*O52+P52,0))</f>
        <v/>
      </c>
      <c r="J52" s="25" t="inlineStr"/>
      <c r="K52" s="26">
        <f>IF($A52="","",H52*J52)</f>
        <v/>
      </c>
      <c r="L52" s="27">
        <f>IF($A52="","",IFERROR(SUMIFS(Sales!$D$5:$D$504,Sales!$B$5:$B$504,$A52,Sales!$A$5:$A$504,"&gt;="&amp;Setup!$B$5-Setup!$B$6,Sales!$A$5:$A$504,"&lt;="&amp;Setup!$B$5)/Setup!$B$6,0))</f>
        <v/>
      </c>
      <c r="M52" s="28">
        <f>IF($A52="","",IF(L52&lt;=0,999,H52/L52))</f>
        <v/>
      </c>
      <c r="N52" s="29">
        <f>IF($A52="","",IF(L52&lt;=0,"No recent sales",Setup!$B$5+M52))</f>
        <v/>
      </c>
      <c r="O52" s="24">
        <f>IF($A52="","",Setup!$B$11)</f>
        <v/>
      </c>
      <c r="P52" s="24">
        <f>IF($A52="","",ROUNDUP(L52*Setup!$B$12,0))</f>
        <v/>
      </c>
      <c r="Q52" s="24">
        <f>IF($A52="","",IF((E52+F52-G52)&lt;0,0,IF(MAX(0,ROUNDUP(I52-H52,0))=0,0,CEILING(MAX(0,ROUNDUP(I52-H52,0)),Setup!$B$13))))</f>
        <v/>
      </c>
      <c r="R52" s="29">
        <f>IF($A52="","",IF(L52&lt;=0,"No sales signal",N52-O52))</f>
        <v/>
      </c>
      <c r="S52" s="30">
        <f>IF($A52="","",IF((E52+F52-G52)&lt;0,"Fix stock data",IF(R52="No sales signal","No action",IF(R52&lt;=Setup!$B$5,"Order now",IF(R52&lt;=Setup!$B$5+7,"Order this week",IF(H52&lt;=I52,"Plan reorder","No action"))))))</f>
        <v/>
      </c>
      <c r="T52" s="30">
        <f>IF($A52="","",IF((E52+F52-G52)&lt;0,"Review stock data",IF(H52=0,"Out of stock",IF(H52&lt;=I52,"Reorder soon","Healthy"))))</f>
        <v/>
      </c>
      <c r="U52" s="22" t="inlineStr"/>
    </row>
    <row r="53">
      <c r="A53" s="22" t="inlineStr"/>
      <c r="B53" s="22" t="inlineStr"/>
      <c r="C53" s="22" t="inlineStr"/>
      <c r="D53" s="22" t="inlineStr"/>
      <c r="E53" s="23" t="inlineStr"/>
      <c r="F53" s="24">
        <f>IF($A53="","",SUMIFS(Purchases!$D$5:$D$304,Purchases!$B$5:$B$304,$A53))</f>
        <v/>
      </c>
      <c r="G53" s="24">
        <f>IF($A53="","",SUMIFS(Sales!$D$5:$D$504,Sales!$B$5:$B$504,$A53))</f>
        <v/>
      </c>
      <c r="H53" s="24">
        <f>IF($A53="","",MAX(0,(E53+F53-G53)))</f>
        <v/>
      </c>
      <c r="I53" s="24">
        <f>IF($A53="","",ROUNDUP(L53*O53+P53,0))</f>
        <v/>
      </c>
      <c r="J53" s="25" t="inlineStr"/>
      <c r="K53" s="26">
        <f>IF($A53="","",H53*J53)</f>
        <v/>
      </c>
      <c r="L53" s="27">
        <f>IF($A53="","",IFERROR(SUMIFS(Sales!$D$5:$D$504,Sales!$B$5:$B$504,$A53,Sales!$A$5:$A$504,"&gt;="&amp;Setup!$B$5-Setup!$B$6,Sales!$A$5:$A$504,"&lt;="&amp;Setup!$B$5)/Setup!$B$6,0))</f>
        <v/>
      </c>
      <c r="M53" s="28">
        <f>IF($A53="","",IF(L53&lt;=0,999,H53/L53))</f>
        <v/>
      </c>
      <c r="N53" s="29">
        <f>IF($A53="","",IF(L53&lt;=0,"No recent sales",Setup!$B$5+M53))</f>
        <v/>
      </c>
      <c r="O53" s="24">
        <f>IF($A53="","",Setup!$B$11)</f>
        <v/>
      </c>
      <c r="P53" s="24">
        <f>IF($A53="","",ROUNDUP(L53*Setup!$B$12,0))</f>
        <v/>
      </c>
      <c r="Q53" s="24">
        <f>IF($A53="","",IF((E53+F53-G53)&lt;0,0,IF(MAX(0,ROUNDUP(I53-H53,0))=0,0,CEILING(MAX(0,ROUNDUP(I53-H53,0)),Setup!$B$13))))</f>
        <v/>
      </c>
      <c r="R53" s="29">
        <f>IF($A53="","",IF(L53&lt;=0,"No sales signal",N53-O53))</f>
        <v/>
      </c>
      <c r="S53" s="30">
        <f>IF($A53="","",IF((E53+F53-G53)&lt;0,"Fix stock data",IF(R53="No sales signal","No action",IF(R53&lt;=Setup!$B$5,"Order now",IF(R53&lt;=Setup!$B$5+7,"Order this week",IF(H53&lt;=I53,"Plan reorder","No action"))))))</f>
        <v/>
      </c>
      <c r="T53" s="30">
        <f>IF($A53="","",IF((E53+F53-G53)&lt;0,"Review stock data",IF(H53=0,"Out of stock",IF(H53&lt;=I53,"Reorder soon","Healthy"))))</f>
        <v/>
      </c>
      <c r="U53" s="22" t="inlineStr"/>
    </row>
    <row r="54">
      <c r="A54" s="22" t="inlineStr"/>
      <c r="B54" s="22" t="inlineStr"/>
      <c r="C54" s="22" t="inlineStr"/>
      <c r="D54" s="22" t="inlineStr"/>
      <c r="E54" s="23" t="inlineStr"/>
      <c r="F54" s="24">
        <f>IF($A54="","",SUMIFS(Purchases!$D$5:$D$304,Purchases!$B$5:$B$304,$A54))</f>
        <v/>
      </c>
      <c r="G54" s="24">
        <f>IF($A54="","",SUMIFS(Sales!$D$5:$D$504,Sales!$B$5:$B$504,$A54))</f>
        <v/>
      </c>
      <c r="H54" s="24">
        <f>IF($A54="","",MAX(0,(E54+F54-G54)))</f>
        <v/>
      </c>
      <c r="I54" s="24">
        <f>IF($A54="","",ROUNDUP(L54*O54+P54,0))</f>
        <v/>
      </c>
      <c r="J54" s="25" t="inlineStr"/>
      <c r="K54" s="26">
        <f>IF($A54="","",H54*J54)</f>
        <v/>
      </c>
      <c r="L54" s="27">
        <f>IF($A54="","",IFERROR(SUMIFS(Sales!$D$5:$D$504,Sales!$B$5:$B$504,$A54,Sales!$A$5:$A$504,"&gt;="&amp;Setup!$B$5-Setup!$B$6,Sales!$A$5:$A$504,"&lt;="&amp;Setup!$B$5)/Setup!$B$6,0))</f>
        <v/>
      </c>
      <c r="M54" s="28">
        <f>IF($A54="","",IF(L54&lt;=0,999,H54/L54))</f>
        <v/>
      </c>
      <c r="N54" s="29">
        <f>IF($A54="","",IF(L54&lt;=0,"No recent sales",Setup!$B$5+M54))</f>
        <v/>
      </c>
      <c r="O54" s="24">
        <f>IF($A54="","",Setup!$B$11)</f>
        <v/>
      </c>
      <c r="P54" s="24">
        <f>IF($A54="","",ROUNDUP(L54*Setup!$B$12,0))</f>
        <v/>
      </c>
      <c r="Q54" s="24">
        <f>IF($A54="","",IF((E54+F54-G54)&lt;0,0,IF(MAX(0,ROUNDUP(I54-H54,0))=0,0,CEILING(MAX(0,ROUNDUP(I54-H54,0)),Setup!$B$13))))</f>
        <v/>
      </c>
      <c r="R54" s="29">
        <f>IF($A54="","",IF(L54&lt;=0,"No sales signal",N54-O54))</f>
        <v/>
      </c>
      <c r="S54" s="30">
        <f>IF($A54="","",IF((E54+F54-G54)&lt;0,"Fix stock data",IF(R54="No sales signal","No action",IF(R54&lt;=Setup!$B$5,"Order now",IF(R54&lt;=Setup!$B$5+7,"Order this week",IF(H54&lt;=I54,"Plan reorder","No action"))))))</f>
        <v/>
      </c>
      <c r="T54" s="30">
        <f>IF($A54="","",IF((E54+F54-G54)&lt;0,"Review stock data",IF(H54=0,"Out of stock",IF(H54&lt;=I54,"Reorder soon","Healthy"))))</f>
        <v/>
      </c>
      <c r="U54" s="22" t="inlineStr"/>
    </row>
    <row r="55">
      <c r="A55" s="22" t="inlineStr"/>
      <c r="B55" s="22" t="inlineStr"/>
      <c r="C55" s="22" t="inlineStr"/>
      <c r="D55" s="22" t="inlineStr"/>
      <c r="E55" s="23" t="inlineStr"/>
      <c r="F55" s="24">
        <f>IF($A55="","",SUMIFS(Purchases!$D$5:$D$304,Purchases!$B$5:$B$304,$A55))</f>
        <v/>
      </c>
      <c r="G55" s="24">
        <f>IF($A55="","",SUMIFS(Sales!$D$5:$D$504,Sales!$B$5:$B$504,$A55))</f>
        <v/>
      </c>
      <c r="H55" s="24">
        <f>IF($A55="","",MAX(0,(E55+F55-G55)))</f>
        <v/>
      </c>
      <c r="I55" s="24">
        <f>IF($A55="","",ROUNDUP(L55*O55+P55,0))</f>
        <v/>
      </c>
      <c r="J55" s="25" t="inlineStr"/>
      <c r="K55" s="26">
        <f>IF($A55="","",H55*J55)</f>
        <v/>
      </c>
      <c r="L55" s="27">
        <f>IF($A55="","",IFERROR(SUMIFS(Sales!$D$5:$D$504,Sales!$B$5:$B$504,$A55,Sales!$A$5:$A$504,"&gt;="&amp;Setup!$B$5-Setup!$B$6,Sales!$A$5:$A$504,"&lt;="&amp;Setup!$B$5)/Setup!$B$6,0))</f>
        <v/>
      </c>
      <c r="M55" s="28">
        <f>IF($A55="","",IF(L55&lt;=0,999,H55/L55))</f>
        <v/>
      </c>
      <c r="N55" s="29">
        <f>IF($A55="","",IF(L55&lt;=0,"No recent sales",Setup!$B$5+M55))</f>
        <v/>
      </c>
      <c r="O55" s="24">
        <f>IF($A55="","",Setup!$B$11)</f>
        <v/>
      </c>
      <c r="P55" s="24">
        <f>IF($A55="","",ROUNDUP(L55*Setup!$B$12,0))</f>
        <v/>
      </c>
      <c r="Q55" s="24">
        <f>IF($A55="","",IF((E55+F55-G55)&lt;0,0,IF(MAX(0,ROUNDUP(I55-H55,0))=0,0,CEILING(MAX(0,ROUNDUP(I55-H55,0)),Setup!$B$13))))</f>
        <v/>
      </c>
      <c r="R55" s="29">
        <f>IF($A55="","",IF(L55&lt;=0,"No sales signal",N55-O55))</f>
        <v/>
      </c>
      <c r="S55" s="30">
        <f>IF($A55="","",IF((E55+F55-G55)&lt;0,"Fix stock data",IF(R55="No sales signal","No action",IF(R55&lt;=Setup!$B$5,"Order now",IF(R55&lt;=Setup!$B$5+7,"Order this week",IF(H55&lt;=I55,"Plan reorder","No action"))))))</f>
        <v/>
      </c>
      <c r="T55" s="30">
        <f>IF($A55="","",IF((E55+F55-G55)&lt;0,"Review stock data",IF(H55=0,"Out of stock",IF(H55&lt;=I55,"Reorder soon","Healthy"))))</f>
        <v/>
      </c>
      <c r="U55" s="22" t="inlineStr"/>
    </row>
    <row r="56">
      <c r="A56" s="22" t="inlineStr"/>
      <c r="B56" s="22" t="inlineStr"/>
      <c r="C56" s="22" t="inlineStr"/>
      <c r="D56" s="22" t="inlineStr"/>
      <c r="E56" s="23" t="inlineStr"/>
      <c r="F56" s="24">
        <f>IF($A56="","",SUMIFS(Purchases!$D$5:$D$304,Purchases!$B$5:$B$304,$A56))</f>
        <v/>
      </c>
      <c r="G56" s="24">
        <f>IF($A56="","",SUMIFS(Sales!$D$5:$D$504,Sales!$B$5:$B$504,$A56))</f>
        <v/>
      </c>
      <c r="H56" s="24">
        <f>IF($A56="","",MAX(0,(E56+F56-G56)))</f>
        <v/>
      </c>
      <c r="I56" s="24">
        <f>IF($A56="","",ROUNDUP(L56*O56+P56,0))</f>
        <v/>
      </c>
      <c r="J56" s="25" t="inlineStr"/>
      <c r="K56" s="26">
        <f>IF($A56="","",H56*J56)</f>
        <v/>
      </c>
      <c r="L56" s="27">
        <f>IF($A56="","",IFERROR(SUMIFS(Sales!$D$5:$D$504,Sales!$B$5:$B$504,$A56,Sales!$A$5:$A$504,"&gt;="&amp;Setup!$B$5-Setup!$B$6,Sales!$A$5:$A$504,"&lt;="&amp;Setup!$B$5)/Setup!$B$6,0))</f>
        <v/>
      </c>
      <c r="M56" s="28">
        <f>IF($A56="","",IF(L56&lt;=0,999,H56/L56))</f>
        <v/>
      </c>
      <c r="N56" s="29">
        <f>IF($A56="","",IF(L56&lt;=0,"No recent sales",Setup!$B$5+M56))</f>
        <v/>
      </c>
      <c r="O56" s="24">
        <f>IF($A56="","",Setup!$B$11)</f>
        <v/>
      </c>
      <c r="P56" s="24">
        <f>IF($A56="","",ROUNDUP(L56*Setup!$B$12,0))</f>
        <v/>
      </c>
      <c r="Q56" s="24">
        <f>IF($A56="","",IF((E56+F56-G56)&lt;0,0,IF(MAX(0,ROUNDUP(I56-H56,0))=0,0,CEILING(MAX(0,ROUNDUP(I56-H56,0)),Setup!$B$13))))</f>
        <v/>
      </c>
      <c r="R56" s="29">
        <f>IF($A56="","",IF(L56&lt;=0,"No sales signal",N56-O56))</f>
        <v/>
      </c>
      <c r="S56" s="30">
        <f>IF($A56="","",IF((E56+F56-G56)&lt;0,"Fix stock data",IF(R56="No sales signal","No action",IF(R56&lt;=Setup!$B$5,"Order now",IF(R56&lt;=Setup!$B$5+7,"Order this week",IF(H56&lt;=I56,"Plan reorder","No action"))))))</f>
        <v/>
      </c>
      <c r="T56" s="30">
        <f>IF($A56="","",IF((E56+F56-G56)&lt;0,"Review stock data",IF(H56=0,"Out of stock",IF(H56&lt;=I56,"Reorder soon","Healthy"))))</f>
        <v/>
      </c>
      <c r="U56" s="22" t="inlineStr"/>
    </row>
    <row r="57">
      <c r="A57" s="22" t="inlineStr"/>
      <c r="B57" s="22" t="inlineStr"/>
      <c r="C57" s="22" t="inlineStr"/>
      <c r="D57" s="22" t="inlineStr"/>
      <c r="E57" s="23" t="inlineStr"/>
      <c r="F57" s="24">
        <f>IF($A57="","",SUMIFS(Purchases!$D$5:$D$304,Purchases!$B$5:$B$304,$A57))</f>
        <v/>
      </c>
      <c r="G57" s="24">
        <f>IF($A57="","",SUMIFS(Sales!$D$5:$D$504,Sales!$B$5:$B$504,$A57))</f>
        <v/>
      </c>
      <c r="H57" s="24">
        <f>IF($A57="","",MAX(0,(E57+F57-G57)))</f>
        <v/>
      </c>
      <c r="I57" s="24">
        <f>IF($A57="","",ROUNDUP(L57*O57+P57,0))</f>
        <v/>
      </c>
      <c r="J57" s="25" t="inlineStr"/>
      <c r="K57" s="26">
        <f>IF($A57="","",H57*J57)</f>
        <v/>
      </c>
      <c r="L57" s="27">
        <f>IF($A57="","",IFERROR(SUMIFS(Sales!$D$5:$D$504,Sales!$B$5:$B$504,$A57,Sales!$A$5:$A$504,"&gt;="&amp;Setup!$B$5-Setup!$B$6,Sales!$A$5:$A$504,"&lt;="&amp;Setup!$B$5)/Setup!$B$6,0))</f>
        <v/>
      </c>
      <c r="M57" s="28">
        <f>IF($A57="","",IF(L57&lt;=0,999,H57/L57))</f>
        <v/>
      </c>
      <c r="N57" s="29">
        <f>IF($A57="","",IF(L57&lt;=0,"No recent sales",Setup!$B$5+M57))</f>
        <v/>
      </c>
      <c r="O57" s="24">
        <f>IF($A57="","",Setup!$B$11)</f>
        <v/>
      </c>
      <c r="P57" s="24">
        <f>IF($A57="","",ROUNDUP(L57*Setup!$B$12,0))</f>
        <v/>
      </c>
      <c r="Q57" s="24">
        <f>IF($A57="","",IF((E57+F57-G57)&lt;0,0,IF(MAX(0,ROUNDUP(I57-H57,0))=0,0,CEILING(MAX(0,ROUNDUP(I57-H57,0)),Setup!$B$13))))</f>
        <v/>
      </c>
      <c r="R57" s="29">
        <f>IF($A57="","",IF(L57&lt;=0,"No sales signal",N57-O57))</f>
        <v/>
      </c>
      <c r="S57" s="30">
        <f>IF($A57="","",IF((E57+F57-G57)&lt;0,"Fix stock data",IF(R57="No sales signal","No action",IF(R57&lt;=Setup!$B$5,"Order now",IF(R57&lt;=Setup!$B$5+7,"Order this week",IF(H57&lt;=I57,"Plan reorder","No action"))))))</f>
        <v/>
      </c>
      <c r="T57" s="30">
        <f>IF($A57="","",IF((E57+F57-G57)&lt;0,"Review stock data",IF(H57=0,"Out of stock",IF(H57&lt;=I57,"Reorder soon","Healthy"))))</f>
        <v/>
      </c>
      <c r="U57" s="22" t="inlineStr"/>
    </row>
    <row r="58">
      <c r="A58" s="22" t="inlineStr"/>
      <c r="B58" s="22" t="inlineStr"/>
      <c r="C58" s="22" t="inlineStr"/>
      <c r="D58" s="22" t="inlineStr"/>
      <c r="E58" s="23" t="inlineStr"/>
      <c r="F58" s="24">
        <f>IF($A58="","",SUMIFS(Purchases!$D$5:$D$304,Purchases!$B$5:$B$304,$A58))</f>
        <v/>
      </c>
      <c r="G58" s="24">
        <f>IF($A58="","",SUMIFS(Sales!$D$5:$D$504,Sales!$B$5:$B$504,$A58))</f>
        <v/>
      </c>
      <c r="H58" s="24">
        <f>IF($A58="","",MAX(0,(E58+F58-G58)))</f>
        <v/>
      </c>
      <c r="I58" s="24">
        <f>IF($A58="","",ROUNDUP(L58*O58+P58,0))</f>
        <v/>
      </c>
      <c r="J58" s="25" t="inlineStr"/>
      <c r="K58" s="26">
        <f>IF($A58="","",H58*J58)</f>
        <v/>
      </c>
      <c r="L58" s="27">
        <f>IF($A58="","",IFERROR(SUMIFS(Sales!$D$5:$D$504,Sales!$B$5:$B$504,$A58,Sales!$A$5:$A$504,"&gt;="&amp;Setup!$B$5-Setup!$B$6,Sales!$A$5:$A$504,"&lt;="&amp;Setup!$B$5)/Setup!$B$6,0))</f>
        <v/>
      </c>
      <c r="M58" s="28">
        <f>IF($A58="","",IF(L58&lt;=0,999,H58/L58))</f>
        <v/>
      </c>
      <c r="N58" s="29">
        <f>IF($A58="","",IF(L58&lt;=0,"No recent sales",Setup!$B$5+M58))</f>
        <v/>
      </c>
      <c r="O58" s="24">
        <f>IF($A58="","",Setup!$B$11)</f>
        <v/>
      </c>
      <c r="P58" s="24">
        <f>IF($A58="","",ROUNDUP(L58*Setup!$B$12,0))</f>
        <v/>
      </c>
      <c r="Q58" s="24">
        <f>IF($A58="","",IF((E58+F58-G58)&lt;0,0,IF(MAX(0,ROUNDUP(I58-H58,0))=0,0,CEILING(MAX(0,ROUNDUP(I58-H58,0)),Setup!$B$13))))</f>
        <v/>
      </c>
      <c r="R58" s="29">
        <f>IF($A58="","",IF(L58&lt;=0,"No sales signal",N58-O58))</f>
        <v/>
      </c>
      <c r="S58" s="30">
        <f>IF($A58="","",IF((E58+F58-G58)&lt;0,"Fix stock data",IF(R58="No sales signal","No action",IF(R58&lt;=Setup!$B$5,"Order now",IF(R58&lt;=Setup!$B$5+7,"Order this week",IF(H58&lt;=I58,"Plan reorder","No action"))))))</f>
        <v/>
      </c>
      <c r="T58" s="30">
        <f>IF($A58="","",IF((E58+F58-G58)&lt;0,"Review stock data",IF(H58=0,"Out of stock",IF(H58&lt;=I58,"Reorder soon","Healthy"))))</f>
        <v/>
      </c>
      <c r="U58" s="22" t="inlineStr"/>
    </row>
    <row r="59">
      <c r="A59" s="22" t="inlineStr"/>
      <c r="B59" s="22" t="inlineStr"/>
      <c r="C59" s="22" t="inlineStr"/>
      <c r="D59" s="22" t="inlineStr"/>
      <c r="E59" s="23" t="inlineStr"/>
      <c r="F59" s="24">
        <f>IF($A59="","",SUMIFS(Purchases!$D$5:$D$304,Purchases!$B$5:$B$304,$A59))</f>
        <v/>
      </c>
      <c r="G59" s="24">
        <f>IF($A59="","",SUMIFS(Sales!$D$5:$D$504,Sales!$B$5:$B$504,$A59))</f>
        <v/>
      </c>
      <c r="H59" s="24">
        <f>IF($A59="","",MAX(0,(E59+F59-G59)))</f>
        <v/>
      </c>
      <c r="I59" s="24">
        <f>IF($A59="","",ROUNDUP(L59*O59+P59,0))</f>
        <v/>
      </c>
      <c r="J59" s="25" t="inlineStr"/>
      <c r="K59" s="26">
        <f>IF($A59="","",H59*J59)</f>
        <v/>
      </c>
      <c r="L59" s="27">
        <f>IF($A59="","",IFERROR(SUMIFS(Sales!$D$5:$D$504,Sales!$B$5:$B$504,$A59,Sales!$A$5:$A$504,"&gt;="&amp;Setup!$B$5-Setup!$B$6,Sales!$A$5:$A$504,"&lt;="&amp;Setup!$B$5)/Setup!$B$6,0))</f>
        <v/>
      </c>
      <c r="M59" s="28">
        <f>IF($A59="","",IF(L59&lt;=0,999,H59/L59))</f>
        <v/>
      </c>
      <c r="N59" s="29">
        <f>IF($A59="","",IF(L59&lt;=0,"No recent sales",Setup!$B$5+M59))</f>
        <v/>
      </c>
      <c r="O59" s="24">
        <f>IF($A59="","",Setup!$B$11)</f>
        <v/>
      </c>
      <c r="P59" s="24">
        <f>IF($A59="","",ROUNDUP(L59*Setup!$B$12,0))</f>
        <v/>
      </c>
      <c r="Q59" s="24">
        <f>IF($A59="","",IF((E59+F59-G59)&lt;0,0,IF(MAX(0,ROUNDUP(I59-H59,0))=0,0,CEILING(MAX(0,ROUNDUP(I59-H59,0)),Setup!$B$13))))</f>
        <v/>
      </c>
      <c r="R59" s="29">
        <f>IF($A59="","",IF(L59&lt;=0,"No sales signal",N59-O59))</f>
        <v/>
      </c>
      <c r="S59" s="30">
        <f>IF($A59="","",IF((E59+F59-G59)&lt;0,"Fix stock data",IF(R59="No sales signal","No action",IF(R59&lt;=Setup!$B$5,"Order now",IF(R59&lt;=Setup!$B$5+7,"Order this week",IF(H59&lt;=I59,"Plan reorder","No action"))))))</f>
        <v/>
      </c>
      <c r="T59" s="30">
        <f>IF($A59="","",IF((E59+F59-G59)&lt;0,"Review stock data",IF(H59=0,"Out of stock",IF(H59&lt;=I59,"Reorder soon","Healthy"))))</f>
        <v/>
      </c>
      <c r="U59" s="22" t="inlineStr"/>
    </row>
    <row r="60">
      <c r="A60" s="22" t="inlineStr"/>
      <c r="B60" s="22" t="inlineStr"/>
      <c r="C60" s="22" t="inlineStr"/>
      <c r="D60" s="22" t="inlineStr"/>
      <c r="E60" s="23" t="inlineStr"/>
      <c r="F60" s="24">
        <f>IF($A60="","",SUMIFS(Purchases!$D$5:$D$304,Purchases!$B$5:$B$304,$A60))</f>
        <v/>
      </c>
      <c r="G60" s="24">
        <f>IF($A60="","",SUMIFS(Sales!$D$5:$D$504,Sales!$B$5:$B$504,$A60))</f>
        <v/>
      </c>
      <c r="H60" s="24">
        <f>IF($A60="","",MAX(0,(E60+F60-G60)))</f>
        <v/>
      </c>
      <c r="I60" s="24">
        <f>IF($A60="","",ROUNDUP(L60*O60+P60,0))</f>
        <v/>
      </c>
      <c r="J60" s="25" t="inlineStr"/>
      <c r="K60" s="26">
        <f>IF($A60="","",H60*J60)</f>
        <v/>
      </c>
      <c r="L60" s="27">
        <f>IF($A60="","",IFERROR(SUMIFS(Sales!$D$5:$D$504,Sales!$B$5:$B$504,$A60,Sales!$A$5:$A$504,"&gt;="&amp;Setup!$B$5-Setup!$B$6,Sales!$A$5:$A$504,"&lt;="&amp;Setup!$B$5)/Setup!$B$6,0))</f>
        <v/>
      </c>
      <c r="M60" s="28">
        <f>IF($A60="","",IF(L60&lt;=0,999,H60/L60))</f>
        <v/>
      </c>
      <c r="N60" s="29">
        <f>IF($A60="","",IF(L60&lt;=0,"No recent sales",Setup!$B$5+M60))</f>
        <v/>
      </c>
      <c r="O60" s="24">
        <f>IF($A60="","",Setup!$B$11)</f>
        <v/>
      </c>
      <c r="P60" s="24">
        <f>IF($A60="","",ROUNDUP(L60*Setup!$B$12,0))</f>
        <v/>
      </c>
      <c r="Q60" s="24">
        <f>IF($A60="","",IF((E60+F60-G60)&lt;0,0,IF(MAX(0,ROUNDUP(I60-H60,0))=0,0,CEILING(MAX(0,ROUNDUP(I60-H60,0)),Setup!$B$13))))</f>
        <v/>
      </c>
      <c r="R60" s="29">
        <f>IF($A60="","",IF(L60&lt;=0,"No sales signal",N60-O60))</f>
        <v/>
      </c>
      <c r="S60" s="30">
        <f>IF($A60="","",IF((E60+F60-G60)&lt;0,"Fix stock data",IF(R60="No sales signal","No action",IF(R60&lt;=Setup!$B$5,"Order now",IF(R60&lt;=Setup!$B$5+7,"Order this week",IF(H60&lt;=I60,"Plan reorder","No action"))))))</f>
        <v/>
      </c>
      <c r="T60" s="30">
        <f>IF($A60="","",IF((E60+F60-G60)&lt;0,"Review stock data",IF(H60=0,"Out of stock",IF(H60&lt;=I60,"Reorder soon","Healthy"))))</f>
        <v/>
      </c>
      <c r="U60" s="22" t="inlineStr"/>
    </row>
    <row r="61">
      <c r="A61" s="22" t="inlineStr"/>
      <c r="B61" s="22" t="inlineStr"/>
      <c r="C61" s="22" t="inlineStr"/>
      <c r="D61" s="22" t="inlineStr"/>
      <c r="E61" s="23" t="inlineStr"/>
      <c r="F61" s="24">
        <f>IF($A61="","",SUMIFS(Purchases!$D$5:$D$304,Purchases!$B$5:$B$304,$A61))</f>
        <v/>
      </c>
      <c r="G61" s="24">
        <f>IF($A61="","",SUMIFS(Sales!$D$5:$D$504,Sales!$B$5:$B$504,$A61))</f>
        <v/>
      </c>
      <c r="H61" s="24">
        <f>IF($A61="","",MAX(0,(E61+F61-G61)))</f>
        <v/>
      </c>
      <c r="I61" s="24">
        <f>IF($A61="","",ROUNDUP(L61*O61+P61,0))</f>
        <v/>
      </c>
      <c r="J61" s="25" t="inlineStr"/>
      <c r="K61" s="26">
        <f>IF($A61="","",H61*J61)</f>
        <v/>
      </c>
      <c r="L61" s="27">
        <f>IF($A61="","",IFERROR(SUMIFS(Sales!$D$5:$D$504,Sales!$B$5:$B$504,$A61,Sales!$A$5:$A$504,"&gt;="&amp;Setup!$B$5-Setup!$B$6,Sales!$A$5:$A$504,"&lt;="&amp;Setup!$B$5)/Setup!$B$6,0))</f>
        <v/>
      </c>
      <c r="M61" s="28">
        <f>IF($A61="","",IF(L61&lt;=0,999,H61/L61))</f>
        <v/>
      </c>
      <c r="N61" s="29">
        <f>IF($A61="","",IF(L61&lt;=0,"No recent sales",Setup!$B$5+M61))</f>
        <v/>
      </c>
      <c r="O61" s="24">
        <f>IF($A61="","",Setup!$B$11)</f>
        <v/>
      </c>
      <c r="P61" s="24">
        <f>IF($A61="","",ROUNDUP(L61*Setup!$B$12,0))</f>
        <v/>
      </c>
      <c r="Q61" s="24">
        <f>IF($A61="","",IF((E61+F61-G61)&lt;0,0,IF(MAX(0,ROUNDUP(I61-H61,0))=0,0,CEILING(MAX(0,ROUNDUP(I61-H61,0)),Setup!$B$13))))</f>
        <v/>
      </c>
      <c r="R61" s="29">
        <f>IF($A61="","",IF(L61&lt;=0,"No sales signal",N61-O61))</f>
        <v/>
      </c>
      <c r="S61" s="30">
        <f>IF($A61="","",IF((E61+F61-G61)&lt;0,"Fix stock data",IF(R61="No sales signal","No action",IF(R61&lt;=Setup!$B$5,"Order now",IF(R61&lt;=Setup!$B$5+7,"Order this week",IF(H61&lt;=I61,"Plan reorder","No action"))))))</f>
        <v/>
      </c>
      <c r="T61" s="30">
        <f>IF($A61="","",IF((E61+F61-G61)&lt;0,"Review stock data",IF(H61=0,"Out of stock",IF(H61&lt;=I61,"Reorder soon","Healthy"))))</f>
        <v/>
      </c>
      <c r="U61" s="22" t="inlineStr"/>
    </row>
    <row r="62">
      <c r="A62" s="22" t="inlineStr"/>
      <c r="B62" s="22" t="inlineStr"/>
      <c r="C62" s="22" t="inlineStr"/>
      <c r="D62" s="22" t="inlineStr"/>
      <c r="E62" s="23" t="inlineStr"/>
      <c r="F62" s="24">
        <f>IF($A62="","",SUMIFS(Purchases!$D$5:$D$304,Purchases!$B$5:$B$304,$A62))</f>
        <v/>
      </c>
      <c r="G62" s="24">
        <f>IF($A62="","",SUMIFS(Sales!$D$5:$D$504,Sales!$B$5:$B$504,$A62))</f>
        <v/>
      </c>
      <c r="H62" s="24">
        <f>IF($A62="","",MAX(0,(E62+F62-G62)))</f>
        <v/>
      </c>
      <c r="I62" s="24">
        <f>IF($A62="","",ROUNDUP(L62*O62+P62,0))</f>
        <v/>
      </c>
      <c r="J62" s="25" t="inlineStr"/>
      <c r="K62" s="26">
        <f>IF($A62="","",H62*J62)</f>
        <v/>
      </c>
      <c r="L62" s="27">
        <f>IF($A62="","",IFERROR(SUMIFS(Sales!$D$5:$D$504,Sales!$B$5:$B$504,$A62,Sales!$A$5:$A$504,"&gt;="&amp;Setup!$B$5-Setup!$B$6,Sales!$A$5:$A$504,"&lt;="&amp;Setup!$B$5)/Setup!$B$6,0))</f>
        <v/>
      </c>
      <c r="M62" s="28">
        <f>IF($A62="","",IF(L62&lt;=0,999,H62/L62))</f>
        <v/>
      </c>
      <c r="N62" s="29">
        <f>IF($A62="","",IF(L62&lt;=0,"No recent sales",Setup!$B$5+M62))</f>
        <v/>
      </c>
      <c r="O62" s="24">
        <f>IF($A62="","",Setup!$B$11)</f>
        <v/>
      </c>
      <c r="P62" s="24">
        <f>IF($A62="","",ROUNDUP(L62*Setup!$B$12,0))</f>
        <v/>
      </c>
      <c r="Q62" s="24">
        <f>IF($A62="","",IF((E62+F62-G62)&lt;0,0,IF(MAX(0,ROUNDUP(I62-H62,0))=0,0,CEILING(MAX(0,ROUNDUP(I62-H62,0)),Setup!$B$13))))</f>
        <v/>
      </c>
      <c r="R62" s="29">
        <f>IF($A62="","",IF(L62&lt;=0,"No sales signal",N62-O62))</f>
        <v/>
      </c>
      <c r="S62" s="30">
        <f>IF($A62="","",IF((E62+F62-G62)&lt;0,"Fix stock data",IF(R62="No sales signal","No action",IF(R62&lt;=Setup!$B$5,"Order now",IF(R62&lt;=Setup!$B$5+7,"Order this week",IF(H62&lt;=I62,"Plan reorder","No action"))))))</f>
        <v/>
      </c>
      <c r="T62" s="30">
        <f>IF($A62="","",IF((E62+F62-G62)&lt;0,"Review stock data",IF(H62=0,"Out of stock",IF(H62&lt;=I62,"Reorder soon","Healthy"))))</f>
        <v/>
      </c>
      <c r="U62" s="22" t="inlineStr"/>
    </row>
    <row r="63">
      <c r="A63" s="22" t="inlineStr"/>
      <c r="B63" s="22" t="inlineStr"/>
      <c r="C63" s="22" t="inlineStr"/>
      <c r="D63" s="22" t="inlineStr"/>
      <c r="E63" s="23" t="inlineStr"/>
      <c r="F63" s="24">
        <f>IF($A63="","",SUMIFS(Purchases!$D$5:$D$304,Purchases!$B$5:$B$304,$A63))</f>
        <v/>
      </c>
      <c r="G63" s="24">
        <f>IF($A63="","",SUMIFS(Sales!$D$5:$D$504,Sales!$B$5:$B$504,$A63))</f>
        <v/>
      </c>
      <c r="H63" s="24">
        <f>IF($A63="","",MAX(0,(E63+F63-G63)))</f>
        <v/>
      </c>
      <c r="I63" s="24">
        <f>IF($A63="","",ROUNDUP(L63*O63+P63,0))</f>
        <v/>
      </c>
      <c r="J63" s="25" t="inlineStr"/>
      <c r="K63" s="26">
        <f>IF($A63="","",H63*J63)</f>
        <v/>
      </c>
      <c r="L63" s="27">
        <f>IF($A63="","",IFERROR(SUMIFS(Sales!$D$5:$D$504,Sales!$B$5:$B$504,$A63,Sales!$A$5:$A$504,"&gt;="&amp;Setup!$B$5-Setup!$B$6,Sales!$A$5:$A$504,"&lt;="&amp;Setup!$B$5)/Setup!$B$6,0))</f>
        <v/>
      </c>
      <c r="M63" s="28">
        <f>IF($A63="","",IF(L63&lt;=0,999,H63/L63))</f>
        <v/>
      </c>
      <c r="N63" s="29">
        <f>IF($A63="","",IF(L63&lt;=0,"No recent sales",Setup!$B$5+M63))</f>
        <v/>
      </c>
      <c r="O63" s="24">
        <f>IF($A63="","",Setup!$B$11)</f>
        <v/>
      </c>
      <c r="P63" s="24">
        <f>IF($A63="","",ROUNDUP(L63*Setup!$B$12,0))</f>
        <v/>
      </c>
      <c r="Q63" s="24">
        <f>IF($A63="","",IF((E63+F63-G63)&lt;0,0,IF(MAX(0,ROUNDUP(I63-H63,0))=0,0,CEILING(MAX(0,ROUNDUP(I63-H63,0)),Setup!$B$13))))</f>
        <v/>
      </c>
      <c r="R63" s="29">
        <f>IF($A63="","",IF(L63&lt;=0,"No sales signal",N63-O63))</f>
        <v/>
      </c>
      <c r="S63" s="30">
        <f>IF($A63="","",IF((E63+F63-G63)&lt;0,"Fix stock data",IF(R63="No sales signal","No action",IF(R63&lt;=Setup!$B$5,"Order now",IF(R63&lt;=Setup!$B$5+7,"Order this week",IF(H63&lt;=I63,"Plan reorder","No action"))))))</f>
        <v/>
      </c>
      <c r="T63" s="30">
        <f>IF($A63="","",IF((E63+F63-G63)&lt;0,"Review stock data",IF(H63=0,"Out of stock",IF(H63&lt;=I63,"Reorder soon","Healthy"))))</f>
        <v/>
      </c>
      <c r="U63" s="22" t="inlineStr"/>
    </row>
    <row r="64">
      <c r="A64" s="22" t="inlineStr"/>
      <c r="B64" s="22" t="inlineStr"/>
      <c r="C64" s="22" t="inlineStr"/>
      <c r="D64" s="22" t="inlineStr"/>
      <c r="E64" s="23" t="inlineStr"/>
      <c r="F64" s="24">
        <f>IF($A64="","",SUMIFS(Purchases!$D$5:$D$304,Purchases!$B$5:$B$304,$A64))</f>
        <v/>
      </c>
      <c r="G64" s="24">
        <f>IF($A64="","",SUMIFS(Sales!$D$5:$D$504,Sales!$B$5:$B$504,$A64))</f>
        <v/>
      </c>
      <c r="H64" s="24">
        <f>IF($A64="","",MAX(0,(E64+F64-G64)))</f>
        <v/>
      </c>
      <c r="I64" s="24">
        <f>IF($A64="","",ROUNDUP(L64*O64+P64,0))</f>
        <v/>
      </c>
      <c r="J64" s="25" t="inlineStr"/>
      <c r="K64" s="26">
        <f>IF($A64="","",H64*J64)</f>
        <v/>
      </c>
      <c r="L64" s="27">
        <f>IF($A64="","",IFERROR(SUMIFS(Sales!$D$5:$D$504,Sales!$B$5:$B$504,$A64,Sales!$A$5:$A$504,"&gt;="&amp;Setup!$B$5-Setup!$B$6,Sales!$A$5:$A$504,"&lt;="&amp;Setup!$B$5)/Setup!$B$6,0))</f>
        <v/>
      </c>
      <c r="M64" s="28">
        <f>IF($A64="","",IF(L64&lt;=0,999,H64/L64))</f>
        <v/>
      </c>
      <c r="N64" s="29">
        <f>IF($A64="","",IF(L64&lt;=0,"No recent sales",Setup!$B$5+M64))</f>
        <v/>
      </c>
      <c r="O64" s="24">
        <f>IF($A64="","",Setup!$B$11)</f>
        <v/>
      </c>
      <c r="P64" s="24">
        <f>IF($A64="","",ROUNDUP(L64*Setup!$B$12,0))</f>
        <v/>
      </c>
      <c r="Q64" s="24">
        <f>IF($A64="","",IF((E64+F64-G64)&lt;0,0,IF(MAX(0,ROUNDUP(I64-H64,0))=0,0,CEILING(MAX(0,ROUNDUP(I64-H64,0)),Setup!$B$13))))</f>
        <v/>
      </c>
      <c r="R64" s="29">
        <f>IF($A64="","",IF(L64&lt;=0,"No sales signal",N64-O64))</f>
        <v/>
      </c>
      <c r="S64" s="30">
        <f>IF($A64="","",IF((E64+F64-G64)&lt;0,"Fix stock data",IF(R64="No sales signal","No action",IF(R64&lt;=Setup!$B$5,"Order now",IF(R64&lt;=Setup!$B$5+7,"Order this week",IF(H64&lt;=I64,"Plan reorder","No action"))))))</f>
        <v/>
      </c>
      <c r="T64" s="30">
        <f>IF($A64="","",IF((E64+F64-G64)&lt;0,"Review stock data",IF(H64=0,"Out of stock",IF(H64&lt;=I64,"Reorder soon","Healthy"))))</f>
        <v/>
      </c>
      <c r="U64" s="22" t="inlineStr"/>
    </row>
    <row r="65">
      <c r="A65" s="22" t="inlineStr"/>
      <c r="B65" s="22" t="inlineStr"/>
      <c r="C65" s="22" t="inlineStr"/>
      <c r="D65" s="22" t="inlineStr"/>
      <c r="E65" s="23" t="inlineStr"/>
      <c r="F65" s="24">
        <f>IF($A65="","",SUMIFS(Purchases!$D$5:$D$304,Purchases!$B$5:$B$304,$A65))</f>
        <v/>
      </c>
      <c r="G65" s="24">
        <f>IF($A65="","",SUMIFS(Sales!$D$5:$D$504,Sales!$B$5:$B$504,$A65))</f>
        <v/>
      </c>
      <c r="H65" s="24">
        <f>IF($A65="","",MAX(0,(E65+F65-G65)))</f>
        <v/>
      </c>
      <c r="I65" s="24">
        <f>IF($A65="","",ROUNDUP(L65*O65+P65,0))</f>
        <v/>
      </c>
      <c r="J65" s="25" t="inlineStr"/>
      <c r="K65" s="26">
        <f>IF($A65="","",H65*J65)</f>
        <v/>
      </c>
      <c r="L65" s="27">
        <f>IF($A65="","",IFERROR(SUMIFS(Sales!$D$5:$D$504,Sales!$B$5:$B$504,$A65,Sales!$A$5:$A$504,"&gt;="&amp;Setup!$B$5-Setup!$B$6,Sales!$A$5:$A$504,"&lt;="&amp;Setup!$B$5)/Setup!$B$6,0))</f>
        <v/>
      </c>
      <c r="M65" s="28">
        <f>IF($A65="","",IF(L65&lt;=0,999,H65/L65))</f>
        <v/>
      </c>
      <c r="N65" s="29">
        <f>IF($A65="","",IF(L65&lt;=0,"No recent sales",Setup!$B$5+M65))</f>
        <v/>
      </c>
      <c r="O65" s="24">
        <f>IF($A65="","",Setup!$B$11)</f>
        <v/>
      </c>
      <c r="P65" s="24">
        <f>IF($A65="","",ROUNDUP(L65*Setup!$B$12,0))</f>
        <v/>
      </c>
      <c r="Q65" s="24">
        <f>IF($A65="","",IF((E65+F65-G65)&lt;0,0,IF(MAX(0,ROUNDUP(I65-H65,0))=0,0,CEILING(MAX(0,ROUNDUP(I65-H65,0)),Setup!$B$13))))</f>
        <v/>
      </c>
      <c r="R65" s="29">
        <f>IF($A65="","",IF(L65&lt;=0,"No sales signal",N65-O65))</f>
        <v/>
      </c>
      <c r="S65" s="30">
        <f>IF($A65="","",IF((E65+F65-G65)&lt;0,"Fix stock data",IF(R65="No sales signal","No action",IF(R65&lt;=Setup!$B$5,"Order now",IF(R65&lt;=Setup!$B$5+7,"Order this week",IF(H65&lt;=I65,"Plan reorder","No action"))))))</f>
        <v/>
      </c>
      <c r="T65" s="30">
        <f>IF($A65="","",IF((E65+F65-G65)&lt;0,"Review stock data",IF(H65=0,"Out of stock",IF(H65&lt;=I65,"Reorder soon","Healthy"))))</f>
        <v/>
      </c>
      <c r="U65" s="22" t="inlineStr"/>
    </row>
    <row r="66">
      <c r="A66" s="22" t="inlineStr"/>
      <c r="B66" s="22" t="inlineStr"/>
      <c r="C66" s="22" t="inlineStr"/>
      <c r="D66" s="22" t="inlineStr"/>
      <c r="E66" s="23" t="inlineStr"/>
      <c r="F66" s="24">
        <f>IF($A66="","",SUMIFS(Purchases!$D$5:$D$304,Purchases!$B$5:$B$304,$A66))</f>
        <v/>
      </c>
      <c r="G66" s="24">
        <f>IF($A66="","",SUMIFS(Sales!$D$5:$D$504,Sales!$B$5:$B$504,$A66))</f>
        <v/>
      </c>
      <c r="H66" s="24">
        <f>IF($A66="","",MAX(0,(E66+F66-G66)))</f>
        <v/>
      </c>
      <c r="I66" s="24">
        <f>IF($A66="","",ROUNDUP(L66*O66+P66,0))</f>
        <v/>
      </c>
      <c r="J66" s="25" t="inlineStr"/>
      <c r="K66" s="26">
        <f>IF($A66="","",H66*J66)</f>
        <v/>
      </c>
      <c r="L66" s="27">
        <f>IF($A66="","",IFERROR(SUMIFS(Sales!$D$5:$D$504,Sales!$B$5:$B$504,$A66,Sales!$A$5:$A$504,"&gt;="&amp;Setup!$B$5-Setup!$B$6,Sales!$A$5:$A$504,"&lt;="&amp;Setup!$B$5)/Setup!$B$6,0))</f>
        <v/>
      </c>
      <c r="M66" s="28">
        <f>IF($A66="","",IF(L66&lt;=0,999,H66/L66))</f>
        <v/>
      </c>
      <c r="N66" s="29">
        <f>IF($A66="","",IF(L66&lt;=0,"No recent sales",Setup!$B$5+M66))</f>
        <v/>
      </c>
      <c r="O66" s="24">
        <f>IF($A66="","",Setup!$B$11)</f>
        <v/>
      </c>
      <c r="P66" s="24">
        <f>IF($A66="","",ROUNDUP(L66*Setup!$B$12,0))</f>
        <v/>
      </c>
      <c r="Q66" s="24">
        <f>IF($A66="","",IF((E66+F66-G66)&lt;0,0,IF(MAX(0,ROUNDUP(I66-H66,0))=0,0,CEILING(MAX(0,ROUNDUP(I66-H66,0)),Setup!$B$13))))</f>
        <v/>
      </c>
      <c r="R66" s="29">
        <f>IF($A66="","",IF(L66&lt;=0,"No sales signal",N66-O66))</f>
        <v/>
      </c>
      <c r="S66" s="30">
        <f>IF($A66="","",IF((E66+F66-G66)&lt;0,"Fix stock data",IF(R66="No sales signal","No action",IF(R66&lt;=Setup!$B$5,"Order now",IF(R66&lt;=Setup!$B$5+7,"Order this week",IF(H66&lt;=I66,"Plan reorder","No action"))))))</f>
        <v/>
      </c>
      <c r="T66" s="30">
        <f>IF($A66="","",IF((E66+F66-G66)&lt;0,"Review stock data",IF(H66=0,"Out of stock",IF(H66&lt;=I66,"Reorder soon","Healthy"))))</f>
        <v/>
      </c>
      <c r="U66" s="22" t="inlineStr"/>
    </row>
    <row r="67">
      <c r="A67" s="22" t="inlineStr"/>
      <c r="B67" s="22" t="inlineStr"/>
      <c r="C67" s="22" t="inlineStr"/>
      <c r="D67" s="22" t="inlineStr"/>
      <c r="E67" s="23" t="inlineStr"/>
      <c r="F67" s="24">
        <f>IF($A67="","",SUMIFS(Purchases!$D$5:$D$304,Purchases!$B$5:$B$304,$A67))</f>
        <v/>
      </c>
      <c r="G67" s="24">
        <f>IF($A67="","",SUMIFS(Sales!$D$5:$D$504,Sales!$B$5:$B$504,$A67))</f>
        <v/>
      </c>
      <c r="H67" s="24">
        <f>IF($A67="","",MAX(0,(E67+F67-G67)))</f>
        <v/>
      </c>
      <c r="I67" s="24">
        <f>IF($A67="","",ROUNDUP(L67*O67+P67,0))</f>
        <v/>
      </c>
      <c r="J67" s="25" t="inlineStr"/>
      <c r="K67" s="26">
        <f>IF($A67="","",H67*J67)</f>
        <v/>
      </c>
      <c r="L67" s="27">
        <f>IF($A67="","",IFERROR(SUMIFS(Sales!$D$5:$D$504,Sales!$B$5:$B$504,$A67,Sales!$A$5:$A$504,"&gt;="&amp;Setup!$B$5-Setup!$B$6,Sales!$A$5:$A$504,"&lt;="&amp;Setup!$B$5)/Setup!$B$6,0))</f>
        <v/>
      </c>
      <c r="M67" s="28">
        <f>IF($A67="","",IF(L67&lt;=0,999,H67/L67))</f>
        <v/>
      </c>
      <c r="N67" s="29">
        <f>IF($A67="","",IF(L67&lt;=0,"No recent sales",Setup!$B$5+M67))</f>
        <v/>
      </c>
      <c r="O67" s="24">
        <f>IF($A67="","",Setup!$B$11)</f>
        <v/>
      </c>
      <c r="P67" s="24">
        <f>IF($A67="","",ROUNDUP(L67*Setup!$B$12,0))</f>
        <v/>
      </c>
      <c r="Q67" s="24">
        <f>IF($A67="","",IF((E67+F67-G67)&lt;0,0,IF(MAX(0,ROUNDUP(I67-H67,0))=0,0,CEILING(MAX(0,ROUNDUP(I67-H67,0)),Setup!$B$13))))</f>
        <v/>
      </c>
      <c r="R67" s="29">
        <f>IF($A67="","",IF(L67&lt;=0,"No sales signal",N67-O67))</f>
        <v/>
      </c>
      <c r="S67" s="30">
        <f>IF($A67="","",IF((E67+F67-G67)&lt;0,"Fix stock data",IF(R67="No sales signal","No action",IF(R67&lt;=Setup!$B$5,"Order now",IF(R67&lt;=Setup!$B$5+7,"Order this week",IF(H67&lt;=I67,"Plan reorder","No action"))))))</f>
        <v/>
      </c>
      <c r="T67" s="30">
        <f>IF($A67="","",IF((E67+F67-G67)&lt;0,"Review stock data",IF(H67=0,"Out of stock",IF(H67&lt;=I67,"Reorder soon","Healthy"))))</f>
        <v/>
      </c>
      <c r="U67" s="22" t="inlineStr"/>
    </row>
    <row r="68">
      <c r="A68" s="22" t="inlineStr"/>
      <c r="B68" s="22" t="inlineStr"/>
      <c r="C68" s="22" t="inlineStr"/>
      <c r="D68" s="22" t="inlineStr"/>
      <c r="E68" s="23" t="inlineStr"/>
      <c r="F68" s="24">
        <f>IF($A68="","",SUMIFS(Purchases!$D$5:$D$304,Purchases!$B$5:$B$304,$A68))</f>
        <v/>
      </c>
      <c r="G68" s="24">
        <f>IF($A68="","",SUMIFS(Sales!$D$5:$D$504,Sales!$B$5:$B$504,$A68))</f>
        <v/>
      </c>
      <c r="H68" s="24">
        <f>IF($A68="","",MAX(0,(E68+F68-G68)))</f>
        <v/>
      </c>
      <c r="I68" s="24">
        <f>IF($A68="","",ROUNDUP(L68*O68+P68,0))</f>
        <v/>
      </c>
      <c r="J68" s="25" t="inlineStr"/>
      <c r="K68" s="26">
        <f>IF($A68="","",H68*J68)</f>
        <v/>
      </c>
      <c r="L68" s="27">
        <f>IF($A68="","",IFERROR(SUMIFS(Sales!$D$5:$D$504,Sales!$B$5:$B$504,$A68,Sales!$A$5:$A$504,"&gt;="&amp;Setup!$B$5-Setup!$B$6,Sales!$A$5:$A$504,"&lt;="&amp;Setup!$B$5)/Setup!$B$6,0))</f>
        <v/>
      </c>
      <c r="M68" s="28">
        <f>IF($A68="","",IF(L68&lt;=0,999,H68/L68))</f>
        <v/>
      </c>
      <c r="N68" s="29">
        <f>IF($A68="","",IF(L68&lt;=0,"No recent sales",Setup!$B$5+M68))</f>
        <v/>
      </c>
      <c r="O68" s="24">
        <f>IF($A68="","",Setup!$B$11)</f>
        <v/>
      </c>
      <c r="P68" s="24">
        <f>IF($A68="","",ROUNDUP(L68*Setup!$B$12,0))</f>
        <v/>
      </c>
      <c r="Q68" s="24">
        <f>IF($A68="","",IF((E68+F68-G68)&lt;0,0,IF(MAX(0,ROUNDUP(I68-H68,0))=0,0,CEILING(MAX(0,ROUNDUP(I68-H68,0)),Setup!$B$13))))</f>
        <v/>
      </c>
      <c r="R68" s="29">
        <f>IF($A68="","",IF(L68&lt;=0,"No sales signal",N68-O68))</f>
        <v/>
      </c>
      <c r="S68" s="30">
        <f>IF($A68="","",IF((E68+F68-G68)&lt;0,"Fix stock data",IF(R68="No sales signal","No action",IF(R68&lt;=Setup!$B$5,"Order now",IF(R68&lt;=Setup!$B$5+7,"Order this week",IF(H68&lt;=I68,"Plan reorder","No action"))))))</f>
        <v/>
      </c>
      <c r="T68" s="30">
        <f>IF($A68="","",IF((E68+F68-G68)&lt;0,"Review stock data",IF(H68=0,"Out of stock",IF(H68&lt;=I68,"Reorder soon","Healthy"))))</f>
        <v/>
      </c>
      <c r="U68" s="22" t="inlineStr"/>
    </row>
    <row r="69">
      <c r="A69" s="22" t="inlineStr"/>
      <c r="B69" s="22" t="inlineStr"/>
      <c r="C69" s="22" t="inlineStr"/>
      <c r="D69" s="22" t="inlineStr"/>
      <c r="E69" s="23" t="inlineStr"/>
      <c r="F69" s="24">
        <f>IF($A69="","",SUMIFS(Purchases!$D$5:$D$304,Purchases!$B$5:$B$304,$A69))</f>
        <v/>
      </c>
      <c r="G69" s="24">
        <f>IF($A69="","",SUMIFS(Sales!$D$5:$D$504,Sales!$B$5:$B$504,$A69))</f>
        <v/>
      </c>
      <c r="H69" s="24">
        <f>IF($A69="","",MAX(0,(E69+F69-G69)))</f>
        <v/>
      </c>
      <c r="I69" s="24">
        <f>IF($A69="","",ROUNDUP(L69*O69+P69,0))</f>
        <v/>
      </c>
      <c r="J69" s="25" t="inlineStr"/>
      <c r="K69" s="26">
        <f>IF($A69="","",H69*J69)</f>
        <v/>
      </c>
      <c r="L69" s="27">
        <f>IF($A69="","",IFERROR(SUMIFS(Sales!$D$5:$D$504,Sales!$B$5:$B$504,$A69,Sales!$A$5:$A$504,"&gt;="&amp;Setup!$B$5-Setup!$B$6,Sales!$A$5:$A$504,"&lt;="&amp;Setup!$B$5)/Setup!$B$6,0))</f>
        <v/>
      </c>
      <c r="M69" s="28">
        <f>IF($A69="","",IF(L69&lt;=0,999,H69/L69))</f>
        <v/>
      </c>
      <c r="N69" s="29">
        <f>IF($A69="","",IF(L69&lt;=0,"No recent sales",Setup!$B$5+M69))</f>
        <v/>
      </c>
      <c r="O69" s="24">
        <f>IF($A69="","",Setup!$B$11)</f>
        <v/>
      </c>
      <c r="P69" s="24">
        <f>IF($A69="","",ROUNDUP(L69*Setup!$B$12,0))</f>
        <v/>
      </c>
      <c r="Q69" s="24">
        <f>IF($A69="","",IF((E69+F69-G69)&lt;0,0,IF(MAX(0,ROUNDUP(I69-H69,0))=0,0,CEILING(MAX(0,ROUNDUP(I69-H69,0)),Setup!$B$13))))</f>
        <v/>
      </c>
      <c r="R69" s="29">
        <f>IF($A69="","",IF(L69&lt;=0,"No sales signal",N69-O69))</f>
        <v/>
      </c>
      <c r="S69" s="30">
        <f>IF($A69="","",IF((E69+F69-G69)&lt;0,"Fix stock data",IF(R69="No sales signal","No action",IF(R69&lt;=Setup!$B$5,"Order now",IF(R69&lt;=Setup!$B$5+7,"Order this week",IF(H69&lt;=I69,"Plan reorder","No action"))))))</f>
        <v/>
      </c>
      <c r="T69" s="30">
        <f>IF($A69="","",IF((E69+F69-G69)&lt;0,"Review stock data",IF(H69=0,"Out of stock",IF(H69&lt;=I69,"Reorder soon","Healthy"))))</f>
        <v/>
      </c>
      <c r="U69" s="22" t="inlineStr"/>
    </row>
    <row r="70">
      <c r="A70" s="22" t="inlineStr"/>
      <c r="B70" s="22" t="inlineStr"/>
      <c r="C70" s="22" t="inlineStr"/>
      <c r="D70" s="22" t="inlineStr"/>
      <c r="E70" s="23" t="inlineStr"/>
      <c r="F70" s="24">
        <f>IF($A70="","",SUMIFS(Purchases!$D$5:$D$304,Purchases!$B$5:$B$304,$A70))</f>
        <v/>
      </c>
      <c r="G70" s="24">
        <f>IF($A70="","",SUMIFS(Sales!$D$5:$D$504,Sales!$B$5:$B$504,$A70))</f>
        <v/>
      </c>
      <c r="H70" s="24">
        <f>IF($A70="","",MAX(0,(E70+F70-G70)))</f>
        <v/>
      </c>
      <c r="I70" s="24">
        <f>IF($A70="","",ROUNDUP(L70*O70+P70,0))</f>
        <v/>
      </c>
      <c r="J70" s="25" t="inlineStr"/>
      <c r="K70" s="26">
        <f>IF($A70="","",H70*J70)</f>
        <v/>
      </c>
      <c r="L70" s="27">
        <f>IF($A70="","",IFERROR(SUMIFS(Sales!$D$5:$D$504,Sales!$B$5:$B$504,$A70,Sales!$A$5:$A$504,"&gt;="&amp;Setup!$B$5-Setup!$B$6,Sales!$A$5:$A$504,"&lt;="&amp;Setup!$B$5)/Setup!$B$6,0))</f>
        <v/>
      </c>
      <c r="M70" s="28">
        <f>IF($A70="","",IF(L70&lt;=0,999,H70/L70))</f>
        <v/>
      </c>
      <c r="N70" s="29">
        <f>IF($A70="","",IF(L70&lt;=0,"No recent sales",Setup!$B$5+M70))</f>
        <v/>
      </c>
      <c r="O70" s="24">
        <f>IF($A70="","",Setup!$B$11)</f>
        <v/>
      </c>
      <c r="P70" s="24">
        <f>IF($A70="","",ROUNDUP(L70*Setup!$B$12,0))</f>
        <v/>
      </c>
      <c r="Q70" s="24">
        <f>IF($A70="","",IF((E70+F70-G70)&lt;0,0,IF(MAX(0,ROUNDUP(I70-H70,0))=0,0,CEILING(MAX(0,ROUNDUP(I70-H70,0)),Setup!$B$13))))</f>
        <v/>
      </c>
      <c r="R70" s="29">
        <f>IF($A70="","",IF(L70&lt;=0,"No sales signal",N70-O70))</f>
        <v/>
      </c>
      <c r="S70" s="30">
        <f>IF($A70="","",IF((E70+F70-G70)&lt;0,"Fix stock data",IF(R70="No sales signal","No action",IF(R70&lt;=Setup!$B$5,"Order now",IF(R70&lt;=Setup!$B$5+7,"Order this week",IF(H70&lt;=I70,"Plan reorder","No action"))))))</f>
        <v/>
      </c>
      <c r="T70" s="30">
        <f>IF($A70="","",IF((E70+F70-G70)&lt;0,"Review stock data",IF(H70=0,"Out of stock",IF(H70&lt;=I70,"Reorder soon","Healthy"))))</f>
        <v/>
      </c>
      <c r="U70" s="22" t="inlineStr"/>
    </row>
    <row r="71">
      <c r="A71" s="22" t="inlineStr"/>
      <c r="B71" s="22" t="inlineStr"/>
      <c r="C71" s="22" t="inlineStr"/>
      <c r="D71" s="22" t="inlineStr"/>
      <c r="E71" s="23" t="inlineStr"/>
      <c r="F71" s="24">
        <f>IF($A71="","",SUMIFS(Purchases!$D$5:$D$304,Purchases!$B$5:$B$304,$A71))</f>
        <v/>
      </c>
      <c r="G71" s="24">
        <f>IF($A71="","",SUMIFS(Sales!$D$5:$D$504,Sales!$B$5:$B$504,$A71))</f>
        <v/>
      </c>
      <c r="H71" s="24">
        <f>IF($A71="","",MAX(0,(E71+F71-G71)))</f>
        <v/>
      </c>
      <c r="I71" s="24">
        <f>IF($A71="","",ROUNDUP(L71*O71+P71,0))</f>
        <v/>
      </c>
      <c r="J71" s="25" t="inlineStr"/>
      <c r="K71" s="26">
        <f>IF($A71="","",H71*J71)</f>
        <v/>
      </c>
      <c r="L71" s="27">
        <f>IF($A71="","",IFERROR(SUMIFS(Sales!$D$5:$D$504,Sales!$B$5:$B$504,$A71,Sales!$A$5:$A$504,"&gt;="&amp;Setup!$B$5-Setup!$B$6,Sales!$A$5:$A$504,"&lt;="&amp;Setup!$B$5)/Setup!$B$6,0))</f>
        <v/>
      </c>
      <c r="M71" s="28">
        <f>IF($A71="","",IF(L71&lt;=0,999,H71/L71))</f>
        <v/>
      </c>
      <c r="N71" s="29">
        <f>IF($A71="","",IF(L71&lt;=0,"No recent sales",Setup!$B$5+M71))</f>
        <v/>
      </c>
      <c r="O71" s="24">
        <f>IF($A71="","",Setup!$B$11)</f>
        <v/>
      </c>
      <c r="P71" s="24">
        <f>IF($A71="","",ROUNDUP(L71*Setup!$B$12,0))</f>
        <v/>
      </c>
      <c r="Q71" s="24">
        <f>IF($A71="","",IF((E71+F71-G71)&lt;0,0,IF(MAX(0,ROUNDUP(I71-H71,0))=0,0,CEILING(MAX(0,ROUNDUP(I71-H71,0)),Setup!$B$13))))</f>
        <v/>
      </c>
      <c r="R71" s="29">
        <f>IF($A71="","",IF(L71&lt;=0,"No sales signal",N71-O71))</f>
        <v/>
      </c>
      <c r="S71" s="30">
        <f>IF($A71="","",IF((E71+F71-G71)&lt;0,"Fix stock data",IF(R71="No sales signal","No action",IF(R71&lt;=Setup!$B$5,"Order now",IF(R71&lt;=Setup!$B$5+7,"Order this week",IF(H71&lt;=I71,"Plan reorder","No action"))))))</f>
        <v/>
      </c>
      <c r="T71" s="30">
        <f>IF($A71="","",IF((E71+F71-G71)&lt;0,"Review stock data",IF(H71=0,"Out of stock",IF(H71&lt;=I71,"Reorder soon","Healthy"))))</f>
        <v/>
      </c>
      <c r="U71" s="22" t="inlineStr"/>
    </row>
    <row r="72">
      <c r="A72" s="22" t="inlineStr"/>
      <c r="B72" s="22" t="inlineStr"/>
      <c r="C72" s="22" t="inlineStr"/>
      <c r="D72" s="22" t="inlineStr"/>
      <c r="E72" s="23" t="inlineStr"/>
      <c r="F72" s="24">
        <f>IF($A72="","",SUMIFS(Purchases!$D$5:$D$304,Purchases!$B$5:$B$304,$A72))</f>
        <v/>
      </c>
      <c r="G72" s="24">
        <f>IF($A72="","",SUMIFS(Sales!$D$5:$D$504,Sales!$B$5:$B$504,$A72))</f>
        <v/>
      </c>
      <c r="H72" s="24">
        <f>IF($A72="","",MAX(0,(E72+F72-G72)))</f>
        <v/>
      </c>
      <c r="I72" s="24">
        <f>IF($A72="","",ROUNDUP(L72*O72+P72,0))</f>
        <v/>
      </c>
      <c r="J72" s="25" t="inlineStr"/>
      <c r="K72" s="26">
        <f>IF($A72="","",H72*J72)</f>
        <v/>
      </c>
      <c r="L72" s="27">
        <f>IF($A72="","",IFERROR(SUMIFS(Sales!$D$5:$D$504,Sales!$B$5:$B$504,$A72,Sales!$A$5:$A$504,"&gt;="&amp;Setup!$B$5-Setup!$B$6,Sales!$A$5:$A$504,"&lt;="&amp;Setup!$B$5)/Setup!$B$6,0))</f>
        <v/>
      </c>
      <c r="M72" s="28">
        <f>IF($A72="","",IF(L72&lt;=0,999,H72/L72))</f>
        <v/>
      </c>
      <c r="N72" s="29">
        <f>IF($A72="","",IF(L72&lt;=0,"No recent sales",Setup!$B$5+M72))</f>
        <v/>
      </c>
      <c r="O72" s="24">
        <f>IF($A72="","",Setup!$B$11)</f>
        <v/>
      </c>
      <c r="P72" s="24">
        <f>IF($A72="","",ROUNDUP(L72*Setup!$B$12,0))</f>
        <v/>
      </c>
      <c r="Q72" s="24">
        <f>IF($A72="","",IF((E72+F72-G72)&lt;0,0,IF(MAX(0,ROUNDUP(I72-H72,0))=0,0,CEILING(MAX(0,ROUNDUP(I72-H72,0)),Setup!$B$13))))</f>
        <v/>
      </c>
      <c r="R72" s="29">
        <f>IF($A72="","",IF(L72&lt;=0,"No sales signal",N72-O72))</f>
        <v/>
      </c>
      <c r="S72" s="30">
        <f>IF($A72="","",IF((E72+F72-G72)&lt;0,"Fix stock data",IF(R72="No sales signal","No action",IF(R72&lt;=Setup!$B$5,"Order now",IF(R72&lt;=Setup!$B$5+7,"Order this week",IF(H72&lt;=I72,"Plan reorder","No action"))))))</f>
        <v/>
      </c>
      <c r="T72" s="30">
        <f>IF($A72="","",IF((E72+F72-G72)&lt;0,"Review stock data",IF(H72=0,"Out of stock",IF(H72&lt;=I72,"Reorder soon","Healthy"))))</f>
        <v/>
      </c>
      <c r="U72" s="22" t="inlineStr"/>
    </row>
    <row r="73">
      <c r="A73" s="22" t="inlineStr"/>
      <c r="B73" s="22" t="inlineStr"/>
      <c r="C73" s="22" t="inlineStr"/>
      <c r="D73" s="22" t="inlineStr"/>
      <c r="E73" s="23" t="inlineStr"/>
      <c r="F73" s="24">
        <f>IF($A73="","",SUMIFS(Purchases!$D$5:$D$304,Purchases!$B$5:$B$304,$A73))</f>
        <v/>
      </c>
      <c r="G73" s="24">
        <f>IF($A73="","",SUMIFS(Sales!$D$5:$D$504,Sales!$B$5:$B$504,$A73))</f>
        <v/>
      </c>
      <c r="H73" s="24">
        <f>IF($A73="","",MAX(0,(E73+F73-G73)))</f>
        <v/>
      </c>
      <c r="I73" s="24">
        <f>IF($A73="","",ROUNDUP(L73*O73+P73,0))</f>
        <v/>
      </c>
      <c r="J73" s="25" t="inlineStr"/>
      <c r="K73" s="26">
        <f>IF($A73="","",H73*J73)</f>
        <v/>
      </c>
      <c r="L73" s="27">
        <f>IF($A73="","",IFERROR(SUMIFS(Sales!$D$5:$D$504,Sales!$B$5:$B$504,$A73,Sales!$A$5:$A$504,"&gt;="&amp;Setup!$B$5-Setup!$B$6,Sales!$A$5:$A$504,"&lt;="&amp;Setup!$B$5)/Setup!$B$6,0))</f>
        <v/>
      </c>
      <c r="M73" s="28">
        <f>IF($A73="","",IF(L73&lt;=0,999,H73/L73))</f>
        <v/>
      </c>
      <c r="N73" s="29">
        <f>IF($A73="","",IF(L73&lt;=0,"No recent sales",Setup!$B$5+M73))</f>
        <v/>
      </c>
      <c r="O73" s="24">
        <f>IF($A73="","",Setup!$B$11)</f>
        <v/>
      </c>
      <c r="P73" s="24">
        <f>IF($A73="","",ROUNDUP(L73*Setup!$B$12,0))</f>
        <v/>
      </c>
      <c r="Q73" s="24">
        <f>IF($A73="","",IF((E73+F73-G73)&lt;0,0,IF(MAX(0,ROUNDUP(I73-H73,0))=0,0,CEILING(MAX(0,ROUNDUP(I73-H73,0)),Setup!$B$13))))</f>
        <v/>
      </c>
      <c r="R73" s="29">
        <f>IF($A73="","",IF(L73&lt;=0,"No sales signal",N73-O73))</f>
        <v/>
      </c>
      <c r="S73" s="30">
        <f>IF($A73="","",IF((E73+F73-G73)&lt;0,"Fix stock data",IF(R73="No sales signal","No action",IF(R73&lt;=Setup!$B$5,"Order now",IF(R73&lt;=Setup!$B$5+7,"Order this week",IF(H73&lt;=I73,"Plan reorder","No action"))))))</f>
        <v/>
      </c>
      <c r="T73" s="30">
        <f>IF($A73="","",IF((E73+F73-G73)&lt;0,"Review stock data",IF(H73=0,"Out of stock",IF(H73&lt;=I73,"Reorder soon","Healthy"))))</f>
        <v/>
      </c>
      <c r="U73" s="22" t="inlineStr"/>
    </row>
    <row r="74">
      <c r="A74" s="22" t="inlineStr"/>
      <c r="B74" s="22" t="inlineStr"/>
      <c r="C74" s="22" t="inlineStr"/>
      <c r="D74" s="22" t="inlineStr"/>
      <c r="E74" s="23" t="inlineStr"/>
      <c r="F74" s="24">
        <f>IF($A74="","",SUMIFS(Purchases!$D$5:$D$304,Purchases!$B$5:$B$304,$A74))</f>
        <v/>
      </c>
      <c r="G74" s="24">
        <f>IF($A74="","",SUMIFS(Sales!$D$5:$D$504,Sales!$B$5:$B$504,$A74))</f>
        <v/>
      </c>
      <c r="H74" s="24">
        <f>IF($A74="","",MAX(0,(E74+F74-G74)))</f>
        <v/>
      </c>
      <c r="I74" s="24">
        <f>IF($A74="","",ROUNDUP(L74*O74+P74,0))</f>
        <v/>
      </c>
      <c r="J74" s="25" t="inlineStr"/>
      <c r="K74" s="26">
        <f>IF($A74="","",H74*J74)</f>
        <v/>
      </c>
      <c r="L74" s="27">
        <f>IF($A74="","",IFERROR(SUMIFS(Sales!$D$5:$D$504,Sales!$B$5:$B$504,$A74,Sales!$A$5:$A$504,"&gt;="&amp;Setup!$B$5-Setup!$B$6,Sales!$A$5:$A$504,"&lt;="&amp;Setup!$B$5)/Setup!$B$6,0))</f>
        <v/>
      </c>
      <c r="M74" s="28">
        <f>IF($A74="","",IF(L74&lt;=0,999,H74/L74))</f>
        <v/>
      </c>
      <c r="N74" s="29">
        <f>IF($A74="","",IF(L74&lt;=0,"No recent sales",Setup!$B$5+M74))</f>
        <v/>
      </c>
      <c r="O74" s="24">
        <f>IF($A74="","",Setup!$B$11)</f>
        <v/>
      </c>
      <c r="P74" s="24">
        <f>IF($A74="","",ROUNDUP(L74*Setup!$B$12,0))</f>
        <v/>
      </c>
      <c r="Q74" s="24">
        <f>IF($A74="","",IF((E74+F74-G74)&lt;0,0,IF(MAX(0,ROUNDUP(I74-H74,0))=0,0,CEILING(MAX(0,ROUNDUP(I74-H74,0)),Setup!$B$13))))</f>
        <v/>
      </c>
      <c r="R74" s="29">
        <f>IF($A74="","",IF(L74&lt;=0,"No sales signal",N74-O74))</f>
        <v/>
      </c>
      <c r="S74" s="30">
        <f>IF($A74="","",IF((E74+F74-G74)&lt;0,"Fix stock data",IF(R74="No sales signal","No action",IF(R74&lt;=Setup!$B$5,"Order now",IF(R74&lt;=Setup!$B$5+7,"Order this week",IF(H74&lt;=I74,"Plan reorder","No action"))))))</f>
        <v/>
      </c>
      <c r="T74" s="30">
        <f>IF($A74="","",IF((E74+F74-G74)&lt;0,"Review stock data",IF(H74=0,"Out of stock",IF(H74&lt;=I74,"Reorder soon","Healthy"))))</f>
        <v/>
      </c>
      <c r="U74" s="22" t="inlineStr"/>
    </row>
    <row r="75">
      <c r="A75" s="22" t="inlineStr"/>
      <c r="B75" s="22" t="inlineStr"/>
      <c r="C75" s="22" t="inlineStr"/>
      <c r="D75" s="22" t="inlineStr"/>
      <c r="E75" s="23" t="inlineStr"/>
      <c r="F75" s="24">
        <f>IF($A75="","",SUMIFS(Purchases!$D$5:$D$304,Purchases!$B$5:$B$304,$A75))</f>
        <v/>
      </c>
      <c r="G75" s="24">
        <f>IF($A75="","",SUMIFS(Sales!$D$5:$D$504,Sales!$B$5:$B$504,$A75))</f>
        <v/>
      </c>
      <c r="H75" s="24">
        <f>IF($A75="","",MAX(0,(E75+F75-G75)))</f>
        <v/>
      </c>
      <c r="I75" s="24">
        <f>IF($A75="","",ROUNDUP(L75*O75+P75,0))</f>
        <v/>
      </c>
      <c r="J75" s="25" t="inlineStr"/>
      <c r="K75" s="26">
        <f>IF($A75="","",H75*J75)</f>
        <v/>
      </c>
      <c r="L75" s="27">
        <f>IF($A75="","",IFERROR(SUMIFS(Sales!$D$5:$D$504,Sales!$B$5:$B$504,$A75,Sales!$A$5:$A$504,"&gt;="&amp;Setup!$B$5-Setup!$B$6,Sales!$A$5:$A$504,"&lt;="&amp;Setup!$B$5)/Setup!$B$6,0))</f>
        <v/>
      </c>
      <c r="M75" s="28">
        <f>IF($A75="","",IF(L75&lt;=0,999,H75/L75))</f>
        <v/>
      </c>
      <c r="N75" s="29">
        <f>IF($A75="","",IF(L75&lt;=0,"No recent sales",Setup!$B$5+M75))</f>
        <v/>
      </c>
      <c r="O75" s="24">
        <f>IF($A75="","",Setup!$B$11)</f>
        <v/>
      </c>
      <c r="P75" s="24">
        <f>IF($A75="","",ROUNDUP(L75*Setup!$B$12,0))</f>
        <v/>
      </c>
      <c r="Q75" s="24">
        <f>IF($A75="","",IF((E75+F75-G75)&lt;0,0,IF(MAX(0,ROUNDUP(I75-H75,0))=0,0,CEILING(MAX(0,ROUNDUP(I75-H75,0)),Setup!$B$13))))</f>
        <v/>
      </c>
      <c r="R75" s="29">
        <f>IF($A75="","",IF(L75&lt;=0,"No sales signal",N75-O75))</f>
        <v/>
      </c>
      <c r="S75" s="30">
        <f>IF($A75="","",IF((E75+F75-G75)&lt;0,"Fix stock data",IF(R75="No sales signal","No action",IF(R75&lt;=Setup!$B$5,"Order now",IF(R75&lt;=Setup!$B$5+7,"Order this week",IF(H75&lt;=I75,"Plan reorder","No action"))))))</f>
        <v/>
      </c>
      <c r="T75" s="30">
        <f>IF($A75="","",IF((E75+F75-G75)&lt;0,"Review stock data",IF(H75=0,"Out of stock",IF(H75&lt;=I75,"Reorder soon","Healthy"))))</f>
        <v/>
      </c>
      <c r="U75" s="22" t="inlineStr"/>
    </row>
    <row r="76">
      <c r="A76" s="22" t="inlineStr"/>
      <c r="B76" s="22" t="inlineStr"/>
      <c r="C76" s="22" t="inlineStr"/>
      <c r="D76" s="22" t="inlineStr"/>
      <c r="E76" s="23" t="inlineStr"/>
      <c r="F76" s="24">
        <f>IF($A76="","",SUMIFS(Purchases!$D$5:$D$304,Purchases!$B$5:$B$304,$A76))</f>
        <v/>
      </c>
      <c r="G76" s="24">
        <f>IF($A76="","",SUMIFS(Sales!$D$5:$D$504,Sales!$B$5:$B$504,$A76))</f>
        <v/>
      </c>
      <c r="H76" s="24">
        <f>IF($A76="","",MAX(0,(E76+F76-G76)))</f>
        <v/>
      </c>
      <c r="I76" s="24">
        <f>IF($A76="","",ROUNDUP(L76*O76+P76,0))</f>
        <v/>
      </c>
      <c r="J76" s="25" t="inlineStr"/>
      <c r="K76" s="26">
        <f>IF($A76="","",H76*J76)</f>
        <v/>
      </c>
      <c r="L76" s="27">
        <f>IF($A76="","",IFERROR(SUMIFS(Sales!$D$5:$D$504,Sales!$B$5:$B$504,$A76,Sales!$A$5:$A$504,"&gt;="&amp;Setup!$B$5-Setup!$B$6,Sales!$A$5:$A$504,"&lt;="&amp;Setup!$B$5)/Setup!$B$6,0))</f>
        <v/>
      </c>
      <c r="M76" s="28">
        <f>IF($A76="","",IF(L76&lt;=0,999,H76/L76))</f>
        <v/>
      </c>
      <c r="N76" s="29">
        <f>IF($A76="","",IF(L76&lt;=0,"No recent sales",Setup!$B$5+M76))</f>
        <v/>
      </c>
      <c r="O76" s="24">
        <f>IF($A76="","",Setup!$B$11)</f>
        <v/>
      </c>
      <c r="P76" s="24">
        <f>IF($A76="","",ROUNDUP(L76*Setup!$B$12,0))</f>
        <v/>
      </c>
      <c r="Q76" s="24">
        <f>IF($A76="","",IF((E76+F76-G76)&lt;0,0,IF(MAX(0,ROUNDUP(I76-H76,0))=0,0,CEILING(MAX(0,ROUNDUP(I76-H76,0)),Setup!$B$13))))</f>
        <v/>
      </c>
      <c r="R76" s="29">
        <f>IF($A76="","",IF(L76&lt;=0,"No sales signal",N76-O76))</f>
        <v/>
      </c>
      <c r="S76" s="30">
        <f>IF($A76="","",IF((E76+F76-G76)&lt;0,"Fix stock data",IF(R76="No sales signal","No action",IF(R76&lt;=Setup!$B$5,"Order now",IF(R76&lt;=Setup!$B$5+7,"Order this week",IF(H76&lt;=I76,"Plan reorder","No action"))))))</f>
        <v/>
      </c>
      <c r="T76" s="30">
        <f>IF($A76="","",IF((E76+F76-G76)&lt;0,"Review stock data",IF(H76=0,"Out of stock",IF(H76&lt;=I76,"Reorder soon","Healthy"))))</f>
        <v/>
      </c>
      <c r="U76" s="22" t="inlineStr"/>
    </row>
    <row r="77">
      <c r="A77" s="22" t="inlineStr"/>
      <c r="B77" s="22" t="inlineStr"/>
      <c r="C77" s="22" t="inlineStr"/>
      <c r="D77" s="22" t="inlineStr"/>
      <c r="E77" s="23" t="inlineStr"/>
      <c r="F77" s="24">
        <f>IF($A77="","",SUMIFS(Purchases!$D$5:$D$304,Purchases!$B$5:$B$304,$A77))</f>
        <v/>
      </c>
      <c r="G77" s="24">
        <f>IF($A77="","",SUMIFS(Sales!$D$5:$D$504,Sales!$B$5:$B$504,$A77))</f>
        <v/>
      </c>
      <c r="H77" s="24">
        <f>IF($A77="","",MAX(0,(E77+F77-G77)))</f>
        <v/>
      </c>
      <c r="I77" s="24">
        <f>IF($A77="","",ROUNDUP(L77*O77+P77,0))</f>
        <v/>
      </c>
      <c r="J77" s="25" t="inlineStr"/>
      <c r="K77" s="26">
        <f>IF($A77="","",H77*J77)</f>
        <v/>
      </c>
      <c r="L77" s="27">
        <f>IF($A77="","",IFERROR(SUMIFS(Sales!$D$5:$D$504,Sales!$B$5:$B$504,$A77,Sales!$A$5:$A$504,"&gt;="&amp;Setup!$B$5-Setup!$B$6,Sales!$A$5:$A$504,"&lt;="&amp;Setup!$B$5)/Setup!$B$6,0))</f>
        <v/>
      </c>
      <c r="M77" s="28">
        <f>IF($A77="","",IF(L77&lt;=0,999,H77/L77))</f>
        <v/>
      </c>
      <c r="N77" s="29">
        <f>IF($A77="","",IF(L77&lt;=0,"No recent sales",Setup!$B$5+M77))</f>
        <v/>
      </c>
      <c r="O77" s="24">
        <f>IF($A77="","",Setup!$B$11)</f>
        <v/>
      </c>
      <c r="P77" s="24">
        <f>IF($A77="","",ROUNDUP(L77*Setup!$B$12,0))</f>
        <v/>
      </c>
      <c r="Q77" s="24">
        <f>IF($A77="","",IF((E77+F77-G77)&lt;0,0,IF(MAX(0,ROUNDUP(I77-H77,0))=0,0,CEILING(MAX(0,ROUNDUP(I77-H77,0)),Setup!$B$13))))</f>
        <v/>
      </c>
      <c r="R77" s="29">
        <f>IF($A77="","",IF(L77&lt;=0,"No sales signal",N77-O77))</f>
        <v/>
      </c>
      <c r="S77" s="30">
        <f>IF($A77="","",IF((E77+F77-G77)&lt;0,"Fix stock data",IF(R77="No sales signal","No action",IF(R77&lt;=Setup!$B$5,"Order now",IF(R77&lt;=Setup!$B$5+7,"Order this week",IF(H77&lt;=I77,"Plan reorder","No action"))))))</f>
        <v/>
      </c>
      <c r="T77" s="30">
        <f>IF($A77="","",IF((E77+F77-G77)&lt;0,"Review stock data",IF(H77=0,"Out of stock",IF(H77&lt;=I77,"Reorder soon","Healthy"))))</f>
        <v/>
      </c>
      <c r="U77" s="22" t="inlineStr"/>
    </row>
    <row r="78">
      <c r="A78" s="22" t="inlineStr"/>
      <c r="B78" s="22" t="inlineStr"/>
      <c r="C78" s="22" t="inlineStr"/>
      <c r="D78" s="22" t="inlineStr"/>
      <c r="E78" s="23" t="inlineStr"/>
      <c r="F78" s="24">
        <f>IF($A78="","",SUMIFS(Purchases!$D$5:$D$304,Purchases!$B$5:$B$304,$A78))</f>
        <v/>
      </c>
      <c r="G78" s="24">
        <f>IF($A78="","",SUMIFS(Sales!$D$5:$D$504,Sales!$B$5:$B$504,$A78))</f>
        <v/>
      </c>
      <c r="H78" s="24">
        <f>IF($A78="","",MAX(0,(E78+F78-G78)))</f>
        <v/>
      </c>
      <c r="I78" s="24">
        <f>IF($A78="","",ROUNDUP(L78*O78+P78,0))</f>
        <v/>
      </c>
      <c r="J78" s="25" t="inlineStr"/>
      <c r="K78" s="26">
        <f>IF($A78="","",H78*J78)</f>
        <v/>
      </c>
      <c r="L78" s="27">
        <f>IF($A78="","",IFERROR(SUMIFS(Sales!$D$5:$D$504,Sales!$B$5:$B$504,$A78,Sales!$A$5:$A$504,"&gt;="&amp;Setup!$B$5-Setup!$B$6,Sales!$A$5:$A$504,"&lt;="&amp;Setup!$B$5)/Setup!$B$6,0))</f>
        <v/>
      </c>
      <c r="M78" s="28">
        <f>IF($A78="","",IF(L78&lt;=0,999,H78/L78))</f>
        <v/>
      </c>
      <c r="N78" s="29">
        <f>IF($A78="","",IF(L78&lt;=0,"No recent sales",Setup!$B$5+M78))</f>
        <v/>
      </c>
      <c r="O78" s="24">
        <f>IF($A78="","",Setup!$B$11)</f>
        <v/>
      </c>
      <c r="P78" s="24">
        <f>IF($A78="","",ROUNDUP(L78*Setup!$B$12,0))</f>
        <v/>
      </c>
      <c r="Q78" s="24">
        <f>IF($A78="","",IF((E78+F78-G78)&lt;0,0,IF(MAX(0,ROUNDUP(I78-H78,0))=0,0,CEILING(MAX(0,ROUNDUP(I78-H78,0)),Setup!$B$13))))</f>
        <v/>
      </c>
      <c r="R78" s="29">
        <f>IF($A78="","",IF(L78&lt;=0,"No sales signal",N78-O78))</f>
        <v/>
      </c>
      <c r="S78" s="30">
        <f>IF($A78="","",IF((E78+F78-G78)&lt;0,"Fix stock data",IF(R78="No sales signal","No action",IF(R78&lt;=Setup!$B$5,"Order now",IF(R78&lt;=Setup!$B$5+7,"Order this week",IF(H78&lt;=I78,"Plan reorder","No action"))))))</f>
        <v/>
      </c>
      <c r="T78" s="30">
        <f>IF($A78="","",IF((E78+F78-G78)&lt;0,"Review stock data",IF(H78=0,"Out of stock",IF(H78&lt;=I78,"Reorder soon","Healthy"))))</f>
        <v/>
      </c>
      <c r="U78" s="22" t="inlineStr"/>
    </row>
    <row r="79">
      <c r="A79" s="22" t="inlineStr"/>
      <c r="B79" s="22" t="inlineStr"/>
      <c r="C79" s="22" t="inlineStr"/>
      <c r="D79" s="22" t="inlineStr"/>
      <c r="E79" s="23" t="inlineStr"/>
      <c r="F79" s="24">
        <f>IF($A79="","",SUMIFS(Purchases!$D$5:$D$304,Purchases!$B$5:$B$304,$A79))</f>
        <v/>
      </c>
      <c r="G79" s="24">
        <f>IF($A79="","",SUMIFS(Sales!$D$5:$D$504,Sales!$B$5:$B$504,$A79))</f>
        <v/>
      </c>
      <c r="H79" s="24">
        <f>IF($A79="","",MAX(0,(E79+F79-G79)))</f>
        <v/>
      </c>
      <c r="I79" s="24">
        <f>IF($A79="","",ROUNDUP(L79*O79+P79,0))</f>
        <v/>
      </c>
      <c r="J79" s="25" t="inlineStr"/>
      <c r="K79" s="26">
        <f>IF($A79="","",H79*J79)</f>
        <v/>
      </c>
      <c r="L79" s="27">
        <f>IF($A79="","",IFERROR(SUMIFS(Sales!$D$5:$D$504,Sales!$B$5:$B$504,$A79,Sales!$A$5:$A$504,"&gt;="&amp;Setup!$B$5-Setup!$B$6,Sales!$A$5:$A$504,"&lt;="&amp;Setup!$B$5)/Setup!$B$6,0))</f>
        <v/>
      </c>
      <c r="M79" s="28">
        <f>IF($A79="","",IF(L79&lt;=0,999,H79/L79))</f>
        <v/>
      </c>
      <c r="N79" s="29">
        <f>IF($A79="","",IF(L79&lt;=0,"No recent sales",Setup!$B$5+M79))</f>
        <v/>
      </c>
      <c r="O79" s="24">
        <f>IF($A79="","",Setup!$B$11)</f>
        <v/>
      </c>
      <c r="P79" s="24">
        <f>IF($A79="","",ROUNDUP(L79*Setup!$B$12,0))</f>
        <v/>
      </c>
      <c r="Q79" s="24">
        <f>IF($A79="","",IF((E79+F79-G79)&lt;0,0,IF(MAX(0,ROUNDUP(I79-H79,0))=0,0,CEILING(MAX(0,ROUNDUP(I79-H79,0)),Setup!$B$13))))</f>
        <v/>
      </c>
      <c r="R79" s="29">
        <f>IF($A79="","",IF(L79&lt;=0,"No sales signal",N79-O79))</f>
        <v/>
      </c>
      <c r="S79" s="30">
        <f>IF($A79="","",IF((E79+F79-G79)&lt;0,"Fix stock data",IF(R79="No sales signal","No action",IF(R79&lt;=Setup!$B$5,"Order now",IF(R79&lt;=Setup!$B$5+7,"Order this week",IF(H79&lt;=I79,"Plan reorder","No action"))))))</f>
        <v/>
      </c>
      <c r="T79" s="30">
        <f>IF($A79="","",IF((E79+F79-G79)&lt;0,"Review stock data",IF(H79=0,"Out of stock",IF(H79&lt;=I79,"Reorder soon","Healthy"))))</f>
        <v/>
      </c>
      <c r="U79" s="22" t="inlineStr"/>
    </row>
    <row r="80">
      <c r="A80" s="22" t="inlineStr"/>
      <c r="B80" s="22" t="inlineStr"/>
      <c r="C80" s="22" t="inlineStr"/>
      <c r="D80" s="22" t="inlineStr"/>
      <c r="E80" s="23" t="inlineStr"/>
      <c r="F80" s="24">
        <f>IF($A80="","",SUMIFS(Purchases!$D$5:$D$304,Purchases!$B$5:$B$304,$A80))</f>
        <v/>
      </c>
      <c r="G80" s="24">
        <f>IF($A80="","",SUMIFS(Sales!$D$5:$D$504,Sales!$B$5:$B$504,$A80))</f>
        <v/>
      </c>
      <c r="H80" s="24">
        <f>IF($A80="","",MAX(0,(E80+F80-G80)))</f>
        <v/>
      </c>
      <c r="I80" s="24">
        <f>IF($A80="","",ROUNDUP(L80*O80+P80,0))</f>
        <v/>
      </c>
      <c r="J80" s="25" t="inlineStr"/>
      <c r="K80" s="26">
        <f>IF($A80="","",H80*J80)</f>
        <v/>
      </c>
      <c r="L80" s="27">
        <f>IF($A80="","",IFERROR(SUMIFS(Sales!$D$5:$D$504,Sales!$B$5:$B$504,$A80,Sales!$A$5:$A$504,"&gt;="&amp;Setup!$B$5-Setup!$B$6,Sales!$A$5:$A$504,"&lt;="&amp;Setup!$B$5)/Setup!$B$6,0))</f>
        <v/>
      </c>
      <c r="M80" s="28">
        <f>IF($A80="","",IF(L80&lt;=0,999,H80/L80))</f>
        <v/>
      </c>
      <c r="N80" s="29">
        <f>IF($A80="","",IF(L80&lt;=0,"No recent sales",Setup!$B$5+M80))</f>
        <v/>
      </c>
      <c r="O80" s="24">
        <f>IF($A80="","",Setup!$B$11)</f>
        <v/>
      </c>
      <c r="P80" s="24">
        <f>IF($A80="","",ROUNDUP(L80*Setup!$B$12,0))</f>
        <v/>
      </c>
      <c r="Q80" s="24">
        <f>IF($A80="","",IF((E80+F80-G80)&lt;0,0,IF(MAX(0,ROUNDUP(I80-H80,0))=0,0,CEILING(MAX(0,ROUNDUP(I80-H80,0)),Setup!$B$13))))</f>
        <v/>
      </c>
      <c r="R80" s="29">
        <f>IF($A80="","",IF(L80&lt;=0,"No sales signal",N80-O80))</f>
        <v/>
      </c>
      <c r="S80" s="30">
        <f>IF($A80="","",IF((E80+F80-G80)&lt;0,"Fix stock data",IF(R80="No sales signal","No action",IF(R80&lt;=Setup!$B$5,"Order now",IF(R80&lt;=Setup!$B$5+7,"Order this week",IF(H80&lt;=I80,"Plan reorder","No action"))))))</f>
        <v/>
      </c>
      <c r="T80" s="30">
        <f>IF($A80="","",IF((E80+F80-G80)&lt;0,"Review stock data",IF(H80=0,"Out of stock",IF(H80&lt;=I80,"Reorder soon","Healthy"))))</f>
        <v/>
      </c>
      <c r="U80" s="22" t="inlineStr"/>
    </row>
    <row r="81">
      <c r="A81" s="22" t="inlineStr"/>
      <c r="B81" s="22" t="inlineStr"/>
      <c r="C81" s="22" t="inlineStr"/>
      <c r="D81" s="22" t="inlineStr"/>
      <c r="E81" s="23" t="inlineStr"/>
      <c r="F81" s="24">
        <f>IF($A81="","",SUMIFS(Purchases!$D$5:$D$304,Purchases!$B$5:$B$304,$A81))</f>
        <v/>
      </c>
      <c r="G81" s="24">
        <f>IF($A81="","",SUMIFS(Sales!$D$5:$D$504,Sales!$B$5:$B$504,$A81))</f>
        <v/>
      </c>
      <c r="H81" s="24">
        <f>IF($A81="","",MAX(0,(E81+F81-G81)))</f>
        <v/>
      </c>
      <c r="I81" s="24">
        <f>IF($A81="","",ROUNDUP(L81*O81+P81,0))</f>
        <v/>
      </c>
      <c r="J81" s="25" t="inlineStr"/>
      <c r="K81" s="26">
        <f>IF($A81="","",H81*J81)</f>
        <v/>
      </c>
      <c r="L81" s="27">
        <f>IF($A81="","",IFERROR(SUMIFS(Sales!$D$5:$D$504,Sales!$B$5:$B$504,$A81,Sales!$A$5:$A$504,"&gt;="&amp;Setup!$B$5-Setup!$B$6,Sales!$A$5:$A$504,"&lt;="&amp;Setup!$B$5)/Setup!$B$6,0))</f>
        <v/>
      </c>
      <c r="M81" s="28">
        <f>IF($A81="","",IF(L81&lt;=0,999,H81/L81))</f>
        <v/>
      </c>
      <c r="N81" s="29">
        <f>IF($A81="","",IF(L81&lt;=0,"No recent sales",Setup!$B$5+M81))</f>
        <v/>
      </c>
      <c r="O81" s="24">
        <f>IF($A81="","",Setup!$B$11)</f>
        <v/>
      </c>
      <c r="P81" s="24">
        <f>IF($A81="","",ROUNDUP(L81*Setup!$B$12,0))</f>
        <v/>
      </c>
      <c r="Q81" s="24">
        <f>IF($A81="","",IF((E81+F81-G81)&lt;0,0,IF(MAX(0,ROUNDUP(I81-H81,0))=0,0,CEILING(MAX(0,ROUNDUP(I81-H81,0)),Setup!$B$13))))</f>
        <v/>
      </c>
      <c r="R81" s="29">
        <f>IF($A81="","",IF(L81&lt;=0,"No sales signal",N81-O81))</f>
        <v/>
      </c>
      <c r="S81" s="30">
        <f>IF($A81="","",IF((E81+F81-G81)&lt;0,"Fix stock data",IF(R81="No sales signal","No action",IF(R81&lt;=Setup!$B$5,"Order now",IF(R81&lt;=Setup!$B$5+7,"Order this week",IF(H81&lt;=I81,"Plan reorder","No action"))))))</f>
        <v/>
      </c>
      <c r="T81" s="30">
        <f>IF($A81="","",IF((E81+F81-G81)&lt;0,"Review stock data",IF(H81=0,"Out of stock",IF(H81&lt;=I81,"Reorder soon","Healthy"))))</f>
        <v/>
      </c>
      <c r="U81" s="22" t="inlineStr"/>
    </row>
    <row r="82">
      <c r="A82" s="22" t="inlineStr"/>
      <c r="B82" s="22" t="inlineStr"/>
      <c r="C82" s="22" t="inlineStr"/>
      <c r="D82" s="22" t="inlineStr"/>
      <c r="E82" s="23" t="inlineStr"/>
      <c r="F82" s="24">
        <f>IF($A82="","",SUMIFS(Purchases!$D$5:$D$304,Purchases!$B$5:$B$304,$A82))</f>
        <v/>
      </c>
      <c r="G82" s="24">
        <f>IF($A82="","",SUMIFS(Sales!$D$5:$D$504,Sales!$B$5:$B$504,$A82))</f>
        <v/>
      </c>
      <c r="H82" s="24">
        <f>IF($A82="","",MAX(0,(E82+F82-G82)))</f>
        <v/>
      </c>
      <c r="I82" s="24">
        <f>IF($A82="","",ROUNDUP(L82*O82+P82,0))</f>
        <v/>
      </c>
      <c r="J82" s="25" t="inlineStr"/>
      <c r="K82" s="26">
        <f>IF($A82="","",H82*J82)</f>
        <v/>
      </c>
      <c r="L82" s="27">
        <f>IF($A82="","",IFERROR(SUMIFS(Sales!$D$5:$D$504,Sales!$B$5:$B$504,$A82,Sales!$A$5:$A$504,"&gt;="&amp;Setup!$B$5-Setup!$B$6,Sales!$A$5:$A$504,"&lt;="&amp;Setup!$B$5)/Setup!$B$6,0))</f>
        <v/>
      </c>
      <c r="M82" s="28">
        <f>IF($A82="","",IF(L82&lt;=0,999,H82/L82))</f>
        <v/>
      </c>
      <c r="N82" s="29">
        <f>IF($A82="","",IF(L82&lt;=0,"No recent sales",Setup!$B$5+M82))</f>
        <v/>
      </c>
      <c r="O82" s="24">
        <f>IF($A82="","",Setup!$B$11)</f>
        <v/>
      </c>
      <c r="P82" s="24">
        <f>IF($A82="","",ROUNDUP(L82*Setup!$B$12,0))</f>
        <v/>
      </c>
      <c r="Q82" s="24">
        <f>IF($A82="","",IF((E82+F82-G82)&lt;0,0,IF(MAX(0,ROUNDUP(I82-H82,0))=0,0,CEILING(MAX(0,ROUNDUP(I82-H82,0)),Setup!$B$13))))</f>
        <v/>
      </c>
      <c r="R82" s="29">
        <f>IF($A82="","",IF(L82&lt;=0,"No sales signal",N82-O82))</f>
        <v/>
      </c>
      <c r="S82" s="30">
        <f>IF($A82="","",IF((E82+F82-G82)&lt;0,"Fix stock data",IF(R82="No sales signal","No action",IF(R82&lt;=Setup!$B$5,"Order now",IF(R82&lt;=Setup!$B$5+7,"Order this week",IF(H82&lt;=I82,"Plan reorder","No action"))))))</f>
        <v/>
      </c>
      <c r="T82" s="30">
        <f>IF($A82="","",IF((E82+F82-G82)&lt;0,"Review stock data",IF(H82=0,"Out of stock",IF(H82&lt;=I82,"Reorder soon","Healthy"))))</f>
        <v/>
      </c>
      <c r="U82" s="22" t="inlineStr"/>
    </row>
    <row r="83">
      <c r="A83" s="22" t="inlineStr"/>
      <c r="B83" s="22" t="inlineStr"/>
      <c r="C83" s="22" t="inlineStr"/>
      <c r="D83" s="22" t="inlineStr"/>
      <c r="E83" s="23" t="inlineStr"/>
      <c r="F83" s="24">
        <f>IF($A83="","",SUMIFS(Purchases!$D$5:$D$304,Purchases!$B$5:$B$304,$A83))</f>
        <v/>
      </c>
      <c r="G83" s="24">
        <f>IF($A83="","",SUMIFS(Sales!$D$5:$D$504,Sales!$B$5:$B$504,$A83))</f>
        <v/>
      </c>
      <c r="H83" s="24">
        <f>IF($A83="","",MAX(0,(E83+F83-G83)))</f>
        <v/>
      </c>
      <c r="I83" s="24">
        <f>IF($A83="","",ROUNDUP(L83*O83+P83,0))</f>
        <v/>
      </c>
      <c r="J83" s="25" t="inlineStr"/>
      <c r="K83" s="26">
        <f>IF($A83="","",H83*J83)</f>
        <v/>
      </c>
      <c r="L83" s="27">
        <f>IF($A83="","",IFERROR(SUMIFS(Sales!$D$5:$D$504,Sales!$B$5:$B$504,$A83,Sales!$A$5:$A$504,"&gt;="&amp;Setup!$B$5-Setup!$B$6,Sales!$A$5:$A$504,"&lt;="&amp;Setup!$B$5)/Setup!$B$6,0))</f>
        <v/>
      </c>
      <c r="M83" s="28">
        <f>IF($A83="","",IF(L83&lt;=0,999,H83/L83))</f>
        <v/>
      </c>
      <c r="N83" s="29">
        <f>IF($A83="","",IF(L83&lt;=0,"No recent sales",Setup!$B$5+M83))</f>
        <v/>
      </c>
      <c r="O83" s="24">
        <f>IF($A83="","",Setup!$B$11)</f>
        <v/>
      </c>
      <c r="P83" s="24">
        <f>IF($A83="","",ROUNDUP(L83*Setup!$B$12,0))</f>
        <v/>
      </c>
      <c r="Q83" s="24">
        <f>IF($A83="","",IF((E83+F83-G83)&lt;0,0,IF(MAX(0,ROUNDUP(I83-H83,0))=0,0,CEILING(MAX(0,ROUNDUP(I83-H83,0)),Setup!$B$13))))</f>
        <v/>
      </c>
      <c r="R83" s="29">
        <f>IF($A83="","",IF(L83&lt;=0,"No sales signal",N83-O83))</f>
        <v/>
      </c>
      <c r="S83" s="30">
        <f>IF($A83="","",IF((E83+F83-G83)&lt;0,"Fix stock data",IF(R83="No sales signal","No action",IF(R83&lt;=Setup!$B$5,"Order now",IF(R83&lt;=Setup!$B$5+7,"Order this week",IF(H83&lt;=I83,"Plan reorder","No action"))))))</f>
        <v/>
      </c>
      <c r="T83" s="30">
        <f>IF($A83="","",IF((E83+F83-G83)&lt;0,"Review stock data",IF(H83=0,"Out of stock",IF(H83&lt;=I83,"Reorder soon","Healthy"))))</f>
        <v/>
      </c>
      <c r="U83" s="22" t="inlineStr"/>
    </row>
    <row r="84">
      <c r="A84" s="22" t="inlineStr"/>
      <c r="B84" s="22" t="inlineStr"/>
      <c r="C84" s="22" t="inlineStr"/>
      <c r="D84" s="22" t="inlineStr"/>
      <c r="E84" s="23" t="inlineStr"/>
      <c r="F84" s="24">
        <f>IF($A84="","",SUMIFS(Purchases!$D$5:$D$304,Purchases!$B$5:$B$304,$A84))</f>
        <v/>
      </c>
      <c r="G84" s="24">
        <f>IF($A84="","",SUMIFS(Sales!$D$5:$D$504,Sales!$B$5:$B$504,$A84))</f>
        <v/>
      </c>
      <c r="H84" s="24">
        <f>IF($A84="","",MAX(0,(E84+F84-G84)))</f>
        <v/>
      </c>
      <c r="I84" s="24">
        <f>IF($A84="","",ROUNDUP(L84*O84+P84,0))</f>
        <v/>
      </c>
      <c r="J84" s="25" t="inlineStr"/>
      <c r="K84" s="26">
        <f>IF($A84="","",H84*J84)</f>
        <v/>
      </c>
      <c r="L84" s="27">
        <f>IF($A84="","",IFERROR(SUMIFS(Sales!$D$5:$D$504,Sales!$B$5:$B$504,$A84,Sales!$A$5:$A$504,"&gt;="&amp;Setup!$B$5-Setup!$B$6,Sales!$A$5:$A$504,"&lt;="&amp;Setup!$B$5)/Setup!$B$6,0))</f>
        <v/>
      </c>
      <c r="M84" s="28">
        <f>IF($A84="","",IF(L84&lt;=0,999,H84/L84))</f>
        <v/>
      </c>
      <c r="N84" s="29">
        <f>IF($A84="","",IF(L84&lt;=0,"No recent sales",Setup!$B$5+M84))</f>
        <v/>
      </c>
      <c r="O84" s="24">
        <f>IF($A84="","",Setup!$B$11)</f>
        <v/>
      </c>
      <c r="P84" s="24">
        <f>IF($A84="","",ROUNDUP(L84*Setup!$B$12,0))</f>
        <v/>
      </c>
      <c r="Q84" s="24">
        <f>IF($A84="","",IF((E84+F84-G84)&lt;0,0,IF(MAX(0,ROUNDUP(I84-H84,0))=0,0,CEILING(MAX(0,ROUNDUP(I84-H84,0)),Setup!$B$13))))</f>
        <v/>
      </c>
      <c r="R84" s="29">
        <f>IF($A84="","",IF(L84&lt;=0,"No sales signal",N84-O84))</f>
        <v/>
      </c>
      <c r="S84" s="30">
        <f>IF($A84="","",IF((E84+F84-G84)&lt;0,"Fix stock data",IF(R84="No sales signal","No action",IF(R84&lt;=Setup!$B$5,"Order now",IF(R84&lt;=Setup!$B$5+7,"Order this week",IF(H84&lt;=I84,"Plan reorder","No action"))))))</f>
        <v/>
      </c>
      <c r="T84" s="30">
        <f>IF($A84="","",IF((E84+F84-G84)&lt;0,"Review stock data",IF(H84=0,"Out of stock",IF(H84&lt;=I84,"Reorder soon","Healthy"))))</f>
        <v/>
      </c>
      <c r="U84" s="22" t="inlineStr"/>
    </row>
    <row r="85">
      <c r="A85" s="22" t="inlineStr"/>
      <c r="B85" s="22" t="inlineStr"/>
      <c r="C85" s="22" t="inlineStr"/>
      <c r="D85" s="22" t="inlineStr"/>
      <c r="E85" s="23" t="inlineStr"/>
      <c r="F85" s="24">
        <f>IF($A85="","",SUMIFS(Purchases!$D$5:$D$304,Purchases!$B$5:$B$304,$A85))</f>
        <v/>
      </c>
      <c r="G85" s="24">
        <f>IF($A85="","",SUMIFS(Sales!$D$5:$D$504,Sales!$B$5:$B$504,$A85))</f>
        <v/>
      </c>
      <c r="H85" s="24">
        <f>IF($A85="","",MAX(0,(E85+F85-G85)))</f>
        <v/>
      </c>
      <c r="I85" s="24">
        <f>IF($A85="","",ROUNDUP(L85*O85+P85,0))</f>
        <v/>
      </c>
      <c r="J85" s="25" t="inlineStr"/>
      <c r="K85" s="26">
        <f>IF($A85="","",H85*J85)</f>
        <v/>
      </c>
      <c r="L85" s="27">
        <f>IF($A85="","",IFERROR(SUMIFS(Sales!$D$5:$D$504,Sales!$B$5:$B$504,$A85,Sales!$A$5:$A$504,"&gt;="&amp;Setup!$B$5-Setup!$B$6,Sales!$A$5:$A$504,"&lt;="&amp;Setup!$B$5)/Setup!$B$6,0))</f>
        <v/>
      </c>
      <c r="M85" s="28">
        <f>IF($A85="","",IF(L85&lt;=0,999,H85/L85))</f>
        <v/>
      </c>
      <c r="N85" s="29">
        <f>IF($A85="","",IF(L85&lt;=0,"No recent sales",Setup!$B$5+M85))</f>
        <v/>
      </c>
      <c r="O85" s="24">
        <f>IF($A85="","",Setup!$B$11)</f>
        <v/>
      </c>
      <c r="P85" s="24">
        <f>IF($A85="","",ROUNDUP(L85*Setup!$B$12,0))</f>
        <v/>
      </c>
      <c r="Q85" s="24">
        <f>IF($A85="","",IF((E85+F85-G85)&lt;0,0,IF(MAX(0,ROUNDUP(I85-H85,0))=0,0,CEILING(MAX(0,ROUNDUP(I85-H85,0)),Setup!$B$13))))</f>
        <v/>
      </c>
      <c r="R85" s="29">
        <f>IF($A85="","",IF(L85&lt;=0,"No sales signal",N85-O85))</f>
        <v/>
      </c>
      <c r="S85" s="30">
        <f>IF($A85="","",IF((E85+F85-G85)&lt;0,"Fix stock data",IF(R85="No sales signal","No action",IF(R85&lt;=Setup!$B$5,"Order now",IF(R85&lt;=Setup!$B$5+7,"Order this week",IF(H85&lt;=I85,"Plan reorder","No action"))))))</f>
        <v/>
      </c>
      <c r="T85" s="30">
        <f>IF($A85="","",IF((E85+F85-G85)&lt;0,"Review stock data",IF(H85=0,"Out of stock",IF(H85&lt;=I85,"Reorder soon","Healthy"))))</f>
        <v/>
      </c>
      <c r="U85" s="22" t="inlineStr"/>
    </row>
    <row r="86">
      <c r="A86" s="22" t="inlineStr"/>
      <c r="B86" s="22" t="inlineStr"/>
      <c r="C86" s="22" t="inlineStr"/>
      <c r="D86" s="22" t="inlineStr"/>
      <c r="E86" s="23" t="inlineStr"/>
      <c r="F86" s="24">
        <f>IF($A86="","",SUMIFS(Purchases!$D$5:$D$304,Purchases!$B$5:$B$304,$A86))</f>
        <v/>
      </c>
      <c r="G86" s="24">
        <f>IF($A86="","",SUMIFS(Sales!$D$5:$D$504,Sales!$B$5:$B$504,$A86))</f>
        <v/>
      </c>
      <c r="H86" s="24">
        <f>IF($A86="","",MAX(0,(E86+F86-G86)))</f>
        <v/>
      </c>
      <c r="I86" s="24">
        <f>IF($A86="","",ROUNDUP(L86*O86+P86,0))</f>
        <v/>
      </c>
      <c r="J86" s="25" t="inlineStr"/>
      <c r="K86" s="26">
        <f>IF($A86="","",H86*J86)</f>
        <v/>
      </c>
      <c r="L86" s="27">
        <f>IF($A86="","",IFERROR(SUMIFS(Sales!$D$5:$D$504,Sales!$B$5:$B$504,$A86,Sales!$A$5:$A$504,"&gt;="&amp;Setup!$B$5-Setup!$B$6,Sales!$A$5:$A$504,"&lt;="&amp;Setup!$B$5)/Setup!$B$6,0))</f>
        <v/>
      </c>
      <c r="M86" s="28">
        <f>IF($A86="","",IF(L86&lt;=0,999,H86/L86))</f>
        <v/>
      </c>
      <c r="N86" s="29">
        <f>IF($A86="","",IF(L86&lt;=0,"No recent sales",Setup!$B$5+M86))</f>
        <v/>
      </c>
      <c r="O86" s="24">
        <f>IF($A86="","",Setup!$B$11)</f>
        <v/>
      </c>
      <c r="P86" s="24">
        <f>IF($A86="","",ROUNDUP(L86*Setup!$B$12,0))</f>
        <v/>
      </c>
      <c r="Q86" s="24">
        <f>IF($A86="","",IF((E86+F86-G86)&lt;0,0,IF(MAX(0,ROUNDUP(I86-H86,0))=0,0,CEILING(MAX(0,ROUNDUP(I86-H86,0)),Setup!$B$13))))</f>
        <v/>
      </c>
      <c r="R86" s="29">
        <f>IF($A86="","",IF(L86&lt;=0,"No sales signal",N86-O86))</f>
        <v/>
      </c>
      <c r="S86" s="30">
        <f>IF($A86="","",IF((E86+F86-G86)&lt;0,"Fix stock data",IF(R86="No sales signal","No action",IF(R86&lt;=Setup!$B$5,"Order now",IF(R86&lt;=Setup!$B$5+7,"Order this week",IF(H86&lt;=I86,"Plan reorder","No action"))))))</f>
        <v/>
      </c>
      <c r="T86" s="30">
        <f>IF($A86="","",IF((E86+F86-G86)&lt;0,"Review stock data",IF(H86=0,"Out of stock",IF(H86&lt;=I86,"Reorder soon","Healthy"))))</f>
        <v/>
      </c>
      <c r="U86" s="22" t="inlineStr"/>
    </row>
    <row r="87">
      <c r="A87" s="22" t="inlineStr"/>
      <c r="B87" s="22" t="inlineStr"/>
      <c r="C87" s="22" t="inlineStr"/>
      <c r="D87" s="22" t="inlineStr"/>
      <c r="E87" s="23" t="inlineStr"/>
      <c r="F87" s="24">
        <f>IF($A87="","",SUMIFS(Purchases!$D$5:$D$304,Purchases!$B$5:$B$304,$A87))</f>
        <v/>
      </c>
      <c r="G87" s="24">
        <f>IF($A87="","",SUMIFS(Sales!$D$5:$D$504,Sales!$B$5:$B$504,$A87))</f>
        <v/>
      </c>
      <c r="H87" s="24">
        <f>IF($A87="","",MAX(0,(E87+F87-G87)))</f>
        <v/>
      </c>
      <c r="I87" s="24">
        <f>IF($A87="","",ROUNDUP(L87*O87+P87,0))</f>
        <v/>
      </c>
      <c r="J87" s="25" t="inlineStr"/>
      <c r="K87" s="26">
        <f>IF($A87="","",H87*J87)</f>
        <v/>
      </c>
      <c r="L87" s="27">
        <f>IF($A87="","",IFERROR(SUMIFS(Sales!$D$5:$D$504,Sales!$B$5:$B$504,$A87,Sales!$A$5:$A$504,"&gt;="&amp;Setup!$B$5-Setup!$B$6,Sales!$A$5:$A$504,"&lt;="&amp;Setup!$B$5)/Setup!$B$6,0))</f>
        <v/>
      </c>
      <c r="M87" s="28">
        <f>IF($A87="","",IF(L87&lt;=0,999,H87/L87))</f>
        <v/>
      </c>
      <c r="N87" s="29">
        <f>IF($A87="","",IF(L87&lt;=0,"No recent sales",Setup!$B$5+M87))</f>
        <v/>
      </c>
      <c r="O87" s="24">
        <f>IF($A87="","",Setup!$B$11)</f>
        <v/>
      </c>
      <c r="P87" s="24">
        <f>IF($A87="","",ROUNDUP(L87*Setup!$B$12,0))</f>
        <v/>
      </c>
      <c r="Q87" s="24">
        <f>IF($A87="","",IF((E87+F87-G87)&lt;0,0,IF(MAX(0,ROUNDUP(I87-H87,0))=0,0,CEILING(MAX(0,ROUNDUP(I87-H87,0)),Setup!$B$13))))</f>
        <v/>
      </c>
      <c r="R87" s="29">
        <f>IF($A87="","",IF(L87&lt;=0,"No sales signal",N87-O87))</f>
        <v/>
      </c>
      <c r="S87" s="30">
        <f>IF($A87="","",IF((E87+F87-G87)&lt;0,"Fix stock data",IF(R87="No sales signal","No action",IF(R87&lt;=Setup!$B$5,"Order now",IF(R87&lt;=Setup!$B$5+7,"Order this week",IF(H87&lt;=I87,"Plan reorder","No action"))))))</f>
        <v/>
      </c>
      <c r="T87" s="30">
        <f>IF($A87="","",IF((E87+F87-G87)&lt;0,"Review stock data",IF(H87=0,"Out of stock",IF(H87&lt;=I87,"Reorder soon","Healthy"))))</f>
        <v/>
      </c>
      <c r="U87" s="22" t="inlineStr"/>
    </row>
    <row r="88">
      <c r="A88" s="22" t="inlineStr"/>
      <c r="B88" s="22" t="inlineStr"/>
      <c r="C88" s="22" t="inlineStr"/>
      <c r="D88" s="22" t="inlineStr"/>
      <c r="E88" s="23" t="inlineStr"/>
      <c r="F88" s="24">
        <f>IF($A88="","",SUMIFS(Purchases!$D$5:$D$304,Purchases!$B$5:$B$304,$A88))</f>
        <v/>
      </c>
      <c r="G88" s="24">
        <f>IF($A88="","",SUMIFS(Sales!$D$5:$D$504,Sales!$B$5:$B$504,$A88))</f>
        <v/>
      </c>
      <c r="H88" s="24">
        <f>IF($A88="","",MAX(0,(E88+F88-G88)))</f>
        <v/>
      </c>
      <c r="I88" s="24">
        <f>IF($A88="","",ROUNDUP(L88*O88+P88,0))</f>
        <v/>
      </c>
      <c r="J88" s="25" t="inlineStr"/>
      <c r="K88" s="26">
        <f>IF($A88="","",H88*J88)</f>
        <v/>
      </c>
      <c r="L88" s="27">
        <f>IF($A88="","",IFERROR(SUMIFS(Sales!$D$5:$D$504,Sales!$B$5:$B$504,$A88,Sales!$A$5:$A$504,"&gt;="&amp;Setup!$B$5-Setup!$B$6,Sales!$A$5:$A$504,"&lt;="&amp;Setup!$B$5)/Setup!$B$6,0))</f>
        <v/>
      </c>
      <c r="M88" s="28">
        <f>IF($A88="","",IF(L88&lt;=0,999,H88/L88))</f>
        <v/>
      </c>
      <c r="N88" s="29">
        <f>IF($A88="","",IF(L88&lt;=0,"No recent sales",Setup!$B$5+M88))</f>
        <v/>
      </c>
      <c r="O88" s="24">
        <f>IF($A88="","",Setup!$B$11)</f>
        <v/>
      </c>
      <c r="P88" s="24">
        <f>IF($A88="","",ROUNDUP(L88*Setup!$B$12,0))</f>
        <v/>
      </c>
      <c r="Q88" s="24">
        <f>IF($A88="","",IF((E88+F88-G88)&lt;0,0,IF(MAX(0,ROUNDUP(I88-H88,0))=0,0,CEILING(MAX(0,ROUNDUP(I88-H88,0)),Setup!$B$13))))</f>
        <v/>
      </c>
      <c r="R88" s="29">
        <f>IF($A88="","",IF(L88&lt;=0,"No sales signal",N88-O88))</f>
        <v/>
      </c>
      <c r="S88" s="30">
        <f>IF($A88="","",IF((E88+F88-G88)&lt;0,"Fix stock data",IF(R88="No sales signal","No action",IF(R88&lt;=Setup!$B$5,"Order now",IF(R88&lt;=Setup!$B$5+7,"Order this week",IF(H88&lt;=I88,"Plan reorder","No action"))))))</f>
        <v/>
      </c>
      <c r="T88" s="30">
        <f>IF($A88="","",IF((E88+F88-G88)&lt;0,"Review stock data",IF(H88=0,"Out of stock",IF(H88&lt;=I88,"Reorder soon","Healthy"))))</f>
        <v/>
      </c>
      <c r="U88" s="22" t="inlineStr"/>
    </row>
    <row r="89">
      <c r="A89" s="22" t="inlineStr"/>
      <c r="B89" s="22" t="inlineStr"/>
      <c r="C89" s="22" t="inlineStr"/>
      <c r="D89" s="22" t="inlineStr"/>
      <c r="E89" s="23" t="inlineStr"/>
      <c r="F89" s="24">
        <f>IF($A89="","",SUMIFS(Purchases!$D$5:$D$304,Purchases!$B$5:$B$304,$A89))</f>
        <v/>
      </c>
      <c r="G89" s="24">
        <f>IF($A89="","",SUMIFS(Sales!$D$5:$D$504,Sales!$B$5:$B$504,$A89))</f>
        <v/>
      </c>
      <c r="H89" s="24">
        <f>IF($A89="","",MAX(0,(E89+F89-G89)))</f>
        <v/>
      </c>
      <c r="I89" s="24">
        <f>IF($A89="","",ROUNDUP(L89*O89+P89,0))</f>
        <v/>
      </c>
      <c r="J89" s="25" t="inlineStr"/>
      <c r="K89" s="26">
        <f>IF($A89="","",H89*J89)</f>
        <v/>
      </c>
      <c r="L89" s="27">
        <f>IF($A89="","",IFERROR(SUMIFS(Sales!$D$5:$D$504,Sales!$B$5:$B$504,$A89,Sales!$A$5:$A$504,"&gt;="&amp;Setup!$B$5-Setup!$B$6,Sales!$A$5:$A$504,"&lt;="&amp;Setup!$B$5)/Setup!$B$6,0))</f>
        <v/>
      </c>
      <c r="M89" s="28">
        <f>IF($A89="","",IF(L89&lt;=0,999,H89/L89))</f>
        <v/>
      </c>
      <c r="N89" s="29">
        <f>IF($A89="","",IF(L89&lt;=0,"No recent sales",Setup!$B$5+M89))</f>
        <v/>
      </c>
      <c r="O89" s="24">
        <f>IF($A89="","",Setup!$B$11)</f>
        <v/>
      </c>
      <c r="P89" s="24">
        <f>IF($A89="","",ROUNDUP(L89*Setup!$B$12,0))</f>
        <v/>
      </c>
      <c r="Q89" s="24">
        <f>IF($A89="","",IF((E89+F89-G89)&lt;0,0,IF(MAX(0,ROUNDUP(I89-H89,0))=0,0,CEILING(MAX(0,ROUNDUP(I89-H89,0)),Setup!$B$13))))</f>
        <v/>
      </c>
      <c r="R89" s="29">
        <f>IF($A89="","",IF(L89&lt;=0,"No sales signal",N89-O89))</f>
        <v/>
      </c>
      <c r="S89" s="30">
        <f>IF($A89="","",IF((E89+F89-G89)&lt;0,"Fix stock data",IF(R89="No sales signal","No action",IF(R89&lt;=Setup!$B$5,"Order now",IF(R89&lt;=Setup!$B$5+7,"Order this week",IF(H89&lt;=I89,"Plan reorder","No action"))))))</f>
        <v/>
      </c>
      <c r="T89" s="30">
        <f>IF($A89="","",IF((E89+F89-G89)&lt;0,"Review stock data",IF(H89=0,"Out of stock",IF(H89&lt;=I89,"Reorder soon","Healthy"))))</f>
        <v/>
      </c>
      <c r="U89" s="22" t="inlineStr"/>
    </row>
    <row r="90">
      <c r="A90" s="22" t="inlineStr"/>
      <c r="B90" s="22" t="inlineStr"/>
      <c r="C90" s="22" t="inlineStr"/>
      <c r="D90" s="22" t="inlineStr"/>
      <c r="E90" s="23" t="inlineStr"/>
      <c r="F90" s="24">
        <f>IF($A90="","",SUMIFS(Purchases!$D$5:$D$304,Purchases!$B$5:$B$304,$A90))</f>
        <v/>
      </c>
      <c r="G90" s="24">
        <f>IF($A90="","",SUMIFS(Sales!$D$5:$D$504,Sales!$B$5:$B$504,$A90))</f>
        <v/>
      </c>
      <c r="H90" s="24">
        <f>IF($A90="","",MAX(0,(E90+F90-G90)))</f>
        <v/>
      </c>
      <c r="I90" s="24">
        <f>IF($A90="","",ROUNDUP(L90*O90+P90,0))</f>
        <v/>
      </c>
      <c r="J90" s="25" t="inlineStr"/>
      <c r="K90" s="26">
        <f>IF($A90="","",H90*J90)</f>
        <v/>
      </c>
      <c r="L90" s="27">
        <f>IF($A90="","",IFERROR(SUMIFS(Sales!$D$5:$D$504,Sales!$B$5:$B$504,$A90,Sales!$A$5:$A$504,"&gt;="&amp;Setup!$B$5-Setup!$B$6,Sales!$A$5:$A$504,"&lt;="&amp;Setup!$B$5)/Setup!$B$6,0))</f>
        <v/>
      </c>
      <c r="M90" s="28">
        <f>IF($A90="","",IF(L90&lt;=0,999,H90/L90))</f>
        <v/>
      </c>
      <c r="N90" s="29">
        <f>IF($A90="","",IF(L90&lt;=0,"No recent sales",Setup!$B$5+M90))</f>
        <v/>
      </c>
      <c r="O90" s="24">
        <f>IF($A90="","",Setup!$B$11)</f>
        <v/>
      </c>
      <c r="P90" s="24">
        <f>IF($A90="","",ROUNDUP(L90*Setup!$B$12,0))</f>
        <v/>
      </c>
      <c r="Q90" s="24">
        <f>IF($A90="","",IF((E90+F90-G90)&lt;0,0,IF(MAX(0,ROUNDUP(I90-H90,0))=0,0,CEILING(MAX(0,ROUNDUP(I90-H90,0)),Setup!$B$13))))</f>
        <v/>
      </c>
      <c r="R90" s="29">
        <f>IF($A90="","",IF(L90&lt;=0,"No sales signal",N90-O90))</f>
        <v/>
      </c>
      <c r="S90" s="30">
        <f>IF($A90="","",IF((E90+F90-G90)&lt;0,"Fix stock data",IF(R90="No sales signal","No action",IF(R90&lt;=Setup!$B$5,"Order now",IF(R90&lt;=Setup!$B$5+7,"Order this week",IF(H90&lt;=I90,"Plan reorder","No action"))))))</f>
        <v/>
      </c>
      <c r="T90" s="30">
        <f>IF($A90="","",IF((E90+F90-G90)&lt;0,"Review stock data",IF(H90=0,"Out of stock",IF(H90&lt;=I90,"Reorder soon","Healthy"))))</f>
        <v/>
      </c>
      <c r="U90" s="22" t="inlineStr"/>
    </row>
    <row r="91">
      <c r="A91" s="22" t="inlineStr"/>
      <c r="B91" s="22" t="inlineStr"/>
      <c r="C91" s="22" t="inlineStr"/>
      <c r="D91" s="22" t="inlineStr"/>
      <c r="E91" s="23" t="inlineStr"/>
      <c r="F91" s="24">
        <f>IF($A91="","",SUMIFS(Purchases!$D$5:$D$304,Purchases!$B$5:$B$304,$A91))</f>
        <v/>
      </c>
      <c r="G91" s="24">
        <f>IF($A91="","",SUMIFS(Sales!$D$5:$D$504,Sales!$B$5:$B$504,$A91))</f>
        <v/>
      </c>
      <c r="H91" s="24">
        <f>IF($A91="","",MAX(0,(E91+F91-G91)))</f>
        <v/>
      </c>
      <c r="I91" s="24">
        <f>IF($A91="","",ROUNDUP(L91*O91+P91,0))</f>
        <v/>
      </c>
      <c r="J91" s="25" t="inlineStr"/>
      <c r="K91" s="26">
        <f>IF($A91="","",H91*J91)</f>
        <v/>
      </c>
      <c r="L91" s="27">
        <f>IF($A91="","",IFERROR(SUMIFS(Sales!$D$5:$D$504,Sales!$B$5:$B$504,$A91,Sales!$A$5:$A$504,"&gt;="&amp;Setup!$B$5-Setup!$B$6,Sales!$A$5:$A$504,"&lt;="&amp;Setup!$B$5)/Setup!$B$6,0))</f>
        <v/>
      </c>
      <c r="M91" s="28">
        <f>IF($A91="","",IF(L91&lt;=0,999,H91/L91))</f>
        <v/>
      </c>
      <c r="N91" s="29">
        <f>IF($A91="","",IF(L91&lt;=0,"No recent sales",Setup!$B$5+M91))</f>
        <v/>
      </c>
      <c r="O91" s="24">
        <f>IF($A91="","",Setup!$B$11)</f>
        <v/>
      </c>
      <c r="P91" s="24">
        <f>IF($A91="","",ROUNDUP(L91*Setup!$B$12,0))</f>
        <v/>
      </c>
      <c r="Q91" s="24">
        <f>IF($A91="","",IF((E91+F91-G91)&lt;0,0,IF(MAX(0,ROUNDUP(I91-H91,0))=0,0,CEILING(MAX(0,ROUNDUP(I91-H91,0)),Setup!$B$13))))</f>
        <v/>
      </c>
      <c r="R91" s="29">
        <f>IF($A91="","",IF(L91&lt;=0,"No sales signal",N91-O91))</f>
        <v/>
      </c>
      <c r="S91" s="30">
        <f>IF($A91="","",IF((E91+F91-G91)&lt;0,"Fix stock data",IF(R91="No sales signal","No action",IF(R91&lt;=Setup!$B$5,"Order now",IF(R91&lt;=Setup!$B$5+7,"Order this week",IF(H91&lt;=I91,"Plan reorder","No action"))))))</f>
        <v/>
      </c>
      <c r="T91" s="30">
        <f>IF($A91="","",IF((E91+F91-G91)&lt;0,"Review stock data",IF(H91=0,"Out of stock",IF(H91&lt;=I91,"Reorder soon","Healthy"))))</f>
        <v/>
      </c>
      <c r="U91" s="22" t="inlineStr"/>
    </row>
    <row r="92">
      <c r="A92" s="22" t="inlineStr"/>
      <c r="B92" s="22" t="inlineStr"/>
      <c r="C92" s="22" t="inlineStr"/>
      <c r="D92" s="22" t="inlineStr"/>
      <c r="E92" s="23" t="inlineStr"/>
      <c r="F92" s="24">
        <f>IF($A92="","",SUMIFS(Purchases!$D$5:$D$304,Purchases!$B$5:$B$304,$A92))</f>
        <v/>
      </c>
      <c r="G92" s="24">
        <f>IF($A92="","",SUMIFS(Sales!$D$5:$D$504,Sales!$B$5:$B$504,$A92))</f>
        <v/>
      </c>
      <c r="H92" s="24">
        <f>IF($A92="","",MAX(0,(E92+F92-G92)))</f>
        <v/>
      </c>
      <c r="I92" s="24">
        <f>IF($A92="","",ROUNDUP(L92*O92+P92,0))</f>
        <v/>
      </c>
      <c r="J92" s="25" t="inlineStr"/>
      <c r="K92" s="26">
        <f>IF($A92="","",H92*J92)</f>
        <v/>
      </c>
      <c r="L92" s="27">
        <f>IF($A92="","",IFERROR(SUMIFS(Sales!$D$5:$D$504,Sales!$B$5:$B$504,$A92,Sales!$A$5:$A$504,"&gt;="&amp;Setup!$B$5-Setup!$B$6,Sales!$A$5:$A$504,"&lt;="&amp;Setup!$B$5)/Setup!$B$6,0))</f>
        <v/>
      </c>
      <c r="M92" s="28">
        <f>IF($A92="","",IF(L92&lt;=0,999,H92/L92))</f>
        <v/>
      </c>
      <c r="N92" s="29">
        <f>IF($A92="","",IF(L92&lt;=0,"No recent sales",Setup!$B$5+M92))</f>
        <v/>
      </c>
      <c r="O92" s="24">
        <f>IF($A92="","",Setup!$B$11)</f>
        <v/>
      </c>
      <c r="P92" s="24">
        <f>IF($A92="","",ROUNDUP(L92*Setup!$B$12,0))</f>
        <v/>
      </c>
      <c r="Q92" s="24">
        <f>IF($A92="","",IF((E92+F92-G92)&lt;0,0,IF(MAX(0,ROUNDUP(I92-H92,0))=0,0,CEILING(MAX(0,ROUNDUP(I92-H92,0)),Setup!$B$13))))</f>
        <v/>
      </c>
      <c r="R92" s="29">
        <f>IF($A92="","",IF(L92&lt;=0,"No sales signal",N92-O92))</f>
        <v/>
      </c>
      <c r="S92" s="30">
        <f>IF($A92="","",IF((E92+F92-G92)&lt;0,"Fix stock data",IF(R92="No sales signal","No action",IF(R92&lt;=Setup!$B$5,"Order now",IF(R92&lt;=Setup!$B$5+7,"Order this week",IF(H92&lt;=I92,"Plan reorder","No action"))))))</f>
        <v/>
      </c>
      <c r="T92" s="30">
        <f>IF($A92="","",IF((E92+F92-G92)&lt;0,"Review stock data",IF(H92=0,"Out of stock",IF(H92&lt;=I92,"Reorder soon","Healthy"))))</f>
        <v/>
      </c>
      <c r="U92" s="22" t="inlineStr"/>
    </row>
    <row r="93">
      <c r="A93" s="22" t="inlineStr"/>
      <c r="B93" s="22" t="inlineStr"/>
      <c r="C93" s="22" t="inlineStr"/>
      <c r="D93" s="22" t="inlineStr"/>
      <c r="E93" s="23" t="inlineStr"/>
      <c r="F93" s="24">
        <f>IF($A93="","",SUMIFS(Purchases!$D$5:$D$304,Purchases!$B$5:$B$304,$A93))</f>
        <v/>
      </c>
      <c r="G93" s="24">
        <f>IF($A93="","",SUMIFS(Sales!$D$5:$D$504,Sales!$B$5:$B$504,$A93))</f>
        <v/>
      </c>
      <c r="H93" s="24">
        <f>IF($A93="","",MAX(0,(E93+F93-G93)))</f>
        <v/>
      </c>
      <c r="I93" s="24">
        <f>IF($A93="","",ROUNDUP(L93*O93+P93,0))</f>
        <v/>
      </c>
      <c r="J93" s="25" t="inlineStr"/>
      <c r="K93" s="26">
        <f>IF($A93="","",H93*J93)</f>
        <v/>
      </c>
      <c r="L93" s="27">
        <f>IF($A93="","",IFERROR(SUMIFS(Sales!$D$5:$D$504,Sales!$B$5:$B$504,$A93,Sales!$A$5:$A$504,"&gt;="&amp;Setup!$B$5-Setup!$B$6,Sales!$A$5:$A$504,"&lt;="&amp;Setup!$B$5)/Setup!$B$6,0))</f>
        <v/>
      </c>
      <c r="M93" s="28">
        <f>IF($A93="","",IF(L93&lt;=0,999,H93/L93))</f>
        <v/>
      </c>
      <c r="N93" s="29">
        <f>IF($A93="","",IF(L93&lt;=0,"No recent sales",Setup!$B$5+M93))</f>
        <v/>
      </c>
      <c r="O93" s="24">
        <f>IF($A93="","",Setup!$B$11)</f>
        <v/>
      </c>
      <c r="P93" s="24">
        <f>IF($A93="","",ROUNDUP(L93*Setup!$B$12,0))</f>
        <v/>
      </c>
      <c r="Q93" s="24">
        <f>IF($A93="","",IF((E93+F93-G93)&lt;0,0,IF(MAX(0,ROUNDUP(I93-H93,0))=0,0,CEILING(MAX(0,ROUNDUP(I93-H93,0)),Setup!$B$13))))</f>
        <v/>
      </c>
      <c r="R93" s="29">
        <f>IF($A93="","",IF(L93&lt;=0,"No sales signal",N93-O93))</f>
        <v/>
      </c>
      <c r="S93" s="30">
        <f>IF($A93="","",IF((E93+F93-G93)&lt;0,"Fix stock data",IF(R93="No sales signal","No action",IF(R93&lt;=Setup!$B$5,"Order now",IF(R93&lt;=Setup!$B$5+7,"Order this week",IF(H93&lt;=I93,"Plan reorder","No action"))))))</f>
        <v/>
      </c>
      <c r="T93" s="30">
        <f>IF($A93="","",IF((E93+F93-G93)&lt;0,"Review stock data",IF(H93=0,"Out of stock",IF(H93&lt;=I93,"Reorder soon","Healthy"))))</f>
        <v/>
      </c>
      <c r="U93" s="22" t="inlineStr"/>
    </row>
    <row r="94">
      <c r="A94" s="22" t="inlineStr"/>
      <c r="B94" s="22" t="inlineStr"/>
      <c r="C94" s="22" t="inlineStr"/>
      <c r="D94" s="22" t="inlineStr"/>
      <c r="E94" s="23" t="inlineStr"/>
      <c r="F94" s="24">
        <f>IF($A94="","",SUMIFS(Purchases!$D$5:$D$304,Purchases!$B$5:$B$304,$A94))</f>
        <v/>
      </c>
      <c r="G94" s="24">
        <f>IF($A94="","",SUMIFS(Sales!$D$5:$D$504,Sales!$B$5:$B$504,$A94))</f>
        <v/>
      </c>
      <c r="H94" s="24">
        <f>IF($A94="","",MAX(0,(E94+F94-G94)))</f>
        <v/>
      </c>
      <c r="I94" s="24">
        <f>IF($A94="","",ROUNDUP(L94*O94+P94,0))</f>
        <v/>
      </c>
      <c r="J94" s="25" t="inlineStr"/>
      <c r="K94" s="26">
        <f>IF($A94="","",H94*J94)</f>
        <v/>
      </c>
      <c r="L94" s="27">
        <f>IF($A94="","",IFERROR(SUMIFS(Sales!$D$5:$D$504,Sales!$B$5:$B$504,$A94,Sales!$A$5:$A$504,"&gt;="&amp;Setup!$B$5-Setup!$B$6,Sales!$A$5:$A$504,"&lt;="&amp;Setup!$B$5)/Setup!$B$6,0))</f>
        <v/>
      </c>
      <c r="M94" s="28">
        <f>IF($A94="","",IF(L94&lt;=0,999,H94/L94))</f>
        <v/>
      </c>
      <c r="N94" s="29">
        <f>IF($A94="","",IF(L94&lt;=0,"No recent sales",Setup!$B$5+M94))</f>
        <v/>
      </c>
      <c r="O94" s="24">
        <f>IF($A94="","",Setup!$B$11)</f>
        <v/>
      </c>
      <c r="P94" s="24">
        <f>IF($A94="","",ROUNDUP(L94*Setup!$B$12,0))</f>
        <v/>
      </c>
      <c r="Q94" s="24">
        <f>IF($A94="","",IF((E94+F94-G94)&lt;0,0,IF(MAX(0,ROUNDUP(I94-H94,0))=0,0,CEILING(MAX(0,ROUNDUP(I94-H94,0)),Setup!$B$13))))</f>
        <v/>
      </c>
      <c r="R94" s="29">
        <f>IF($A94="","",IF(L94&lt;=0,"No sales signal",N94-O94))</f>
        <v/>
      </c>
      <c r="S94" s="30">
        <f>IF($A94="","",IF((E94+F94-G94)&lt;0,"Fix stock data",IF(R94="No sales signal","No action",IF(R94&lt;=Setup!$B$5,"Order now",IF(R94&lt;=Setup!$B$5+7,"Order this week",IF(H94&lt;=I94,"Plan reorder","No action"))))))</f>
        <v/>
      </c>
      <c r="T94" s="30">
        <f>IF($A94="","",IF((E94+F94-G94)&lt;0,"Review stock data",IF(H94=0,"Out of stock",IF(H94&lt;=I94,"Reorder soon","Healthy"))))</f>
        <v/>
      </c>
      <c r="U94" s="22" t="inlineStr"/>
    </row>
    <row r="95">
      <c r="A95" s="22" t="inlineStr"/>
      <c r="B95" s="22" t="inlineStr"/>
      <c r="C95" s="22" t="inlineStr"/>
      <c r="D95" s="22" t="inlineStr"/>
      <c r="E95" s="23" t="inlineStr"/>
      <c r="F95" s="24">
        <f>IF($A95="","",SUMIFS(Purchases!$D$5:$D$304,Purchases!$B$5:$B$304,$A95))</f>
        <v/>
      </c>
      <c r="G95" s="24">
        <f>IF($A95="","",SUMIFS(Sales!$D$5:$D$504,Sales!$B$5:$B$504,$A95))</f>
        <v/>
      </c>
      <c r="H95" s="24">
        <f>IF($A95="","",MAX(0,(E95+F95-G95)))</f>
        <v/>
      </c>
      <c r="I95" s="24">
        <f>IF($A95="","",ROUNDUP(L95*O95+P95,0))</f>
        <v/>
      </c>
      <c r="J95" s="25" t="inlineStr"/>
      <c r="K95" s="26">
        <f>IF($A95="","",H95*J95)</f>
        <v/>
      </c>
      <c r="L95" s="27">
        <f>IF($A95="","",IFERROR(SUMIFS(Sales!$D$5:$D$504,Sales!$B$5:$B$504,$A95,Sales!$A$5:$A$504,"&gt;="&amp;Setup!$B$5-Setup!$B$6,Sales!$A$5:$A$504,"&lt;="&amp;Setup!$B$5)/Setup!$B$6,0))</f>
        <v/>
      </c>
      <c r="M95" s="28">
        <f>IF($A95="","",IF(L95&lt;=0,999,H95/L95))</f>
        <v/>
      </c>
      <c r="N95" s="29">
        <f>IF($A95="","",IF(L95&lt;=0,"No recent sales",Setup!$B$5+M95))</f>
        <v/>
      </c>
      <c r="O95" s="24">
        <f>IF($A95="","",Setup!$B$11)</f>
        <v/>
      </c>
      <c r="P95" s="24">
        <f>IF($A95="","",ROUNDUP(L95*Setup!$B$12,0))</f>
        <v/>
      </c>
      <c r="Q95" s="24">
        <f>IF($A95="","",IF((E95+F95-G95)&lt;0,0,IF(MAX(0,ROUNDUP(I95-H95,0))=0,0,CEILING(MAX(0,ROUNDUP(I95-H95,0)),Setup!$B$13))))</f>
        <v/>
      </c>
      <c r="R95" s="29">
        <f>IF($A95="","",IF(L95&lt;=0,"No sales signal",N95-O95))</f>
        <v/>
      </c>
      <c r="S95" s="30">
        <f>IF($A95="","",IF((E95+F95-G95)&lt;0,"Fix stock data",IF(R95="No sales signal","No action",IF(R95&lt;=Setup!$B$5,"Order now",IF(R95&lt;=Setup!$B$5+7,"Order this week",IF(H95&lt;=I95,"Plan reorder","No action"))))))</f>
        <v/>
      </c>
      <c r="T95" s="30">
        <f>IF($A95="","",IF((E95+F95-G95)&lt;0,"Review stock data",IF(H95=0,"Out of stock",IF(H95&lt;=I95,"Reorder soon","Healthy"))))</f>
        <v/>
      </c>
      <c r="U95" s="22" t="inlineStr"/>
    </row>
    <row r="96">
      <c r="A96" s="22" t="inlineStr"/>
      <c r="B96" s="22" t="inlineStr"/>
      <c r="C96" s="22" t="inlineStr"/>
      <c r="D96" s="22" t="inlineStr"/>
      <c r="E96" s="23" t="inlineStr"/>
      <c r="F96" s="24">
        <f>IF($A96="","",SUMIFS(Purchases!$D$5:$D$304,Purchases!$B$5:$B$304,$A96))</f>
        <v/>
      </c>
      <c r="G96" s="24">
        <f>IF($A96="","",SUMIFS(Sales!$D$5:$D$504,Sales!$B$5:$B$504,$A96))</f>
        <v/>
      </c>
      <c r="H96" s="24">
        <f>IF($A96="","",MAX(0,(E96+F96-G96)))</f>
        <v/>
      </c>
      <c r="I96" s="24">
        <f>IF($A96="","",ROUNDUP(L96*O96+P96,0))</f>
        <v/>
      </c>
      <c r="J96" s="25" t="inlineStr"/>
      <c r="K96" s="26">
        <f>IF($A96="","",H96*J96)</f>
        <v/>
      </c>
      <c r="L96" s="27">
        <f>IF($A96="","",IFERROR(SUMIFS(Sales!$D$5:$D$504,Sales!$B$5:$B$504,$A96,Sales!$A$5:$A$504,"&gt;="&amp;Setup!$B$5-Setup!$B$6,Sales!$A$5:$A$504,"&lt;="&amp;Setup!$B$5)/Setup!$B$6,0))</f>
        <v/>
      </c>
      <c r="M96" s="28">
        <f>IF($A96="","",IF(L96&lt;=0,999,H96/L96))</f>
        <v/>
      </c>
      <c r="N96" s="29">
        <f>IF($A96="","",IF(L96&lt;=0,"No recent sales",Setup!$B$5+M96))</f>
        <v/>
      </c>
      <c r="O96" s="24">
        <f>IF($A96="","",Setup!$B$11)</f>
        <v/>
      </c>
      <c r="P96" s="24">
        <f>IF($A96="","",ROUNDUP(L96*Setup!$B$12,0))</f>
        <v/>
      </c>
      <c r="Q96" s="24">
        <f>IF($A96="","",IF((E96+F96-G96)&lt;0,0,IF(MAX(0,ROUNDUP(I96-H96,0))=0,0,CEILING(MAX(0,ROUNDUP(I96-H96,0)),Setup!$B$13))))</f>
        <v/>
      </c>
      <c r="R96" s="29">
        <f>IF($A96="","",IF(L96&lt;=0,"No sales signal",N96-O96))</f>
        <v/>
      </c>
      <c r="S96" s="30">
        <f>IF($A96="","",IF((E96+F96-G96)&lt;0,"Fix stock data",IF(R96="No sales signal","No action",IF(R96&lt;=Setup!$B$5,"Order now",IF(R96&lt;=Setup!$B$5+7,"Order this week",IF(H96&lt;=I96,"Plan reorder","No action"))))))</f>
        <v/>
      </c>
      <c r="T96" s="30">
        <f>IF($A96="","",IF((E96+F96-G96)&lt;0,"Review stock data",IF(H96=0,"Out of stock",IF(H96&lt;=I96,"Reorder soon","Healthy"))))</f>
        <v/>
      </c>
      <c r="U96" s="22" t="inlineStr"/>
    </row>
    <row r="97">
      <c r="A97" s="22" t="inlineStr"/>
      <c r="B97" s="22" t="inlineStr"/>
      <c r="C97" s="22" t="inlineStr"/>
      <c r="D97" s="22" t="inlineStr"/>
      <c r="E97" s="23" t="inlineStr"/>
      <c r="F97" s="24">
        <f>IF($A97="","",SUMIFS(Purchases!$D$5:$D$304,Purchases!$B$5:$B$304,$A97))</f>
        <v/>
      </c>
      <c r="G97" s="24">
        <f>IF($A97="","",SUMIFS(Sales!$D$5:$D$504,Sales!$B$5:$B$504,$A97))</f>
        <v/>
      </c>
      <c r="H97" s="24">
        <f>IF($A97="","",MAX(0,(E97+F97-G97)))</f>
        <v/>
      </c>
      <c r="I97" s="24">
        <f>IF($A97="","",ROUNDUP(L97*O97+P97,0))</f>
        <v/>
      </c>
      <c r="J97" s="25" t="inlineStr"/>
      <c r="K97" s="26">
        <f>IF($A97="","",H97*J97)</f>
        <v/>
      </c>
      <c r="L97" s="27">
        <f>IF($A97="","",IFERROR(SUMIFS(Sales!$D$5:$D$504,Sales!$B$5:$B$504,$A97,Sales!$A$5:$A$504,"&gt;="&amp;Setup!$B$5-Setup!$B$6,Sales!$A$5:$A$504,"&lt;="&amp;Setup!$B$5)/Setup!$B$6,0))</f>
        <v/>
      </c>
      <c r="M97" s="28">
        <f>IF($A97="","",IF(L97&lt;=0,999,H97/L97))</f>
        <v/>
      </c>
      <c r="N97" s="29">
        <f>IF($A97="","",IF(L97&lt;=0,"No recent sales",Setup!$B$5+M97))</f>
        <v/>
      </c>
      <c r="O97" s="24">
        <f>IF($A97="","",Setup!$B$11)</f>
        <v/>
      </c>
      <c r="P97" s="24">
        <f>IF($A97="","",ROUNDUP(L97*Setup!$B$12,0))</f>
        <v/>
      </c>
      <c r="Q97" s="24">
        <f>IF($A97="","",IF((E97+F97-G97)&lt;0,0,IF(MAX(0,ROUNDUP(I97-H97,0))=0,0,CEILING(MAX(0,ROUNDUP(I97-H97,0)),Setup!$B$13))))</f>
        <v/>
      </c>
      <c r="R97" s="29">
        <f>IF($A97="","",IF(L97&lt;=0,"No sales signal",N97-O97))</f>
        <v/>
      </c>
      <c r="S97" s="30">
        <f>IF($A97="","",IF((E97+F97-G97)&lt;0,"Fix stock data",IF(R97="No sales signal","No action",IF(R97&lt;=Setup!$B$5,"Order now",IF(R97&lt;=Setup!$B$5+7,"Order this week",IF(H97&lt;=I97,"Plan reorder","No action"))))))</f>
        <v/>
      </c>
      <c r="T97" s="30">
        <f>IF($A97="","",IF((E97+F97-G97)&lt;0,"Review stock data",IF(H97=0,"Out of stock",IF(H97&lt;=I97,"Reorder soon","Healthy"))))</f>
        <v/>
      </c>
      <c r="U97" s="22" t="inlineStr"/>
    </row>
    <row r="98">
      <c r="A98" s="22" t="inlineStr"/>
      <c r="B98" s="22" t="inlineStr"/>
      <c r="C98" s="22" t="inlineStr"/>
      <c r="D98" s="22" t="inlineStr"/>
      <c r="E98" s="23" t="inlineStr"/>
      <c r="F98" s="24">
        <f>IF($A98="","",SUMIFS(Purchases!$D$5:$D$304,Purchases!$B$5:$B$304,$A98))</f>
        <v/>
      </c>
      <c r="G98" s="24">
        <f>IF($A98="","",SUMIFS(Sales!$D$5:$D$504,Sales!$B$5:$B$504,$A98))</f>
        <v/>
      </c>
      <c r="H98" s="24">
        <f>IF($A98="","",MAX(0,(E98+F98-G98)))</f>
        <v/>
      </c>
      <c r="I98" s="24">
        <f>IF($A98="","",ROUNDUP(L98*O98+P98,0))</f>
        <v/>
      </c>
      <c r="J98" s="25" t="inlineStr"/>
      <c r="K98" s="26">
        <f>IF($A98="","",H98*J98)</f>
        <v/>
      </c>
      <c r="L98" s="27">
        <f>IF($A98="","",IFERROR(SUMIFS(Sales!$D$5:$D$504,Sales!$B$5:$B$504,$A98,Sales!$A$5:$A$504,"&gt;="&amp;Setup!$B$5-Setup!$B$6,Sales!$A$5:$A$504,"&lt;="&amp;Setup!$B$5)/Setup!$B$6,0))</f>
        <v/>
      </c>
      <c r="M98" s="28">
        <f>IF($A98="","",IF(L98&lt;=0,999,H98/L98))</f>
        <v/>
      </c>
      <c r="N98" s="29">
        <f>IF($A98="","",IF(L98&lt;=0,"No recent sales",Setup!$B$5+M98))</f>
        <v/>
      </c>
      <c r="O98" s="24">
        <f>IF($A98="","",Setup!$B$11)</f>
        <v/>
      </c>
      <c r="P98" s="24">
        <f>IF($A98="","",ROUNDUP(L98*Setup!$B$12,0))</f>
        <v/>
      </c>
      <c r="Q98" s="24">
        <f>IF($A98="","",IF((E98+F98-G98)&lt;0,0,IF(MAX(0,ROUNDUP(I98-H98,0))=0,0,CEILING(MAX(0,ROUNDUP(I98-H98,0)),Setup!$B$13))))</f>
        <v/>
      </c>
      <c r="R98" s="29">
        <f>IF($A98="","",IF(L98&lt;=0,"No sales signal",N98-O98))</f>
        <v/>
      </c>
      <c r="S98" s="30">
        <f>IF($A98="","",IF((E98+F98-G98)&lt;0,"Fix stock data",IF(R98="No sales signal","No action",IF(R98&lt;=Setup!$B$5,"Order now",IF(R98&lt;=Setup!$B$5+7,"Order this week",IF(H98&lt;=I98,"Plan reorder","No action"))))))</f>
        <v/>
      </c>
      <c r="T98" s="30">
        <f>IF($A98="","",IF((E98+F98-G98)&lt;0,"Review stock data",IF(H98=0,"Out of stock",IF(H98&lt;=I98,"Reorder soon","Healthy"))))</f>
        <v/>
      </c>
      <c r="U98" s="22" t="inlineStr"/>
    </row>
    <row r="99">
      <c r="A99" s="22" t="inlineStr"/>
      <c r="B99" s="22" t="inlineStr"/>
      <c r="C99" s="22" t="inlineStr"/>
      <c r="D99" s="22" t="inlineStr"/>
      <c r="E99" s="23" t="inlineStr"/>
      <c r="F99" s="24">
        <f>IF($A99="","",SUMIFS(Purchases!$D$5:$D$304,Purchases!$B$5:$B$304,$A99))</f>
        <v/>
      </c>
      <c r="G99" s="24">
        <f>IF($A99="","",SUMIFS(Sales!$D$5:$D$504,Sales!$B$5:$B$504,$A99))</f>
        <v/>
      </c>
      <c r="H99" s="24">
        <f>IF($A99="","",MAX(0,(E99+F99-G99)))</f>
        <v/>
      </c>
      <c r="I99" s="24">
        <f>IF($A99="","",ROUNDUP(L99*O99+P99,0))</f>
        <v/>
      </c>
      <c r="J99" s="25" t="inlineStr"/>
      <c r="K99" s="26">
        <f>IF($A99="","",H99*J99)</f>
        <v/>
      </c>
      <c r="L99" s="27">
        <f>IF($A99="","",IFERROR(SUMIFS(Sales!$D$5:$D$504,Sales!$B$5:$B$504,$A99,Sales!$A$5:$A$504,"&gt;="&amp;Setup!$B$5-Setup!$B$6,Sales!$A$5:$A$504,"&lt;="&amp;Setup!$B$5)/Setup!$B$6,0))</f>
        <v/>
      </c>
      <c r="M99" s="28">
        <f>IF($A99="","",IF(L99&lt;=0,999,H99/L99))</f>
        <v/>
      </c>
      <c r="N99" s="29">
        <f>IF($A99="","",IF(L99&lt;=0,"No recent sales",Setup!$B$5+M99))</f>
        <v/>
      </c>
      <c r="O99" s="24">
        <f>IF($A99="","",Setup!$B$11)</f>
        <v/>
      </c>
      <c r="P99" s="24">
        <f>IF($A99="","",ROUNDUP(L99*Setup!$B$12,0))</f>
        <v/>
      </c>
      <c r="Q99" s="24">
        <f>IF($A99="","",IF((E99+F99-G99)&lt;0,0,IF(MAX(0,ROUNDUP(I99-H99,0))=0,0,CEILING(MAX(0,ROUNDUP(I99-H99,0)),Setup!$B$13))))</f>
        <v/>
      </c>
      <c r="R99" s="29">
        <f>IF($A99="","",IF(L99&lt;=0,"No sales signal",N99-O99))</f>
        <v/>
      </c>
      <c r="S99" s="30">
        <f>IF($A99="","",IF((E99+F99-G99)&lt;0,"Fix stock data",IF(R99="No sales signal","No action",IF(R99&lt;=Setup!$B$5,"Order now",IF(R99&lt;=Setup!$B$5+7,"Order this week",IF(H99&lt;=I99,"Plan reorder","No action"))))))</f>
        <v/>
      </c>
      <c r="T99" s="30">
        <f>IF($A99="","",IF((E99+F99-G99)&lt;0,"Review stock data",IF(H99=0,"Out of stock",IF(H99&lt;=I99,"Reorder soon","Healthy"))))</f>
        <v/>
      </c>
      <c r="U99" s="22" t="inlineStr"/>
    </row>
    <row r="100">
      <c r="A100" s="22" t="inlineStr"/>
      <c r="B100" s="22" t="inlineStr"/>
      <c r="C100" s="22" t="inlineStr"/>
      <c r="D100" s="22" t="inlineStr"/>
      <c r="E100" s="23" t="inlineStr"/>
      <c r="F100" s="24">
        <f>IF($A100="","",SUMIFS(Purchases!$D$5:$D$304,Purchases!$B$5:$B$304,$A100))</f>
        <v/>
      </c>
      <c r="G100" s="24">
        <f>IF($A100="","",SUMIFS(Sales!$D$5:$D$504,Sales!$B$5:$B$504,$A100))</f>
        <v/>
      </c>
      <c r="H100" s="24">
        <f>IF($A100="","",MAX(0,(E100+F100-G100)))</f>
        <v/>
      </c>
      <c r="I100" s="24">
        <f>IF($A100="","",ROUNDUP(L100*O100+P100,0))</f>
        <v/>
      </c>
      <c r="J100" s="25" t="inlineStr"/>
      <c r="K100" s="26">
        <f>IF($A100="","",H100*J100)</f>
        <v/>
      </c>
      <c r="L100" s="27">
        <f>IF($A100="","",IFERROR(SUMIFS(Sales!$D$5:$D$504,Sales!$B$5:$B$504,$A100,Sales!$A$5:$A$504,"&gt;="&amp;Setup!$B$5-Setup!$B$6,Sales!$A$5:$A$504,"&lt;="&amp;Setup!$B$5)/Setup!$B$6,0))</f>
        <v/>
      </c>
      <c r="M100" s="28">
        <f>IF($A100="","",IF(L100&lt;=0,999,H100/L100))</f>
        <v/>
      </c>
      <c r="N100" s="29">
        <f>IF($A100="","",IF(L100&lt;=0,"No recent sales",Setup!$B$5+M100))</f>
        <v/>
      </c>
      <c r="O100" s="24">
        <f>IF($A100="","",Setup!$B$11)</f>
        <v/>
      </c>
      <c r="P100" s="24">
        <f>IF($A100="","",ROUNDUP(L100*Setup!$B$12,0))</f>
        <v/>
      </c>
      <c r="Q100" s="24">
        <f>IF($A100="","",IF((E100+F100-G100)&lt;0,0,IF(MAX(0,ROUNDUP(I100-H100,0))=0,0,CEILING(MAX(0,ROUNDUP(I100-H100,0)),Setup!$B$13))))</f>
        <v/>
      </c>
      <c r="R100" s="29">
        <f>IF($A100="","",IF(L100&lt;=0,"No sales signal",N100-O100))</f>
        <v/>
      </c>
      <c r="S100" s="30">
        <f>IF($A100="","",IF((E100+F100-G100)&lt;0,"Fix stock data",IF(R100="No sales signal","No action",IF(R100&lt;=Setup!$B$5,"Order now",IF(R100&lt;=Setup!$B$5+7,"Order this week",IF(H100&lt;=I100,"Plan reorder","No action"))))))</f>
        <v/>
      </c>
      <c r="T100" s="30">
        <f>IF($A100="","",IF((E100+F100-G100)&lt;0,"Review stock data",IF(H100=0,"Out of stock",IF(H100&lt;=I100,"Reorder soon","Healthy"))))</f>
        <v/>
      </c>
      <c r="U100" s="22" t="inlineStr"/>
    </row>
    <row r="101">
      <c r="A101" s="22" t="inlineStr"/>
      <c r="B101" s="22" t="inlineStr"/>
      <c r="C101" s="22" t="inlineStr"/>
      <c r="D101" s="22" t="inlineStr"/>
      <c r="E101" s="23" t="inlineStr"/>
      <c r="F101" s="24">
        <f>IF($A101="","",SUMIFS(Purchases!$D$5:$D$304,Purchases!$B$5:$B$304,$A101))</f>
        <v/>
      </c>
      <c r="G101" s="24">
        <f>IF($A101="","",SUMIFS(Sales!$D$5:$D$504,Sales!$B$5:$B$504,$A101))</f>
        <v/>
      </c>
      <c r="H101" s="24">
        <f>IF($A101="","",MAX(0,(E101+F101-G101)))</f>
        <v/>
      </c>
      <c r="I101" s="24">
        <f>IF($A101="","",ROUNDUP(L101*O101+P101,0))</f>
        <v/>
      </c>
      <c r="J101" s="25" t="inlineStr"/>
      <c r="K101" s="26">
        <f>IF($A101="","",H101*J101)</f>
        <v/>
      </c>
      <c r="L101" s="27">
        <f>IF($A101="","",IFERROR(SUMIFS(Sales!$D$5:$D$504,Sales!$B$5:$B$504,$A101,Sales!$A$5:$A$504,"&gt;="&amp;Setup!$B$5-Setup!$B$6,Sales!$A$5:$A$504,"&lt;="&amp;Setup!$B$5)/Setup!$B$6,0))</f>
        <v/>
      </c>
      <c r="M101" s="28">
        <f>IF($A101="","",IF(L101&lt;=0,999,H101/L101))</f>
        <v/>
      </c>
      <c r="N101" s="29">
        <f>IF($A101="","",IF(L101&lt;=0,"No recent sales",Setup!$B$5+M101))</f>
        <v/>
      </c>
      <c r="O101" s="24">
        <f>IF($A101="","",Setup!$B$11)</f>
        <v/>
      </c>
      <c r="P101" s="24">
        <f>IF($A101="","",ROUNDUP(L101*Setup!$B$12,0))</f>
        <v/>
      </c>
      <c r="Q101" s="24">
        <f>IF($A101="","",IF((E101+F101-G101)&lt;0,0,IF(MAX(0,ROUNDUP(I101-H101,0))=0,0,CEILING(MAX(0,ROUNDUP(I101-H101,0)),Setup!$B$13))))</f>
        <v/>
      </c>
      <c r="R101" s="29">
        <f>IF($A101="","",IF(L101&lt;=0,"No sales signal",N101-O101))</f>
        <v/>
      </c>
      <c r="S101" s="30">
        <f>IF($A101="","",IF((E101+F101-G101)&lt;0,"Fix stock data",IF(R101="No sales signal","No action",IF(R101&lt;=Setup!$B$5,"Order now",IF(R101&lt;=Setup!$B$5+7,"Order this week",IF(H101&lt;=I101,"Plan reorder","No action"))))))</f>
        <v/>
      </c>
      <c r="T101" s="30">
        <f>IF($A101="","",IF((E101+F101-G101)&lt;0,"Review stock data",IF(H101=0,"Out of stock",IF(H101&lt;=I101,"Reorder soon","Healthy"))))</f>
        <v/>
      </c>
      <c r="U101" s="22" t="inlineStr"/>
    </row>
    <row r="102">
      <c r="A102" s="22" t="inlineStr"/>
      <c r="B102" s="22" t="inlineStr"/>
      <c r="C102" s="22" t="inlineStr"/>
      <c r="D102" s="22" t="inlineStr"/>
      <c r="E102" s="23" t="inlineStr"/>
      <c r="F102" s="24">
        <f>IF($A102="","",SUMIFS(Purchases!$D$5:$D$304,Purchases!$B$5:$B$304,$A102))</f>
        <v/>
      </c>
      <c r="G102" s="24">
        <f>IF($A102="","",SUMIFS(Sales!$D$5:$D$504,Sales!$B$5:$B$504,$A102))</f>
        <v/>
      </c>
      <c r="H102" s="24">
        <f>IF($A102="","",MAX(0,(E102+F102-G102)))</f>
        <v/>
      </c>
      <c r="I102" s="24">
        <f>IF($A102="","",ROUNDUP(L102*O102+P102,0))</f>
        <v/>
      </c>
      <c r="J102" s="25" t="inlineStr"/>
      <c r="K102" s="26">
        <f>IF($A102="","",H102*J102)</f>
        <v/>
      </c>
      <c r="L102" s="27">
        <f>IF($A102="","",IFERROR(SUMIFS(Sales!$D$5:$D$504,Sales!$B$5:$B$504,$A102,Sales!$A$5:$A$504,"&gt;="&amp;Setup!$B$5-Setup!$B$6,Sales!$A$5:$A$504,"&lt;="&amp;Setup!$B$5)/Setup!$B$6,0))</f>
        <v/>
      </c>
      <c r="M102" s="28">
        <f>IF($A102="","",IF(L102&lt;=0,999,H102/L102))</f>
        <v/>
      </c>
      <c r="N102" s="29">
        <f>IF($A102="","",IF(L102&lt;=0,"No recent sales",Setup!$B$5+M102))</f>
        <v/>
      </c>
      <c r="O102" s="24">
        <f>IF($A102="","",Setup!$B$11)</f>
        <v/>
      </c>
      <c r="P102" s="24">
        <f>IF($A102="","",ROUNDUP(L102*Setup!$B$12,0))</f>
        <v/>
      </c>
      <c r="Q102" s="24">
        <f>IF($A102="","",IF((E102+F102-G102)&lt;0,0,IF(MAX(0,ROUNDUP(I102-H102,0))=0,0,CEILING(MAX(0,ROUNDUP(I102-H102,0)),Setup!$B$13))))</f>
        <v/>
      </c>
      <c r="R102" s="29">
        <f>IF($A102="","",IF(L102&lt;=0,"No sales signal",N102-O102))</f>
        <v/>
      </c>
      <c r="S102" s="30">
        <f>IF($A102="","",IF((E102+F102-G102)&lt;0,"Fix stock data",IF(R102="No sales signal","No action",IF(R102&lt;=Setup!$B$5,"Order now",IF(R102&lt;=Setup!$B$5+7,"Order this week",IF(H102&lt;=I102,"Plan reorder","No action"))))))</f>
        <v/>
      </c>
      <c r="T102" s="30">
        <f>IF($A102="","",IF((E102+F102-G102)&lt;0,"Review stock data",IF(H102=0,"Out of stock",IF(H102&lt;=I102,"Reorder soon","Healthy"))))</f>
        <v/>
      </c>
      <c r="U102" s="22" t="inlineStr"/>
    </row>
    <row r="103">
      <c r="A103" s="22" t="inlineStr"/>
      <c r="B103" s="22" t="inlineStr"/>
      <c r="C103" s="22" t="inlineStr"/>
      <c r="D103" s="22" t="inlineStr"/>
      <c r="E103" s="23" t="inlineStr"/>
      <c r="F103" s="24">
        <f>IF($A103="","",SUMIFS(Purchases!$D$5:$D$304,Purchases!$B$5:$B$304,$A103))</f>
        <v/>
      </c>
      <c r="G103" s="24">
        <f>IF($A103="","",SUMIFS(Sales!$D$5:$D$504,Sales!$B$5:$B$504,$A103))</f>
        <v/>
      </c>
      <c r="H103" s="24">
        <f>IF($A103="","",MAX(0,(E103+F103-G103)))</f>
        <v/>
      </c>
      <c r="I103" s="24">
        <f>IF($A103="","",ROUNDUP(L103*O103+P103,0))</f>
        <v/>
      </c>
      <c r="J103" s="25" t="inlineStr"/>
      <c r="K103" s="26">
        <f>IF($A103="","",H103*J103)</f>
        <v/>
      </c>
      <c r="L103" s="27">
        <f>IF($A103="","",IFERROR(SUMIFS(Sales!$D$5:$D$504,Sales!$B$5:$B$504,$A103,Sales!$A$5:$A$504,"&gt;="&amp;Setup!$B$5-Setup!$B$6,Sales!$A$5:$A$504,"&lt;="&amp;Setup!$B$5)/Setup!$B$6,0))</f>
        <v/>
      </c>
      <c r="M103" s="28">
        <f>IF($A103="","",IF(L103&lt;=0,999,H103/L103))</f>
        <v/>
      </c>
      <c r="N103" s="29">
        <f>IF($A103="","",IF(L103&lt;=0,"No recent sales",Setup!$B$5+M103))</f>
        <v/>
      </c>
      <c r="O103" s="24">
        <f>IF($A103="","",Setup!$B$11)</f>
        <v/>
      </c>
      <c r="P103" s="24">
        <f>IF($A103="","",ROUNDUP(L103*Setup!$B$12,0))</f>
        <v/>
      </c>
      <c r="Q103" s="24">
        <f>IF($A103="","",IF((E103+F103-G103)&lt;0,0,IF(MAX(0,ROUNDUP(I103-H103,0))=0,0,CEILING(MAX(0,ROUNDUP(I103-H103,0)),Setup!$B$13))))</f>
        <v/>
      </c>
      <c r="R103" s="29">
        <f>IF($A103="","",IF(L103&lt;=0,"No sales signal",N103-O103))</f>
        <v/>
      </c>
      <c r="S103" s="30">
        <f>IF($A103="","",IF((E103+F103-G103)&lt;0,"Fix stock data",IF(R103="No sales signal","No action",IF(R103&lt;=Setup!$B$5,"Order now",IF(R103&lt;=Setup!$B$5+7,"Order this week",IF(H103&lt;=I103,"Plan reorder","No action"))))))</f>
        <v/>
      </c>
      <c r="T103" s="30">
        <f>IF($A103="","",IF((E103+F103-G103)&lt;0,"Review stock data",IF(H103=0,"Out of stock",IF(H103&lt;=I103,"Reorder soon","Healthy"))))</f>
        <v/>
      </c>
      <c r="U103" s="22" t="inlineStr"/>
    </row>
    <row r="104">
      <c r="A104" s="22" t="inlineStr"/>
      <c r="B104" s="22" t="inlineStr"/>
      <c r="C104" s="22" t="inlineStr"/>
      <c r="D104" s="22" t="inlineStr"/>
      <c r="E104" s="23" t="inlineStr"/>
      <c r="F104" s="24">
        <f>IF($A104="","",SUMIFS(Purchases!$D$5:$D$304,Purchases!$B$5:$B$304,$A104))</f>
        <v/>
      </c>
      <c r="G104" s="24">
        <f>IF($A104="","",SUMIFS(Sales!$D$5:$D$504,Sales!$B$5:$B$504,$A104))</f>
        <v/>
      </c>
      <c r="H104" s="24">
        <f>IF($A104="","",MAX(0,(E104+F104-G104)))</f>
        <v/>
      </c>
      <c r="I104" s="24">
        <f>IF($A104="","",ROUNDUP(L104*O104+P104,0))</f>
        <v/>
      </c>
      <c r="J104" s="25" t="inlineStr"/>
      <c r="K104" s="26">
        <f>IF($A104="","",H104*J104)</f>
        <v/>
      </c>
      <c r="L104" s="27">
        <f>IF($A104="","",IFERROR(SUMIFS(Sales!$D$5:$D$504,Sales!$B$5:$B$504,$A104,Sales!$A$5:$A$504,"&gt;="&amp;Setup!$B$5-Setup!$B$6,Sales!$A$5:$A$504,"&lt;="&amp;Setup!$B$5)/Setup!$B$6,0))</f>
        <v/>
      </c>
      <c r="M104" s="28">
        <f>IF($A104="","",IF(L104&lt;=0,999,H104/L104))</f>
        <v/>
      </c>
      <c r="N104" s="29">
        <f>IF($A104="","",IF(L104&lt;=0,"No recent sales",Setup!$B$5+M104))</f>
        <v/>
      </c>
      <c r="O104" s="24">
        <f>IF($A104="","",Setup!$B$11)</f>
        <v/>
      </c>
      <c r="P104" s="24">
        <f>IF($A104="","",ROUNDUP(L104*Setup!$B$12,0))</f>
        <v/>
      </c>
      <c r="Q104" s="24">
        <f>IF($A104="","",IF((E104+F104-G104)&lt;0,0,IF(MAX(0,ROUNDUP(I104-H104,0))=0,0,CEILING(MAX(0,ROUNDUP(I104-H104,0)),Setup!$B$13))))</f>
        <v/>
      </c>
      <c r="R104" s="29">
        <f>IF($A104="","",IF(L104&lt;=0,"No sales signal",N104-O104))</f>
        <v/>
      </c>
      <c r="S104" s="30">
        <f>IF($A104="","",IF((E104+F104-G104)&lt;0,"Fix stock data",IF(R104="No sales signal","No action",IF(R104&lt;=Setup!$B$5,"Order now",IF(R104&lt;=Setup!$B$5+7,"Order this week",IF(H104&lt;=I104,"Plan reorder","No action"))))))</f>
        <v/>
      </c>
      <c r="T104" s="30">
        <f>IF($A104="","",IF((E104+F104-G104)&lt;0,"Review stock data",IF(H104=0,"Out of stock",IF(H104&lt;=I104,"Reorder soon","Healthy"))))</f>
        <v/>
      </c>
      <c r="U104" s="22" t="inlineStr"/>
    </row>
    <row r="105">
      <c r="A105" s="31" t="inlineStr">
        <is>
          <t>Totals</t>
        </is>
      </c>
      <c r="B105" s="31" t="n"/>
      <c r="C105" s="31" t="n"/>
      <c r="D105" s="31" t="n"/>
      <c r="E105" s="32">
        <f>SUM(E5:E104)</f>
        <v/>
      </c>
      <c r="F105" s="32">
        <f>SUM(F5:F104)</f>
        <v/>
      </c>
      <c r="G105" s="32">
        <f>SUM(G5:G104)</f>
        <v/>
      </c>
      <c r="H105" s="32">
        <f>SUM(H5:H104)</f>
        <v/>
      </c>
      <c r="I105" s="31" t="n"/>
      <c r="J105" s="31" t="n"/>
      <c r="K105" s="33">
        <f>SUM(K5:K104)</f>
        <v/>
      </c>
      <c r="L105" s="31" t="n"/>
      <c r="M105" s="31" t="n"/>
      <c r="N105" s="31" t="n"/>
      <c r="O105" s="31" t="n"/>
      <c r="P105" s="31" t="n"/>
      <c r="Q105" s="32">
        <f>SUM(Q5:Q104)</f>
        <v/>
      </c>
      <c r="R105" s="31" t="n"/>
      <c r="S105" s="31" t="n"/>
      <c r="T105" s="31" t="n"/>
      <c r="U1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U1"/>
    <mergeCell ref="A2:U2"/>
  </mergeCells>
  <dataValidations count="1">
    <dataValidation sqref="C5:C104" showDropDown="0" showInputMessage="0" showErrorMessage="0" allowBlank="1" type="list">
      <formula1>=Lists!$B$2:$B$7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0" customWidth="1" min="4" max="4"/>
    <col width="12" customWidth="1" min="5" max="5"/>
    <col width="12" customWidth="1" min="6" max="6"/>
    <col width="14" customWidth="1" min="7" max="7"/>
    <col width="24" customWidth="1" min="8" max="8"/>
  </cols>
  <sheetData>
    <row r="1" ht="28" customHeight="1">
      <c r="A1" s="1" t="inlineStr">
        <is>
          <t>Purchases</t>
        </is>
      </c>
    </row>
    <row r="2" ht="22" customHeight="1">
      <c r="A2" s="2" t="inlineStr">
        <is>
          <t>Log restocks and purchase costs. Quantity drives Inventory on-hand and total cost drives the dashboard.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Supplier</t>
        </is>
      </c>
      <c r="D4" s="14" t="inlineStr">
        <is>
          <t>Qty</t>
        </is>
      </c>
      <c r="E4" s="14" t="inlineStr">
        <is>
          <t>Unit Cost</t>
        </is>
      </c>
      <c r="F4" s="14" t="inlineStr">
        <is>
          <t>Shipping</t>
        </is>
      </c>
      <c r="G4" s="14" t="inlineStr">
        <is>
          <t>Total Cost</t>
        </is>
      </c>
      <c r="H4" s="14" t="inlineStr">
        <is>
          <t>Notes</t>
        </is>
      </c>
    </row>
    <row r="5">
      <c r="A5" s="34" t="n">
        <v>46025</v>
      </c>
      <c r="B5" s="22" t="inlineStr">
        <is>
          <t>SKU-001</t>
        </is>
      </c>
      <c r="C5" s="22" t="inlineStr">
        <is>
          <t>Northstar Wholesale</t>
        </is>
      </c>
      <c r="D5" s="23" t="n">
        <v>2</v>
      </c>
      <c r="E5" s="25" t="n">
        <v>0.95</v>
      </c>
      <c r="F5" s="25" t="n">
        <v>1.8</v>
      </c>
      <c r="G5" s="35">
        <f>IF(OR(B5="",D5=""),"",D5*E5+F5)</f>
        <v/>
      </c>
      <c r="H5" s="22" t="inlineStr">
        <is>
          <t>Restock wave 1</t>
        </is>
      </c>
    </row>
    <row r="6">
      <c r="A6" s="34" t="n">
        <v>46025</v>
      </c>
      <c r="B6" s="22" t="inlineStr">
        <is>
          <t>SKU-002</t>
        </is>
      </c>
      <c r="C6" s="22" t="inlineStr">
        <is>
          <t>Northstar Wholesale</t>
        </is>
      </c>
      <c r="D6" s="23" t="n">
        <v>3</v>
      </c>
      <c r="E6" s="25" t="n">
        <v>1.12</v>
      </c>
      <c r="F6" s="25" t="n">
        <v>2.15</v>
      </c>
      <c r="G6" s="35">
        <f>IF(OR(B6="",D6=""),"",D6*E6+F6)</f>
        <v/>
      </c>
      <c r="H6" s="22" t="inlineStr">
        <is>
          <t>Restock wave 1</t>
        </is>
      </c>
    </row>
    <row r="7">
      <c r="A7" s="34" t="n">
        <v>46025</v>
      </c>
      <c r="B7" s="22" t="inlineStr">
        <is>
          <t>SKU-003</t>
        </is>
      </c>
      <c r="C7" s="22" t="inlineStr">
        <is>
          <t>Northstar Wholesale</t>
        </is>
      </c>
      <c r="D7" s="23" t="n">
        <v>4</v>
      </c>
      <c r="E7" s="25" t="n">
        <v>1.29</v>
      </c>
      <c r="F7" s="25" t="n">
        <v>2.5</v>
      </c>
      <c r="G7" s="35">
        <f>IF(OR(B7="",D7=""),"",D7*E7+F7)</f>
        <v/>
      </c>
      <c r="H7" s="22" t="inlineStr">
        <is>
          <t>Restock wave 1</t>
        </is>
      </c>
    </row>
    <row r="8">
      <c r="A8" s="34" t="n">
        <v>46025</v>
      </c>
      <c r="B8" s="22" t="inlineStr">
        <is>
          <t>SKU-004</t>
        </is>
      </c>
      <c r="C8" s="22" t="inlineStr">
        <is>
          <t>Northstar Wholesale</t>
        </is>
      </c>
      <c r="D8" s="23" t="n">
        <v>5</v>
      </c>
      <c r="E8" s="25" t="n">
        <v>1.46</v>
      </c>
      <c r="F8" s="25" t="n">
        <v>2.85</v>
      </c>
      <c r="G8" s="35">
        <f>IF(OR(B8="",D8=""),"",D8*E8+F8)</f>
        <v/>
      </c>
      <c r="H8" s="22" t="inlineStr">
        <is>
          <t>Restock wave 1</t>
        </is>
      </c>
    </row>
    <row r="9">
      <c r="A9" s="34" t="n">
        <v>46025</v>
      </c>
      <c r="B9" s="22" t="inlineStr">
        <is>
          <t>SKU-005</t>
        </is>
      </c>
      <c r="C9" s="22" t="inlineStr">
        <is>
          <t>Northstar Wholesale</t>
        </is>
      </c>
      <c r="D9" s="23" t="n">
        <v>6</v>
      </c>
      <c r="E9" s="25" t="n">
        <v>1.63</v>
      </c>
      <c r="F9" s="25" t="n">
        <v>3.2</v>
      </c>
      <c r="G9" s="35">
        <f>IF(OR(B9="",D9=""),"",D9*E9+F9)</f>
        <v/>
      </c>
      <c r="H9" s="22" t="inlineStr">
        <is>
          <t>Restock wave 1</t>
        </is>
      </c>
    </row>
    <row r="10">
      <c r="A10" s="34" t="n">
        <v>46025</v>
      </c>
      <c r="B10" s="22" t="inlineStr">
        <is>
          <t>SKU-006</t>
        </is>
      </c>
      <c r="C10" s="22" t="inlineStr">
        <is>
          <t>Harbor Supply</t>
        </is>
      </c>
      <c r="D10" s="23" t="n">
        <v>2</v>
      </c>
      <c r="E10" s="25" t="n">
        <v>2.1</v>
      </c>
      <c r="F10" s="25" t="n">
        <v>3.55</v>
      </c>
      <c r="G10" s="35">
        <f>IF(OR(B10="",D10=""),"",D10*E10+F10)</f>
        <v/>
      </c>
      <c r="H10" s="22" t="inlineStr">
        <is>
          <t>Restock wave 1</t>
        </is>
      </c>
    </row>
    <row r="11">
      <c r="A11" s="34" t="n">
        <v>46026</v>
      </c>
      <c r="B11" s="22" t="inlineStr">
        <is>
          <t>SKU-007</t>
        </is>
      </c>
      <c r="C11" s="22" t="inlineStr">
        <is>
          <t>Harbor Supply</t>
        </is>
      </c>
      <c r="D11" s="23" t="n">
        <v>3</v>
      </c>
      <c r="E11" s="25" t="n">
        <v>2.27</v>
      </c>
      <c r="F11" s="25" t="n">
        <v>3.9</v>
      </c>
      <c r="G11" s="35">
        <f>IF(OR(B11="",D11=""),"",D11*E11+F11)</f>
        <v/>
      </c>
      <c r="H11" s="22" t="inlineStr">
        <is>
          <t>Restock wave 1</t>
        </is>
      </c>
    </row>
    <row r="12">
      <c r="A12" s="34" t="n">
        <v>46026</v>
      </c>
      <c r="B12" s="22" t="inlineStr">
        <is>
          <t>SKU-008</t>
        </is>
      </c>
      <c r="C12" s="22" t="inlineStr">
        <is>
          <t>Harbor Supply</t>
        </is>
      </c>
      <c r="D12" s="23" t="n">
        <v>4</v>
      </c>
      <c r="E12" s="25" t="n">
        <v>2.44</v>
      </c>
      <c r="F12" s="25" t="n">
        <v>1.8</v>
      </c>
      <c r="G12" s="35">
        <f>IF(OR(B12="",D12=""),"",D12*E12+F12)</f>
        <v/>
      </c>
      <c r="H12" s="22" t="inlineStr">
        <is>
          <t>Restock wave 1</t>
        </is>
      </c>
    </row>
    <row r="13">
      <c r="A13" s="34" t="n">
        <v>46026</v>
      </c>
      <c r="B13" s="22" t="inlineStr">
        <is>
          <t>SKU-009</t>
        </is>
      </c>
      <c r="C13" s="22" t="inlineStr">
        <is>
          <t>Harbor Supply</t>
        </is>
      </c>
      <c r="D13" s="23" t="n">
        <v>5</v>
      </c>
      <c r="E13" s="25" t="n">
        <v>2.61</v>
      </c>
      <c r="F13" s="25" t="n">
        <v>2.15</v>
      </c>
      <c r="G13" s="35">
        <f>IF(OR(B13="",D13=""),"",D13*E13+F13)</f>
        <v/>
      </c>
      <c r="H13" s="22" t="inlineStr">
        <is>
          <t>Restock wave 1</t>
        </is>
      </c>
    </row>
    <row r="14">
      <c r="A14" s="34" t="n">
        <v>46026</v>
      </c>
      <c r="B14" s="22" t="inlineStr">
        <is>
          <t>SKU-010</t>
        </is>
      </c>
      <c r="C14" s="22" t="inlineStr">
        <is>
          <t>Harbor Supply</t>
        </is>
      </c>
      <c r="D14" s="23" t="n">
        <v>6</v>
      </c>
      <c r="E14" s="25" t="n">
        <v>2.78</v>
      </c>
      <c r="F14" s="25" t="n">
        <v>2.5</v>
      </c>
      <c r="G14" s="35">
        <f>IF(OR(B14="",D14=""),"",D14*E14+F14)</f>
        <v/>
      </c>
      <c r="H14" s="22" t="inlineStr">
        <is>
          <t>Restock wave 1</t>
        </is>
      </c>
    </row>
    <row r="15">
      <c r="A15" s="34" t="n">
        <v>46026</v>
      </c>
      <c r="B15" s="22" t="inlineStr">
        <is>
          <t>SKU-011</t>
        </is>
      </c>
      <c r="C15" s="22" t="inlineStr">
        <is>
          <t>Paper Trail Co.</t>
        </is>
      </c>
      <c r="D15" s="23" t="n">
        <v>2</v>
      </c>
      <c r="E15" s="25" t="n">
        <v>1.25</v>
      </c>
      <c r="F15" s="25" t="n">
        <v>2.85</v>
      </c>
      <c r="G15" s="35">
        <f>IF(OR(B15="",D15=""),"",D15*E15+F15)</f>
        <v/>
      </c>
      <c r="H15" s="22" t="inlineStr">
        <is>
          <t>Restock wave 1</t>
        </is>
      </c>
    </row>
    <row r="16">
      <c r="A16" s="34" t="n">
        <v>46026</v>
      </c>
      <c r="B16" s="22" t="inlineStr">
        <is>
          <t>SKU-012</t>
        </is>
      </c>
      <c r="C16" s="22" t="inlineStr">
        <is>
          <t>Paper Trail Co.</t>
        </is>
      </c>
      <c r="D16" s="23" t="n">
        <v>3</v>
      </c>
      <c r="E16" s="25" t="n">
        <v>1.42</v>
      </c>
      <c r="F16" s="25" t="n">
        <v>3.2</v>
      </c>
      <c r="G16" s="35">
        <f>IF(OR(B16="",D16=""),"",D16*E16+F16)</f>
        <v/>
      </c>
      <c r="H16" s="22" t="inlineStr">
        <is>
          <t>Restock wave 1</t>
        </is>
      </c>
    </row>
    <row r="17">
      <c r="A17" s="34" t="n">
        <v>46027</v>
      </c>
      <c r="B17" s="22" t="inlineStr">
        <is>
          <t>SKU-013</t>
        </is>
      </c>
      <c r="C17" s="22" t="inlineStr">
        <is>
          <t>Paper Trail Co.</t>
        </is>
      </c>
      <c r="D17" s="23" t="n">
        <v>4</v>
      </c>
      <c r="E17" s="25" t="n">
        <v>1.59</v>
      </c>
      <c r="F17" s="25" t="n">
        <v>3.55</v>
      </c>
      <c r="G17" s="35">
        <f>IF(OR(B17="",D17=""),"",D17*E17+F17)</f>
        <v/>
      </c>
      <c r="H17" s="22" t="inlineStr">
        <is>
          <t>Restock wave 1</t>
        </is>
      </c>
    </row>
    <row r="18">
      <c r="A18" s="34" t="n">
        <v>46027</v>
      </c>
      <c r="B18" s="22" t="inlineStr">
        <is>
          <t>SKU-014</t>
        </is>
      </c>
      <c r="C18" s="22" t="inlineStr">
        <is>
          <t>Paper Trail Co.</t>
        </is>
      </c>
      <c r="D18" s="23" t="n">
        <v>5</v>
      </c>
      <c r="E18" s="25" t="n">
        <v>1.76</v>
      </c>
      <c r="F18" s="25" t="n">
        <v>3.9</v>
      </c>
      <c r="G18" s="35">
        <f>IF(OR(B18="",D18=""),"",D18*E18+F18)</f>
        <v/>
      </c>
      <c r="H18" s="22" t="inlineStr">
        <is>
          <t>Restock wave 1</t>
        </is>
      </c>
    </row>
    <row r="19">
      <c r="A19" s="34" t="n">
        <v>46027</v>
      </c>
      <c r="B19" s="22" t="inlineStr">
        <is>
          <t>SKU-015</t>
        </is>
      </c>
      <c r="C19" s="22" t="inlineStr">
        <is>
          <t>Paper Trail Co.</t>
        </is>
      </c>
      <c r="D19" s="23" t="n">
        <v>6</v>
      </c>
      <c r="E19" s="25" t="n">
        <v>1.93</v>
      </c>
      <c r="F19" s="25" t="n">
        <v>1.8</v>
      </c>
      <c r="G19" s="35">
        <f>IF(OR(B19="",D19=""),"",D19*E19+F19)</f>
        <v/>
      </c>
      <c r="H19" s="22" t="inlineStr">
        <is>
          <t>Restock wave 1</t>
        </is>
      </c>
    </row>
    <row r="20">
      <c r="A20" s="34" t="n">
        <v>46027</v>
      </c>
      <c r="B20" s="22" t="inlineStr">
        <is>
          <t>SKU-016</t>
        </is>
      </c>
      <c r="C20" s="22" t="inlineStr">
        <is>
          <t>Paper Trail Co.</t>
        </is>
      </c>
      <c r="D20" s="23" t="n">
        <v>2</v>
      </c>
      <c r="E20" s="25" t="n">
        <v>0.22</v>
      </c>
      <c r="F20" s="25" t="n">
        <v>2.15</v>
      </c>
      <c r="G20" s="35">
        <f>IF(OR(B20="",D20=""),"",D20*E20+F20)</f>
        <v/>
      </c>
      <c r="H20" s="22" t="inlineStr">
        <is>
          <t>Restock wave 1</t>
        </is>
      </c>
    </row>
    <row r="21">
      <c r="A21" s="34" t="inlineStr"/>
      <c r="B21" s="22" t="inlineStr"/>
      <c r="C21" s="22" t="inlineStr"/>
      <c r="D21" s="23" t="inlineStr"/>
      <c r="E21" s="25" t="inlineStr"/>
      <c r="F21" s="25" t="inlineStr"/>
      <c r="G21" s="35">
        <f>IF(OR(B21="",D21=""),"",D21*E21+F21)</f>
        <v/>
      </c>
      <c r="H21" s="22" t="inlineStr"/>
    </row>
    <row r="22">
      <c r="A22" s="34" t="inlineStr"/>
      <c r="B22" s="22" t="inlineStr"/>
      <c r="C22" s="22" t="inlineStr"/>
      <c r="D22" s="23" t="inlineStr"/>
      <c r="E22" s="25" t="inlineStr"/>
      <c r="F22" s="25" t="inlineStr"/>
      <c r="G22" s="35">
        <f>IF(OR(B22="",D22=""),"",D22*E22+F22)</f>
        <v/>
      </c>
      <c r="H22" s="22" t="inlineStr"/>
    </row>
    <row r="23">
      <c r="A23" s="34" t="inlineStr"/>
      <c r="B23" s="22" t="inlineStr"/>
      <c r="C23" s="22" t="inlineStr"/>
      <c r="D23" s="23" t="inlineStr"/>
      <c r="E23" s="25" t="inlineStr"/>
      <c r="F23" s="25" t="inlineStr"/>
      <c r="G23" s="35">
        <f>IF(OR(B23="",D23=""),"",D23*E23+F23)</f>
        <v/>
      </c>
      <c r="H23" s="22" t="inlineStr"/>
    </row>
    <row r="24">
      <c r="A24" s="34" t="inlineStr"/>
      <c r="B24" s="22" t="inlineStr"/>
      <c r="C24" s="22" t="inlineStr"/>
      <c r="D24" s="23" t="inlineStr"/>
      <c r="E24" s="25" t="inlineStr"/>
      <c r="F24" s="25" t="inlineStr"/>
      <c r="G24" s="35">
        <f>IF(OR(B24="",D24=""),"",D24*E24+F24)</f>
        <v/>
      </c>
      <c r="H24" s="22" t="inlineStr"/>
    </row>
    <row r="25">
      <c r="A25" s="34" t="inlineStr"/>
      <c r="B25" s="22" t="inlineStr"/>
      <c r="C25" s="22" t="inlineStr"/>
      <c r="D25" s="23" t="inlineStr"/>
      <c r="E25" s="25" t="inlineStr"/>
      <c r="F25" s="25" t="inlineStr"/>
      <c r="G25" s="35">
        <f>IF(OR(B25="",D25=""),"",D25*E25+F25)</f>
        <v/>
      </c>
      <c r="H25" s="22" t="inlineStr"/>
    </row>
    <row r="26">
      <c r="A26" s="34" t="inlineStr"/>
      <c r="B26" s="22" t="inlineStr"/>
      <c r="C26" s="22" t="inlineStr"/>
      <c r="D26" s="23" t="inlineStr"/>
      <c r="E26" s="25" t="inlineStr"/>
      <c r="F26" s="25" t="inlineStr"/>
      <c r="G26" s="35">
        <f>IF(OR(B26="",D26=""),"",D26*E26+F26)</f>
        <v/>
      </c>
      <c r="H26" s="22" t="inlineStr"/>
    </row>
    <row r="27">
      <c r="A27" s="34" t="inlineStr"/>
      <c r="B27" s="22" t="inlineStr"/>
      <c r="C27" s="22" t="inlineStr"/>
      <c r="D27" s="23" t="inlineStr"/>
      <c r="E27" s="25" t="inlineStr"/>
      <c r="F27" s="25" t="inlineStr"/>
      <c r="G27" s="35">
        <f>IF(OR(B27="",D27=""),"",D27*E27+F27)</f>
        <v/>
      </c>
      <c r="H27" s="22" t="inlineStr"/>
    </row>
    <row r="28">
      <c r="A28" s="34" t="inlineStr"/>
      <c r="B28" s="22" t="inlineStr"/>
      <c r="C28" s="22" t="inlineStr"/>
      <c r="D28" s="23" t="inlineStr"/>
      <c r="E28" s="25" t="inlineStr"/>
      <c r="F28" s="25" t="inlineStr"/>
      <c r="G28" s="35">
        <f>IF(OR(B28="",D28=""),"",D28*E28+F28)</f>
        <v/>
      </c>
      <c r="H28" s="22" t="inlineStr"/>
    </row>
    <row r="29">
      <c r="A29" s="34" t="inlineStr"/>
      <c r="B29" s="22" t="inlineStr"/>
      <c r="C29" s="22" t="inlineStr"/>
      <c r="D29" s="23" t="inlineStr"/>
      <c r="E29" s="25" t="inlineStr"/>
      <c r="F29" s="25" t="inlineStr"/>
      <c r="G29" s="35">
        <f>IF(OR(B29="",D29=""),"",D29*E29+F29)</f>
        <v/>
      </c>
      <c r="H29" s="22" t="inlineStr"/>
    </row>
    <row r="30">
      <c r="A30" s="34" t="inlineStr"/>
      <c r="B30" s="22" t="inlineStr"/>
      <c r="C30" s="22" t="inlineStr"/>
      <c r="D30" s="23" t="inlineStr"/>
      <c r="E30" s="25" t="inlineStr"/>
      <c r="F30" s="25" t="inlineStr"/>
      <c r="G30" s="35">
        <f>IF(OR(B30="",D30=""),"",D30*E30+F30)</f>
        <v/>
      </c>
      <c r="H30" s="22" t="inlineStr"/>
    </row>
    <row r="31">
      <c r="A31" s="34" t="inlineStr"/>
      <c r="B31" s="22" t="inlineStr"/>
      <c r="C31" s="22" t="inlineStr"/>
      <c r="D31" s="23" t="inlineStr"/>
      <c r="E31" s="25" t="inlineStr"/>
      <c r="F31" s="25" t="inlineStr"/>
      <c r="G31" s="35">
        <f>IF(OR(B31="",D31=""),"",D31*E31+F31)</f>
        <v/>
      </c>
      <c r="H31" s="22" t="inlineStr"/>
    </row>
    <row r="32">
      <c r="A32" s="34" t="inlineStr"/>
      <c r="B32" s="22" t="inlineStr"/>
      <c r="C32" s="22" t="inlineStr"/>
      <c r="D32" s="23" t="inlineStr"/>
      <c r="E32" s="25" t="inlineStr"/>
      <c r="F32" s="25" t="inlineStr"/>
      <c r="G32" s="35">
        <f>IF(OR(B32="",D32=""),"",D32*E32+F32)</f>
        <v/>
      </c>
      <c r="H32" s="22" t="inlineStr"/>
    </row>
    <row r="33">
      <c r="A33" s="34" t="inlineStr"/>
      <c r="B33" s="22" t="inlineStr"/>
      <c r="C33" s="22" t="inlineStr"/>
      <c r="D33" s="23" t="inlineStr"/>
      <c r="E33" s="25" t="inlineStr"/>
      <c r="F33" s="25" t="inlineStr"/>
      <c r="G33" s="35">
        <f>IF(OR(B33="",D33=""),"",D33*E33+F33)</f>
        <v/>
      </c>
      <c r="H33" s="22" t="inlineStr"/>
    </row>
    <row r="34">
      <c r="A34" s="34" t="inlineStr"/>
      <c r="B34" s="22" t="inlineStr"/>
      <c r="C34" s="22" t="inlineStr"/>
      <c r="D34" s="23" t="inlineStr"/>
      <c r="E34" s="25" t="inlineStr"/>
      <c r="F34" s="25" t="inlineStr"/>
      <c r="G34" s="35">
        <f>IF(OR(B34="",D34=""),"",D34*E34+F34)</f>
        <v/>
      </c>
      <c r="H34" s="22" t="inlineStr"/>
    </row>
    <row r="35">
      <c r="A35" s="34" t="inlineStr"/>
      <c r="B35" s="22" t="inlineStr"/>
      <c r="C35" s="22" t="inlineStr"/>
      <c r="D35" s="23" t="inlineStr"/>
      <c r="E35" s="25" t="inlineStr"/>
      <c r="F35" s="25" t="inlineStr"/>
      <c r="G35" s="35">
        <f>IF(OR(B35="",D35=""),"",D35*E35+F35)</f>
        <v/>
      </c>
      <c r="H35" s="22" t="inlineStr"/>
    </row>
    <row r="36">
      <c r="A36" s="34" t="inlineStr"/>
      <c r="B36" s="22" t="inlineStr"/>
      <c r="C36" s="22" t="inlineStr"/>
      <c r="D36" s="23" t="inlineStr"/>
      <c r="E36" s="25" t="inlineStr"/>
      <c r="F36" s="25" t="inlineStr"/>
      <c r="G36" s="35">
        <f>IF(OR(B36="",D36=""),"",D36*E36+F36)</f>
        <v/>
      </c>
      <c r="H36" s="22" t="inlineStr"/>
    </row>
    <row r="37">
      <c r="A37" s="34" t="inlineStr"/>
      <c r="B37" s="22" t="inlineStr"/>
      <c r="C37" s="22" t="inlineStr"/>
      <c r="D37" s="23" t="inlineStr"/>
      <c r="E37" s="25" t="inlineStr"/>
      <c r="F37" s="25" t="inlineStr"/>
      <c r="G37" s="35">
        <f>IF(OR(B37="",D37=""),"",D37*E37+F37)</f>
        <v/>
      </c>
      <c r="H37" s="22" t="inlineStr"/>
    </row>
    <row r="38">
      <c r="A38" s="34" t="inlineStr"/>
      <c r="B38" s="22" t="inlineStr"/>
      <c r="C38" s="22" t="inlineStr"/>
      <c r="D38" s="23" t="inlineStr"/>
      <c r="E38" s="25" t="inlineStr"/>
      <c r="F38" s="25" t="inlineStr"/>
      <c r="G38" s="35">
        <f>IF(OR(B38="",D38=""),"",D38*E38+F38)</f>
        <v/>
      </c>
      <c r="H38" s="22" t="inlineStr"/>
    </row>
    <row r="39">
      <c r="A39" s="34" t="inlineStr"/>
      <c r="B39" s="22" t="inlineStr"/>
      <c r="C39" s="22" t="inlineStr"/>
      <c r="D39" s="23" t="inlineStr"/>
      <c r="E39" s="25" t="inlineStr"/>
      <c r="F39" s="25" t="inlineStr"/>
      <c r="G39" s="35">
        <f>IF(OR(B39="",D39=""),"",D39*E39+F39)</f>
        <v/>
      </c>
      <c r="H39" s="22" t="inlineStr"/>
    </row>
    <row r="40">
      <c r="A40" s="34" t="inlineStr"/>
      <c r="B40" s="22" t="inlineStr"/>
      <c r="C40" s="22" t="inlineStr"/>
      <c r="D40" s="23" t="inlineStr"/>
      <c r="E40" s="25" t="inlineStr"/>
      <c r="F40" s="25" t="inlineStr"/>
      <c r="G40" s="35">
        <f>IF(OR(B40="",D40=""),"",D40*E40+F40)</f>
        <v/>
      </c>
      <c r="H40" s="22" t="inlineStr"/>
    </row>
    <row r="41">
      <c r="A41" s="34" t="inlineStr"/>
      <c r="B41" s="22" t="inlineStr"/>
      <c r="C41" s="22" t="inlineStr"/>
      <c r="D41" s="23" t="inlineStr"/>
      <c r="E41" s="25" t="inlineStr"/>
      <c r="F41" s="25" t="inlineStr"/>
      <c r="G41" s="35">
        <f>IF(OR(B41="",D41=""),"",D41*E41+F41)</f>
        <v/>
      </c>
      <c r="H41" s="22" t="inlineStr"/>
    </row>
    <row r="42">
      <c r="A42" s="34" t="inlineStr"/>
      <c r="B42" s="22" t="inlineStr"/>
      <c r="C42" s="22" t="inlineStr"/>
      <c r="D42" s="23" t="inlineStr"/>
      <c r="E42" s="25" t="inlineStr"/>
      <c r="F42" s="25" t="inlineStr"/>
      <c r="G42" s="35">
        <f>IF(OR(B42="",D42=""),"",D42*E42+F42)</f>
        <v/>
      </c>
      <c r="H42" s="22" t="inlineStr"/>
    </row>
    <row r="43">
      <c r="A43" s="34" t="inlineStr"/>
      <c r="B43" s="22" t="inlineStr"/>
      <c r="C43" s="22" t="inlineStr"/>
      <c r="D43" s="23" t="inlineStr"/>
      <c r="E43" s="25" t="inlineStr"/>
      <c r="F43" s="25" t="inlineStr"/>
      <c r="G43" s="35">
        <f>IF(OR(B43="",D43=""),"",D43*E43+F43)</f>
        <v/>
      </c>
      <c r="H43" s="22" t="inlineStr"/>
    </row>
    <row r="44">
      <c r="A44" s="34" t="inlineStr"/>
      <c r="B44" s="22" t="inlineStr"/>
      <c r="C44" s="22" t="inlineStr"/>
      <c r="D44" s="23" t="inlineStr"/>
      <c r="E44" s="25" t="inlineStr"/>
      <c r="F44" s="25" t="inlineStr"/>
      <c r="G44" s="35">
        <f>IF(OR(B44="",D44=""),"",D44*E44+F44)</f>
        <v/>
      </c>
      <c r="H44" s="22" t="inlineStr"/>
    </row>
    <row r="45">
      <c r="A45" s="34" t="inlineStr"/>
      <c r="B45" s="22" t="inlineStr"/>
      <c r="C45" s="22" t="inlineStr"/>
      <c r="D45" s="23" t="inlineStr"/>
      <c r="E45" s="25" t="inlineStr"/>
      <c r="F45" s="25" t="inlineStr"/>
      <c r="G45" s="35">
        <f>IF(OR(B45="",D45=""),"",D45*E45+F45)</f>
        <v/>
      </c>
      <c r="H45" s="22" t="inlineStr"/>
    </row>
    <row r="46">
      <c r="A46" s="34" t="inlineStr"/>
      <c r="B46" s="22" t="inlineStr"/>
      <c r="C46" s="22" t="inlineStr"/>
      <c r="D46" s="23" t="inlineStr"/>
      <c r="E46" s="25" t="inlineStr"/>
      <c r="F46" s="25" t="inlineStr"/>
      <c r="G46" s="35">
        <f>IF(OR(B46="",D46=""),"",D46*E46+F46)</f>
        <v/>
      </c>
      <c r="H46" s="22" t="inlineStr"/>
    </row>
    <row r="47">
      <c r="A47" s="34" t="inlineStr"/>
      <c r="B47" s="22" t="inlineStr"/>
      <c r="C47" s="22" t="inlineStr"/>
      <c r="D47" s="23" t="inlineStr"/>
      <c r="E47" s="25" t="inlineStr"/>
      <c r="F47" s="25" t="inlineStr"/>
      <c r="G47" s="35">
        <f>IF(OR(B47="",D47=""),"",D47*E47+F47)</f>
        <v/>
      </c>
      <c r="H47" s="22" t="inlineStr"/>
    </row>
    <row r="48">
      <c r="A48" s="34" t="inlineStr"/>
      <c r="B48" s="22" t="inlineStr"/>
      <c r="C48" s="22" t="inlineStr"/>
      <c r="D48" s="23" t="inlineStr"/>
      <c r="E48" s="25" t="inlineStr"/>
      <c r="F48" s="25" t="inlineStr"/>
      <c r="G48" s="35">
        <f>IF(OR(B48="",D48=""),"",D48*E48+F48)</f>
        <v/>
      </c>
      <c r="H48" s="22" t="inlineStr"/>
    </row>
    <row r="49">
      <c r="A49" s="34" t="inlineStr"/>
      <c r="B49" s="22" t="inlineStr"/>
      <c r="C49" s="22" t="inlineStr"/>
      <c r="D49" s="23" t="inlineStr"/>
      <c r="E49" s="25" t="inlineStr"/>
      <c r="F49" s="25" t="inlineStr"/>
      <c r="G49" s="35">
        <f>IF(OR(B49="",D49=""),"",D49*E49+F49)</f>
        <v/>
      </c>
      <c r="H49" s="22" t="inlineStr"/>
    </row>
    <row r="50">
      <c r="A50" s="34" t="inlineStr"/>
      <c r="B50" s="22" t="inlineStr"/>
      <c r="C50" s="22" t="inlineStr"/>
      <c r="D50" s="23" t="inlineStr"/>
      <c r="E50" s="25" t="inlineStr"/>
      <c r="F50" s="25" t="inlineStr"/>
      <c r="G50" s="35">
        <f>IF(OR(B50="",D50=""),"",D50*E50+F50)</f>
        <v/>
      </c>
      <c r="H50" s="22" t="inlineStr"/>
    </row>
    <row r="51">
      <c r="A51" s="34" t="inlineStr"/>
      <c r="B51" s="22" t="inlineStr"/>
      <c r="C51" s="22" t="inlineStr"/>
      <c r="D51" s="23" t="inlineStr"/>
      <c r="E51" s="25" t="inlineStr"/>
      <c r="F51" s="25" t="inlineStr"/>
      <c r="G51" s="35">
        <f>IF(OR(B51="",D51=""),"",D51*E51+F51)</f>
        <v/>
      </c>
      <c r="H51" s="22" t="inlineStr"/>
    </row>
    <row r="52">
      <c r="A52" s="34" t="inlineStr"/>
      <c r="B52" s="22" t="inlineStr"/>
      <c r="C52" s="22" t="inlineStr"/>
      <c r="D52" s="23" t="inlineStr"/>
      <c r="E52" s="25" t="inlineStr"/>
      <c r="F52" s="25" t="inlineStr"/>
      <c r="G52" s="35">
        <f>IF(OR(B52="",D52=""),"",D52*E52+F52)</f>
        <v/>
      </c>
      <c r="H52" s="22" t="inlineStr"/>
    </row>
    <row r="53">
      <c r="A53" s="34" t="inlineStr"/>
      <c r="B53" s="22" t="inlineStr"/>
      <c r="C53" s="22" t="inlineStr"/>
      <c r="D53" s="23" t="inlineStr"/>
      <c r="E53" s="25" t="inlineStr"/>
      <c r="F53" s="25" t="inlineStr"/>
      <c r="G53" s="35">
        <f>IF(OR(B53="",D53=""),"",D53*E53+F53)</f>
        <v/>
      </c>
      <c r="H53" s="22" t="inlineStr"/>
    </row>
    <row r="54">
      <c r="A54" s="34" t="inlineStr"/>
      <c r="B54" s="22" t="inlineStr"/>
      <c r="C54" s="22" t="inlineStr"/>
      <c r="D54" s="23" t="inlineStr"/>
      <c r="E54" s="25" t="inlineStr"/>
      <c r="F54" s="25" t="inlineStr"/>
      <c r="G54" s="35">
        <f>IF(OR(B54="",D54=""),"",D54*E54+F54)</f>
        <v/>
      </c>
      <c r="H54" s="22" t="inlineStr"/>
    </row>
    <row r="55">
      <c r="A55" s="34" t="inlineStr"/>
      <c r="B55" s="22" t="inlineStr"/>
      <c r="C55" s="22" t="inlineStr"/>
      <c r="D55" s="23" t="inlineStr"/>
      <c r="E55" s="25" t="inlineStr"/>
      <c r="F55" s="25" t="inlineStr"/>
      <c r="G55" s="35">
        <f>IF(OR(B55="",D55=""),"",D55*E55+F55)</f>
        <v/>
      </c>
      <c r="H55" s="22" t="inlineStr"/>
    </row>
    <row r="56">
      <c r="A56" s="34" t="inlineStr"/>
      <c r="B56" s="22" t="inlineStr"/>
      <c r="C56" s="22" t="inlineStr"/>
      <c r="D56" s="23" t="inlineStr"/>
      <c r="E56" s="25" t="inlineStr"/>
      <c r="F56" s="25" t="inlineStr"/>
      <c r="G56" s="35">
        <f>IF(OR(B56="",D56=""),"",D56*E56+F56)</f>
        <v/>
      </c>
      <c r="H56" s="22" t="inlineStr"/>
    </row>
    <row r="57">
      <c r="A57" s="34" t="inlineStr"/>
      <c r="B57" s="22" t="inlineStr"/>
      <c r="C57" s="22" t="inlineStr"/>
      <c r="D57" s="23" t="inlineStr"/>
      <c r="E57" s="25" t="inlineStr"/>
      <c r="F57" s="25" t="inlineStr"/>
      <c r="G57" s="35">
        <f>IF(OR(B57="",D57=""),"",D57*E57+F57)</f>
        <v/>
      </c>
      <c r="H57" s="22" t="inlineStr"/>
    </row>
    <row r="58">
      <c r="A58" s="34" t="inlineStr"/>
      <c r="B58" s="22" t="inlineStr"/>
      <c r="C58" s="22" t="inlineStr"/>
      <c r="D58" s="23" t="inlineStr"/>
      <c r="E58" s="25" t="inlineStr"/>
      <c r="F58" s="25" t="inlineStr"/>
      <c r="G58" s="35">
        <f>IF(OR(B58="",D58=""),"",D58*E58+F58)</f>
        <v/>
      </c>
      <c r="H58" s="22" t="inlineStr"/>
    </row>
    <row r="59">
      <c r="A59" s="34" t="inlineStr"/>
      <c r="B59" s="22" t="inlineStr"/>
      <c r="C59" s="22" t="inlineStr"/>
      <c r="D59" s="23" t="inlineStr"/>
      <c r="E59" s="25" t="inlineStr"/>
      <c r="F59" s="25" t="inlineStr"/>
      <c r="G59" s="35">
        <f>IF(OR(B59="",D59=""),"",D59*E59+F59)</f>
        <v/>
      </c>
      <c r="H59" s="22" t="inlineStr"/>
    </row>
    <row r="60">
      <c r="A60" s="34" t="inlineStr"/>
      <c r="B60" s="22" t="inlineStr"/>
      <c r="C60" s="22" t="inlineStr"/>
      <c r="D60" s="23" t="inlineStr"/>
      <c r="E60" s="25" t="inlineStr"/>
      <c r="F60" s="25" t="inlineStr"/>
      <c r="G60" s="35">
        <f>IF(OR(B60="",D60=""),"",D60*E60+F60)</f>
        <v/>
      </c>
      <c r="H60" s="22" t="inlineStr"/>
    </row>
    <row r="61">
      <c r="A61" s="34" t="inlineStr"/>
      <c r="B61" s="22" t="inlineStr"/>
      <c r="C61" s="22" t="inlineStr"/>
      <c r="D61" s="23" t="inlineStr"/>
      <c r="E61" s="25" t="inlineStr"/>
      <c r="F61" s="25" t="inlineStr"/>
      <c r="G61" s="35">
        <f>IF(OR(B61="",D61=""),"",D61*E61+F61)</f>
        <v/>
      </c>
      <c r="H61" s="22" t="inlineStr"/>
    </row>
    <row r="62">
      <c r="A62" s="34" t="inlineStr"/>
      <c r="B62" s="22" t="inlineStr"/>
      <c r="C62" s="22" t="inlineStr"/>
      <c r="D62" s="23" t="inlineStr"/>
      <c r="E62" s="25" t="inlineStr"/>
      <c r="F62" s="25" t="inlineStr"/>
      <c r="G62" s="35">
        <f>IF(OR(B62="",D62=""),"",D62*E62+F62)</f>
        <v/>
      </c>
      <c r="H62" s="22" t="inlineStr"/>
    </row>
    <row r="63">
      <c r="A63" s="34" t="inlineStr"/>
      <c r="B63" s="22" t="inlineStr"/>
      <c r="C63" s="22" t="inlineStr"/>
      <c r="D63" s="23" t="inlineStr"/>
      <c r="E63" s="25" t="inlineStr"/>
      <c r="F63" s="25" t="inlineStr"/>
      <c r="G63" s="35">
        <f>IF(OR(B63="",D63=""),"",D63*E63+F63)</f>
        <v/>
      </c>
      <c r="H63" s="22" t="inlineStr"/>
    </row>
    <row r="64">
      <c r="A64" s="34" t="inlineStr"/>
      <c r="B64" s="22" t="inlineStr"/>
      <c r="C64" s="22" t="inlineStr"/>
      <c r="D64" s="23" t="inlineStr"/>
      <c r="E64" s="25" t="inlineStr"/>
      <c r="F64" s="25" t="inlineStr"/>
      <c r="G64" s="35">
        <f>IF(OR(B64="",D64=""),"",D64*E64+F64)</f>
        <v/>
      </c>
      <c r="H64" s="22" t="inlineStr"/>
    </row>
    <row r="65">
      <c r="A65" s="34" t="inlineStr"/>
      <c r="B65" s="22" t="inlineStr"/>
      <c r="C65" s="22" t="inlineStr"/>
      <c r="D65" s="23" t="inlineStr"/>
      <c r="E65" s="25" t="inlineStr"/>
      <c r="F65" s="25" t="inlineStr"/>
      <c r="G65" s="35">
        <f>IF(OR(B65="",D65=""),"",D65*E65+F65)</f>
        <v/>
      </c>
      <c r="H65" s="22" t="inlineStr"/>
    </row>
    <row r="66">
      <c r="A66" s="34" t="inlineStr"/>
      <c r="B66" s="22" t="inlineStr"/>
      <c r="C66" s="22" t="inlineStr"/>
      <c r="D66" s="23" t="inlineStr"/>
      <c r="E66" s="25" t="inlineStr"/>
      <c r="F66" s="25" t="inlineStr"/>
      <c r="G66" s="35">
        <f>IF(OR(B66="",D66=""),"",D66*E66+F66)</f>
        <v/>
      </c>
      <c r="H66" s="22" t="inlineStr"/>
    </row>
    <row r="67">
      <c r="A67" s="34" t="inlineStr"/>
      <c r="B67" s="22" t="inlineStr"/>
      <c r="C67" s="22" t="inlineStr"/>
      <c r="D67" s="23" t="inlineStr"/>
      <c r="E67" s="25" t="inlineStr"/>
      <c r="F67" s="25" t="inlineStr"/>
      <c r="G67" s="35">
        <f>IF(OR(B67="",D67=""),"",D67*E67+F67)</f>
        <v/>
      </c>
      <c r="H67" s="22" t="inlineStr"/>
    </row>
    <row r="68">
      <c r="A68" s="34" t="inlineStr"/>
      <c r="B68" s="22" t="inlineStr"/>
      <c r="C68" s="22" t="inlineStr"/>
      <c r="D68" s="23" t="inlineStr"/>
      <c r="E68" s="25" t="inlineStr"/>
      <c r="F68" s="25" t="inlineStr"/>
      <c r="G68" s="35">
        <f>IF(OR(B68="",D68=""),"",D68*E68+F68)</f>
        <v/>
      </c>
      <c r="H68" s="22" t="inlineStr"/>
    </row>
    <row r="69">
      <c r="A69" s="34" t="inlineStr"/>
      <c r="B69" s="22" t="inlineStr"/>
      <c r="C69" s="22" t="inlineStr"/>
      <c r="D69" s="23" t="inlineStr"/>
      <c r="E69" s="25" t="inlineStr"/>
      <c r="F69" s="25" t="inlineStr"/>
      <c r="G69" s="35">
        <f>IF(OR(B69="",D69=""),"",D69*E69+F69)</f>
        <v/>
      </c>
      <c r="H69" s="22" t="inlineStr"/>
    </row>
    <row r="70">
      <c r="A70" s="34" t="inlineStr"/>
      <c r="B70" s="22" t="inlineStr"/>
      <c r="C70" s="22" t="inlineStr"/>
      <c r="D70" s="23" t="inlineStr"/>
      <c r="E70" s="25" t="inlineStr"/>
      <c r="F70" s="25" t="inlineStr"/>
      <c r="G70" s="35">
        <f>IF(OR(B70="",D70=""),"",D70*E70+F70)</f>
        <v/>
      </c>
      <c r="H70" s="22" t="inlineStr"/>
    </row>
    <row r="71">
      <c r="A71" s="34" t="inlineStr"/>
      <c r="B71" s="22" t="inlineStr"/>
      <c r="C71" s="22" t="inlineStr"/>
      <c r="D71" s="23" t="inlineStr"/>
      <c r="E71" s="25" t="inlineStr"/>
      <c r="F71" s="25" t="inlineStr"/>
      <c r="G71" s="35">
        <f>IF(OR(B71="",D71=""),"",D71*E71+F71)</f>
        <v/>
      </c>
      <c r="H71" s="22" t="inlineStr"/>
    </row>
    <row r="72">
      <c r="A72" s="34" t="inlineStr"/>
      <c r="B72" s="22" t="inlineStr"/>
      <c r="C72" s="22" t="inlineStr"/>
      <c r="D72" s="23" t="inlineStr"/>
      <c r="E72" s="25" t="inlineStr"/>
      <c r="F72" s="25" t="inlineStr"/>
      <c r="G72" s="35">
        <f>IF(OR(B72="",D72=""),"",D72*E72+F72)</f>
        <v/>
      </c>
      <c r="H72" s="22" t="inlineStr"/>
    </row>
    <row r="73">
      <c r="A73" s="34" t="inlineStr"/>
      <c r="B73" s="22" t="inlineStr"/>
      <c r="C73" s="22" t="inlineStr"/>
      <c r="D73" s="23" t="inlineStr"/>
      <c r="E73" s="25" t="inlineStr"/>
      <c r="F73" s="25" t="inlineStr"/>
      <c r="G73" s="35">
        <f>IF(OR(B73="",D73=""),"",D73*E73+F73)</f>
        <v/>
      </c>
      <c r="H73" s="22" t="inlineStr"/>
    </row>
    <row r="74">
      <c r="A74" s="34" t="inlineStr"/>
      <c r="B74" s="22" t="inlineStr"/>
      <c r="C74" s="22" t="inlineStr"/>
      <c r="D74" s="23" t="inlineStr"/>
      <c r="E74" s="25" t="inlineStr"/>
      <c r="F74" s="25" t="inlineStr"/>
      <c r="G74" s="35">
        <f>IF(OR(B74="",D74=""),"",D74*E74+F74)</f>
        <v/>
      </c>
      <c r="H74" s="22" t="inlineStr"/>
    </row>
    <row r="75">
      <c r="A75" s="34" t="inlineStr"/>
      <c r="B75" s="22" t="inlineStr"/>
      <c r="C75" s="22" t="inlineStr"/>
      <c r="D75" s="23" t="inlineStr"/>
      <c r="E75" s="25" t="inlineStr"/>
      <c r="F75" s="25" t="inlineStr"/>
      <c r="G75" s="35">
        <f>IF(OR(B75="",D75=""),"",D75*E75+F75)</f>
        <v/>
      </c>
      <c r="H75" s="22" t="inlineStr"/>
    </row>
    <row r="76">
      <c r="A76" s="34" t="inlineStr"/>
      <c r="B76" s="22" t="inlineStr"/>
      <c r="C76" s="22" t="inlineStr"/>
      <c r="D76" s="23" t="inlineStr"/>
      <c r="E76" s="25" t="inlineStr"/>
      <c r="F76" s="25" t="inlineStr"/>
      <c r="G76" s="35">
        <f>IF(OR(B76="",D76=""),"",D76*E76+F76)</f>
        <v/>
      </c>
      <c r="H76" s="22" t="inlineStr"/>
    </row>
    <row r="77">
      <c r="A77" s="34" t="inlineStr"/>
      <c r="B77" s="22" t="inlineStr"/>
      <c r="C77" s="22" t="inlineStr"/>
      <c r="D77" s="23" t="inlineStr"/>
      <c r="E77" s="25" t="inlineStr"/>
      <c r="F77" s="25" t="inlineStr"/>
      <c r="G77" s="35">
        <f>IF(OR(B77="",D77=""),"",D77*E77+F77)</f>
        <v/>
      </c>
      <c r="H77" s="22" t="inlineStr"/>
    </row>
    <row r="78">
      <c r="A78" s="34" t="inlineStr"/>
      <c r="B78" s="22" t="inlineStr"/>
      <c r="C78" s="22" t="inlineStr"/>
      <c r="D78" s="23" t="inlineStr"/>
      <c r="E78" s="25" t="inlineStr"/>
      <c r="F78" s="25" t="inlineStr"/>
      <c r="G78" s="35">
        <f>IF(OR(B78="",D78=""),"",D78*E78+F78)</f>
        <v/>
      </c>
      <c r="H78" s="22" t="inlineStr"/>
    </row>
    <row r="79">
      <c r="A79" s="34" t="inlineStr"/>
      <c r="B79" s="22" t="inlineStr"/>
      <c r="C79" s="22" t="inlineStr"/>
      <c r="D79" s="23" t="inlineStr"/>
      <c r="E79" s="25" t="inlineStr"/>
      <c r="F79" s="25" t="inlineStr"/>
      <c r="G79" s="35">
        <f>IF(OR(B79="",D79=""),"",D79*E79+F79)</f>
        <v/>
      </c>
      <c r="H79" s="22" t="inlineStr"/>
    </row>
    <row r="80">
      <c r="A80" s="34" t="inlineStr"/>
      <c r="B80" s="22" t="inlineStr"/>
      <c r="C80" s="22" t="inlineStr"/>
      <c r="D80" s="23" t="inlineStr"/>
      <c r="E80" s="25" t="inlineStr"/>
      <c r="F80" s="25" t="inlineStr"/>
      <c r="G80" s="35">
        <f>IF(OR(B80="",D80=""),"",D80*E80+F80)</f>
        <v/>
      </c>
      <c r="H80" s="22" t="inlineStr"/>
    </row>
    <row r="81">
      <c r="A81" s="34" t="inlineStr"/>
      <c r="B81" s="22" t="inlineStr"/>
      <c r="C81" s="22" t="inlineStr"/>
      <c r="D81" s="23" t="inlineStr"/>
      <c r="E81" s="25" t="inlineStr"/>
      <c r="F81" s="25" t="inlineStr"/>
      <c r="G81" s="35">
        <f>IF(OR(B81="",D81=""),"",D81*E81+F81)</f>
        <v/>
      </c>
      <c r="H81" s="22" t="inlineStr"/>
    </row>
    <row r="82">
      <c r="A82" s="34" t="inlineStr"/>
      <c r="B82" s="22" t="inlineStr"/>
      <c r="C82" s="22" t="inlineStr"/>
      <c r="D82" s="23" t="inlineStr"/>
      <c r="E82" s="25" t="inlineStr"/>
      <c r="F82" s="25" t="inlineStr"/>
      <c r="G82" s="35">
        <f>IF(OR(B82="",D82=""),"",D82*E82+F82)</f>
        <v/>
      </c>
      <c r="H82" s="22" t="inlineStr"/>
    </row>
    <row r="83">
      <c r="A83" s="34" t="inlineStr"/>
      <c r="B83" s="22" t="inlineStr"/>
      <c r="C83" s="22" t="inlineStr"/>
      <c r="D83" s="23" t="inlineStr"/>
      <c r="E83" s="25" t="inlineStr"/>
      <c r="F83" s="25" t="inlineStr"/>
      <c r="G83" s="35">
        <f>IF(OR(B83="",D83=""),"",D83*E83+F83)</f>
        <v/>
      </c>
      <c r="H83" s="22" t="inlineStr"/>
    </row>
    <row r="84">
      <c r="A84" s="34" t="inlineStr"/>
      <c r="B84" s="22" t="inlineStr"/>
      <c r="C84" s="22" t="inlineStr"/>
      <c r="D84" s="23" t="inlineStr"/>
      <c r="E84" s="25" t="inlineStr"/>
      <c r="F84" s="25" t="inlineStr"/>
      <c r="G84" s="35">
        <f>IF(OR(B84="",D84=""),"",D84*E84+F84)</f>
        <v/>
      </c>
      <c r="H84" s="22" t="inlineStr"/>
    </row>
    <row r="85">
      <c r="A85" s="34" t="inlineStr"/>
      <c r="B85" s="22" t="inlineStr"/>
      <c r="C85" s="22" t="inlineStr"/>
      <c r="D85" s="23" t="inlineStr"/>
      <c r="E85" s="25" t="inlineStr"/>
      <c r="F85" s="25" t="inlineStr"/>
      <c r="G85" s="35">
        <f>IF(OR(B85="",D85=""),"",D85*E85+F85)</f>
        <v/>
      </c>
      <c r="H85" s="22" t="inlineStr"/>
    </row>
    <row r="86">
      <c r="A86" s="34" t="inlineStr"/>
      <c r="B86" s="22" t="inlineStr"/>
      <c r="C86" s="22" t="inlineStr"/>
      <c r="D86" s="23" t="inlineStr"/>
      <c r="E86" s="25" t="inlineStr"/>
      <c r="F86" s="25" t="inlineStr"/>
      <c r="G86" s="35">
        <f>IF(OR(B86="",D86=""),"",D86*E86+F86)</f>
        <v/>
      </c>
      <c r="H86" s="22" t="inlineStr"/>
    </row>
    <row r="87">
      <c r="A87" s="34" t="inlineStr"/>
      <c r="B87" s="22" t="inlineStr"/>
      <c r="C87" s="22" t="inlineStr"/>
      <c r="D87" s="23" t="inlineStr"/>
      <c r="E87" s="25" t="inlineStr"/>
      <c r="F87" s="25" t="inlineStr"/>
      <c r="G87" s="35">
        <f>IF(OR(B87="",D87=""),"",D87*E87+F87)</f>
        <v/>
      </c>
      <c r="H87" s="22" t="inlineStr"/>
    </row>
    <row r="88">
      <c r="A88" s="34" t="inlineStr"/>
      <c r="B88" s="22" t="inlineStr"/>
      <c r="C88" s="22" t="inlineStr"/>
      <c r="D88" s="23" t="inlineStr"/>
      <c r="E88" s="25" t="inlineStr"/>
      <c r="F88" s="25" t="inlineStr"/>
      <c r="G88" s="35">
        <f>IF(OR(B88="",D88=""),"",D88*E88+F88)</f>
        <v/>
      </c>
      <c r="H88" s="22" t="inlineStr"/>
    </row>
    <row r="89">
      <c r="A89" s="34" t="inlineStr"/>
      <c r="B89" s="22" t="inlineStr"/>
      <c r="C89" s="22" t="inlineStr"/>
      <c r="D89" s="23" t="inlineStr"/>
      <c r="E89" s="25" t="inlineStr"/>
      <c r="F89" s="25" t="inlineStr"/>
      <c r="G89" s="35">
        <f>IF(OR(B89="",D89=""),"",D89*E89+F89)</f>
        <v/>
      </c>
      <c r="H89" s="22" t="inlineStr"/>
    </row>
    <row r="90">
      <c r="A90" s="34" t="inlineStr"/>
      <c r="B90" s="22" t="inlineStr"/>
      <c r="C90" s="22" t="inlineStr"/>
      <c r="D90" s="23" t="inlineStr"/>
      <c r="E90" s="25" t="inlineStr"/>
      <c r="F90" s="25" t="inlineStr"/>
      <c r="G90" s="35">
        <f>IF(OR(B90="",D90=""),"",D90*E90+F90)</f>
        <v/>
      </c>
      <c r="H90" s="22" t="inlineStr"/>
    </row>
    <row r="91">
      <c r="A91" s="34" t="inlineStr"/>
      <c r="B91" s="22" t="inlineStr"/>
      <c r="C91" s="22" t="inlineStr"/>
      <c r="D91" s="23" t="inlineStr"/>
      <c r="E91" s="25" t="inlineStr"/>
      <c r="F91" s="25" t="inlineStr"/>
      <c r="G91" s="35">
        <f>IF(OR(B91="",D91=""),"",D91*E91+F91)</f>
        <v/>
      </c>
      <c r="H91" s="22" t="inlineStr"/>
    </row>
    <row r="92">
      <c r="A92" s="34" t="inlineStr"/>
      <c r="B92" s="22" t="inlineStr"/>
      <c r="C92" s="22" t="inlineStr"/>
      <c r="D92" s="23" t="inlineStr"/>
      <c r="E92" s="25" t="inlineStr"/>
      <c r="F92" s="25" t="inlineStr"/>
      <c r="G92" s="35">
        <f>IF(OR(B92="",D92=""),"",D92*E92+F92)</f>
        <v/>
      </c>
      <c r="H92" s="22" t="inlineStr"/>
    </row>
    <row r="93">
      <c r="A93" s="34" t="inlineStr"/>
      <c r="B93" s="22" t="inlineStr"/>
      <c r="C93" s="22" t="inlineStr"/>
      <c r="D93" s="23" t="inlineStr"/>
      <c r="E93" s="25" t="inlineStr"/>
      <c r="F93" s="25" t="inlineStr"/>
      <c r="G93" s="35">
        <f>IF(OR(B93="",D93=""),"",D93*E93+F93)</f>
        <v/>
      </c>
      <c r="H93" s="22" t="inlineStr"/>
    </row>
    <row r="94">
      <c r="A94" s="34" t="inlineStr"/>
      <c r="B94" s="22" t="inlineStr"/>
      <c r="C94" s="22" t="inlineStr"/>
      <c r="D94" s="23" t="inlineStr"/>
      <c r="E94" s="25" t="inlineStr"/>
      <c r="F94" s="25" t="inlineStr"/>
      <c r="G94" s="35">
        <f>IF(OR(B94="",D94=""),"",D94*E94+F94)</f>
        <v/>
      </c>
      <c r="H94" s="22" t="inlineStr"/>
    </row>
    <row r="95">
      <c r="A95" s="34" t="inlineStr"/>
      <c r="B95" s="22" t="inlineStr"/>
      <c r="C95" s="22" t="inlineStr"/>
      <c r="D95" s="23" t="inlineStr"/>
      <c r="E95" s="25" t="inlineStr"/>
      <c r="F95" s="25" t="inlineStr"/>
      <c r="G95" s="35">
        <f>IF(OR(B95="",D95=""),"",D95*E95+F95)</f>
        <v/>
      </c>
      <c r="H95" s="22" t="inlineStr"/>
    </row>
    <row r="96">
      <c r="A96" s="34" t="inlineStr"/>
      <c r="B96" s="22" t="inlineStr"/>
      <c r="C96" s="22" t="inlineStr"/>
      <c r="D96" s="23" t="inlineStr"/>
      <c r="E96" s="25" t="inlineStr"/>
      <c r="F96" s="25" t="inlineStr"/>
      <c r="G96" s="35">
        <f>IF(OR(B96="",D96=""),"",D96*E96+F96)</f>
        <v/>
      </c>
      <c r="H96" s="22" t="inlineStr"/>
    </row>
    <row r="97">
      <c r="A97" s="34" t="inlineStr"/>
      <c r="B97" s="22" t="inlineStr"/>
      <c r="C97" s="22" t="inlineStr"/>
      <c r="D97" s="23" t="inlineStr"/>
      <c r="E97" s="25" t="inlineStr"/>
      <c r="F97" s="25" t="inlineStr"/>
      <c r="G97" s="35">
        <f>IF(OR(B97="",D97=""),"",D97*E97+F97)</f>
        <v/>
      </c>
      <c r="H97" s="22" t="inlineStr"/>
    </row>
    <row r="98">
      <c r="A98" s="34" t="inlineStr"/>
      <c r="B98" s="22" t="inlineStr"/>
      <c r="C98" s="22" t="inlineStr"/>
      <c r="D98" s="23" t="inlineStr"/>
      <c r="E98" s="25" t="inlineStr"/>
      <c r="F98" s="25" t="inlineStr"/>
      <c r="G98" s="35">
        <f>IF(OR(B98="",D98=""),"",D98*E98+F98)</f>
        <v/>
      </c>
      <c r="H98" s="22" t="inlineStr"/>
    </row>
    <row r="99">
      <c r="A99" s="34" t="inlineStr"/>
      <c r="B99" s="22" t="inlineStr"/>
      <c r="C99" s="22" t="inlineStr"/>
      <c r="D99" s="23" t="inlineStr"/>
      <c r="E99" s="25" t="inlineStr"/>
      <c r="F99" s="25" t="inlineStr"/>
      <c r="G99" s="35">
        <f>IF(OR(B99="",D99=""),"",D99*E99+F99)</f>
        <v/>
      </c>
      <c r="H99" s="22" t="inlineStr"/>
    </row>
    <row r="100">
      <c r="A100" s="34" t="inlineStr"/>
      <c r="B100" s="22" t="inlineStr"/>
      <c r="C100" s="22" t="inlineStr"/>
      <c r="D100" s="23" t="inlineStr"/>
      <c r="E100" s="25" t="inlineStr"/>
      <c r="F100" s="25" t="inlineStr"/>
      <c r="G100" s="35">
        <f>IF(OR(B100="",D100=""),"",D100*E100+F100)</f>
        <v/>
      </c>
      <c r="H100" s="22" t="inlineStr"/>
    </row>
    <row r="101">
      <c r="A101" s="34" t="inlineStr"/>
      <c r="B101" s="22" t="inlineStr"/>
      <c r="C101" s="22" t="inlineStr"/>
      <c r="D101" s="23" t="inlineStr"/>
      <c r="E101" s="25" t="inlineStr"/>
      <c r="F101" s="25" t="inlineStr"/>
      <c r="G101" s="35">
        <f>IF(OR(B101="",D101=""),"",D101*E101+F101)</f>
        <v/>
      </c>
      <c r="H101" s="22" t="inlineStr"/>
    </row>
    <row r="102">
      <c r="A102" s="34" t="inlineStr"/>
      <c r="B102" s="22" t="inlineStr"/>
      <c r="C102" s="22" t="inlineStr"/>
      <c r="D102" s="23" t="inlineStr"/>
      <c r="E102" s="25" t="inlineStr"/>
      <c r="F102" s="25" t="inlineStr"/>
      <c r="G102" s="35">
        <f>IF(OR(B102="",D102=""),"",D102*E102+F102)</f>
        <v/>
      </c>
      <c r="H102" s="22" t="inlineStr"/>
    </row>
    <row r="103">
      <c r="A103" s="34" t="inlineStr"/>
      <c r="B103" s="22" t="inlineStr"/>
      <c r="C103" s="22" t="inlineStr"/>
      <c r="D103" s="23" t="inlineStr"/>
      <c r="E103" s="25" t="inlineStr"/>
      <c r="F103" s="25" t="inlineStr"/>
      <c r="G103" s="35">
        <f>IF(OR(B103="",D103=""),"",D103*E103+F103)</f>
        <v/>
      </c>
      <c r="H103" s="22" t="inlineStr"/>
    </row>
    <row r="104">
      <c r="A104" s="34" t="inlineStr"/>
      <c r="B104" s="22" t="inlineStr"/>
      <c r="C104" s="22" t="inlineStr"/>
      <c r="D104" s="23" t="inlineStr"/>
      <c r="E104" s="25" t="inlineStr"/>
      <c r="F104" s="25" t="inlineStr"/>
      <c r="G104" s="35">
        <f>IF(OR(B104="",D104=""),"",D104*E104+F104)</f>
        <v/>
      </c>
      <c r="H104" s="22" t="inlineStr"/>
    </row>
    <row r="105">
      <c r="A105" s="34" t="inlineStr"/>
      <c r="B105" s="22" t="inlineStr"/>
      <c r="C105" s="22" t="inlineStr"/>
      <c r="D105" s="23" t="inlineStr"/>
      <c r="E105" s="25" t="inlineStr"/>
      <c r="F105" s="25" t="inlineStr"/>
      <c r="G105" s="35">
        <f>IF(OR(B105="",D105=""),"",D105*E105+F105)</f>
        <v/>
      </c>
      <c r="H105" s="22" t="inlineStr"/>
    </row>
    <row r="106">
      <c r="A106" s="34" t="inlineStr"/>
      <c r="B106" s="22" t="inlineStr"/>
      <c r="C106" s="22" t="inlineStr"/>
      <c r="D106" s="23" t="inlineStr"/>
      <c r="E106" s="25" t="inlineStr"/>
      <c r="F106" s="25" t="inlineStr"/>
      <c r="G106" s="35">
        <f>IF(OR(B106="",D106=""),"",D106*E106+F106)</f>
        <v/>
      </c>
      <c r="H106" s="22" t="inlineStr"/>
    </row>
    <row r="107">
      <c r="A107" s="34" t="inlineStr"/>
      <c r="B107" s="22" t="inlineStr"/>
      <c r="C107" s="22" t="inlineStr"/>
      <c r="D107" s="23" t="inlineStr"/>
      <c r="E107" s="25" t="inlineStr"/>
      <c r="F107" s="25" t="inlineStr"/>
      <c r="G107" s="35">
        <f>IF(OR(B107="",D107=""),"",D107*E107+F107)</f>
        <v/>
      </c>
      <c r="H107" s="22" t="inlineStr"/>
    </row>
    <row r="108">
      <c r="A108" s="34" t="inlineStr"/>
      <c r="B108" s="22" t="inlineStr"/>
      <c r="C108" s="22" t="inlineStr"/>
      <c r="D108" s="23" t="inlineStr"/>
      <c r="E108" s="25" t="inlineStr"/>
      <c r="F108" s="25" t="inlineStr"/>
      <c r="G108" s="35">
        <f>IF(OR(B108="",D108=""),"",D108*E108+F108)</f>
        <v/>
      </c>
      <c r="H108" s="22" t="inlineStr"/>
    </row>
    <row r="109">
      <c r="A109" s="34" t="inlineStr"/>
      <c r="B109" s="22" t="inlineStr"/>
      <c r="C109" s="22" t="inlineStr"/>
      <c r="D109" s="23" t="inlineStr"/>
      <c r="E109" s="25" t="inlineStr"/>
      <c r="F109" s="25" t="inlineStr"/>
      <c r="G109" s="35">
        <f>IF(OR(B109="",D109=""),"",D109*E109+F109)</f>
        <v/>
      </c>
      <c r="H109" s="22" t="inlineStr"/>
    </row>
    <row r="110">
      <c r="A110" s="34" t="inlineStr"/>
      <c r="B110" s="22" t="inlineStr"/>
      <c r="C110" s="22" t="inlineStr"/>
      <c r="D110" s="23" t="inlineStr"/>
      <c r="E110" s="25" t="inlineStr"/>
      <c r="F110" s="25" t="inlineStr"/>
      <c r="G110" s="35">
        <f>IF(OR(B110="",D110=""),"",D110*E110+F110)</f>
        <v/>
      </c>
      <c r="H110" s="22" t="inlineStr"/>
    </row>
    <row r="111">
      <c r="A111" s="34" t="inlineStr"/>
      <c r="B111" s="22" t="inlineStr"/>
      <c r="C111" s="22" t="inlineStr"/>
      <c r="D111" s="23" t="inlineStr"/>
      <c r="E111" s="25" t="inlineStr"/>
      <c r="F111" s="25" t="inlineStr"/>
      <c r="G111" s="35">
        <f>IF(OR(B111="",D111=""),"",D111*E111+F111)</f>
        <v/>
      </c>
      <c r="H111" s="22" t="inlineStr"/>
    </row>
    <row r="112">
      <c r="A112" s="34" t="inlineStr"/>
      <c r="B112" s="22" t="inlineStr"/>
      <c r="C112" s="22" t="inlineStr"/>
      <c r="D112" s="23" t="inlineStr"/>
      <c r="E112" s="25" t="inlineStr"/>
      <c r="F112" s="25" t="inlineStr"/>
      <c r="G112" s="35">
        <f>IF(OR(B112="",D112=""),"",D112*E112+F112)</f>
        <v/>
      </c>
      <c r="H112" s="22" t="inlineStr"/>
    </row>
    <row r="113">
      <c r="A113" s="34" t="inlineStr"/>
      <c r="B113" s="22" t="inlineStr"/>
      <c r="C113" s="22" t="inlineStr"/>
      <c r="D113" s="23" t="inlineStr"/>
      <c r="E113" s="25" t="inlineStr"/>
      <c r="F113" s="25" t="inlineStr"/>
      <c r="G113" s="35">
        <f>IF(OR(B113="",D113=""),"",D113*E113+F113)</f>
        <v/>
      </c>
      <c r="H113" s="22" t="inlineStr"/>
    </row>
    <row r="114">
      <c r="A114" s="34" t="inlineStr"/>
      <c r="B114" s="22" t="inlineStr"/>
      <c r="C114" s="22" t="inlineStr"/>
      <c r="D114" s="23" t="inlineStr"/>
      <c r="E114" s="25" t="inlineStr"/>
      <c r="F114" s="25" t="inlineStr"/>
      <c r="G114" s="35">
        <f>IF(OR(B114="",D114=""),"",D114*E114+F114)</f>
        <v/>
      </c>
      <c r="H114" s="22" t="inlineStr"/>
    </row>
    <row r="115">
      <c r="A115" s="34" t="inlineStr"/>
      <c r="B115" s="22" t="inlineStr"/>
      <c r="C115" s="22" t="inlineStr"/>
      <c r="D115" s="23" t="inlineStr"/>
      <c r="E115" s="25" t="inlineStr"/>
      <c r="F115" s="25" t="inlineStr"/>
      <c r="G115" s="35">
        <f>IF(OR(B115="",D115=""),"",D115*E115+F115)</f>
        <v/>
      </c>
      <c r="H115" s="22" t="inlineStr"/>
    </row>
    <row r="116">
      <c r="A116" s="34" t="inlineStr"/>
      <c r="B116" s="22" t="inlineStr"/>
      <c r="C116" s="22" t="inlineStr"/>
      <c r="D116" s="23" t="inlineStr"/>
      <c r="E116" s="25" t="inlineStr"/>
      <c r="F116" s="25" t="inlineStr"/>
      <c r="G116" s="35">
        <f>IF(OR(B116="",D116=""),"",D116*E116+F116)</f>
        <v/>
      </c>
      <c r="H116" s="22" t="inlineStr"/>
    </row>
    <row r="117">
      <c r="A117" s="34" t="inlineStr"/>
      <c r="B117" s="22" t="inlineStr"/>
      <c r="C117" s="22" t="inlineStr"/>
      <c r="D117" s="23" t="inlineStr"/>
      <c r="E117" s="25" t="inlineStr"/>
      <c r="F117" s="25" t="inlineStr"/>
      <c r="G117" s="35">
        <f>IF(OR(B117="",D117=""),"",D117*E117+F117)</f>
        <v/>
      </c>
      <c r="H117" s="22" t="inlineStr"/>
    </row>
    <row r="118">
      <c r="A118" s="34" t="inlineStr"/>
      <c r="B118" s="22" t="inlineStr"/>
      <c r="C118" s="22" t="inlineStr"/>
      <c r="D118" s="23" t="inlineStr"/>
      <c r="E118" s="25" t="inlineStr"/>
      <c r="F118" s="25" t="inlineStr"/>
      <c r="G118" s="35">
        <f>IF(OR(B118="",D118=""),"",D118*E118+F118)</f>
        <v/>
      </c>
      <c r="H118" s="22" t="inlineStr"/>
    </row>
    <row r="119">
      <c r="A119" s="34" t="inlineStr"/>
      <c r="B119" s="22" t="inlineStr"/>
      <c r="C119" s="22" t="inlineStr"/>
      <c r="D119" s="23" t="inlineStr"/>
      <c r="E119" s="25" t="inlineStr"/>
      <c r="F119" s="25" t="inlineStr"/>
      <c r="G119" s="35">
        <f>IF(OR(B119="",D119=""),"",D119*E119+F119)</f>
        <v/>
      </c>
      <c r="H119" s="22" t="inlineStr"/>
    </row>
    <row r="120">
      <c r="A120" s="34" t="inlineStr"/>
      <c r="B120" s="22" t="inlineStr"/>
      <c r="C120" s="22" t="inlineStr"/>
      <c r="D120" s="23" t="inlineStr"/>
      <c r="E120" s="25" t="inlineStr"/>
      <c r="F120" s="25" t="inlineStr"/>
      <c r="G120" s="35">
        <f>IF(OR(B120="",D120=""),"",D120*E120+F120)</f>
        <v/>
      </c>
      <c r="H120" s="22" t="inlineStr"/>
    </row>
    <row r="121">
      <c r="A121" s="34" t="inlineStr"/>
      <c r="B121" s="22" t="inlineStr"/>
      <c r="C121" s="22" t="inlineStr"/>
      <c r="D121" s="23" t="inlineStr"/>
      <c r="E121" s="25" t="inlineStr"/>
      <c r="F121" s="25" t="inlineStr"/>
      <c r="G121" s="35">
        <f>IF(OR(B121="",D121=""),"",D121*E121+F121)</f>
        <v/>
      </c>
      <c r="H121" s="22" t="inlineStr"/>
    </row>
    <row r="122">
      <c r="A122" s="34" t="inlineStr"/>
      <c r="B122" s="22" t="inlineStr"/>
      <c r="C122" s="22" t="inlineStr"/>
      <c r="D122" s="23" t="inlineStr"/>
      <c r="E122" s="25" t="inlineStr"/>
      <c r="F122" s="25" t="inlineStr"/>
      <c r="G122" s="35">
        <f>IF(OR(B122="",D122=""),"",D122*E122+F122)</f>
        <v/>
      </c>
      <c r="H122" s="22" t="inlineStr"/>
    </row>
    <row r="123">
      <c r="A123" s="34" t="inlineStr"/>
      <c r="B123" s="22" t="inlineStr"/>
      <c r="C123" s="22" t="inlineStr"/>
      <c r="D123" s="23" t="inlineStr"/>
      <c r="E123" s="25" t="inlineStr"/>
      <c r="F123" s="25" t="inlineStr"/>
      <c r="G123" s="35">
        <f>IF(OR(B123="",D123=""),"",D123*E123+F123)</f>
        <v/>
      </c>
      <c r="H123" s="22" t="inlineStr"/>
    </row>
    <row r="124">
      <c r="A124" s="34" t="inlineStr"/>
      <c r="B124" s="22" t="inlineStr"/>
      <c r="C124" s="22" t="inlineStr"/>
      <c r="D124" s="23" t="inlineStr"/>
      <c r="E124" s="25" t="inlineStr"/>
      <c r="F124" s="25" t="inlineStr"/>
      <c r="G124" s="35">
        <f>IF(OR(B124="",D124=""),"",D124*E124+F124)</f>
        <v/>
      </c>
      <c r="H124" s="22" t="inlineStr"/>
    </row>
    <row r="125">
      <c r="A125" s="34" t="inlineStr"/>
      <c r="B125" s="22" t="inlineStr"/>
      <c r="C125" s="22" t="inlineStr"/>
      <c r="D125" s="23" t="inlineStr"/>
      <c r="E125" s="25" t="inlineStr"/>
      <c r="F125" s="25" t="inlineStr"/>
      <c r="G125" s="35">
        <f>IF(OR(B125="",D125=""),"",D125*E125+F125)</f>
        <v/>
      </c>
      <c r="H125" s="22" t="inlineStr"/>
    </row>
    <row r="126">
      <c r="A126" s="34" t="inlineStr"/>
      <c r="B126" s="22" t="inlineStr"/>
      <c r="C126" s="22" t="inlineStr"/>
      <c r="D126" s="23" t="inlineStr"/>
      <c r="E126" s="25" t="inlineStr"/>
      <c r="F126" s="25" t="inlineStr"/>
      <c r="G126" s="35">
        <f>IF(OR(B126="",D126=""),"",D126*E126+F126)</f>
        <v/>
      </c>
      <c r="H126" s="22" t="inlineStr"/>
    </row>
    <row r="127">
      <c r="A127" s="34" t="inlineStr"/>
      <c r="B127" s="22" t="inlineStr"/>
      <c r="C127" s="22" t="inlineStr"/>
      <c r="D127" s="23" t="inlineStr"/>
      <c r="E127" s="25" t="inlineStr"/>
      <c r="F127" s="25" t="inlineStr"/>
      <c r="G127" s="35">
        <f>IF(OR(B127="",D127=""),"",D127*E127+F127)</f>
        <v/>
      </c>
      <c r="H127" s="22" t="inlineStr"/>
    </row>
    <row r="128">
      <c r="A128" s="34" t="inlineStr"/>
      <c r="B128" s="22" t="inlineStr"/>
      <c r="C128" s="22" t="inlineStr"/>
      <c r="D128" s="23" t="inlineStr"/>
      <c r="E128" s="25" t="inlineStr"/>
      <c r="F128" s="25" t="inlineStr"/>
      <c r="G128" s="35">
        <f>IF(OR(B128="",D128=""),"",D128*E128+F128)</f>
        <v/>
      </c>
      <c r="H128" s="22" t="inlineStr"/>
    </row>
    <row r="129">
      <c r="A129" s="34" t="inlineStr"/>
      <c r="B129" s="22" t="inlineStr"/>
      <c r="C129" s="22" t="inlineStr"/>
      <c r="D129" s="23" t="inlineStr"/>
      <c r="E129" s="25" t="inlineStr"/>
      <c r="F129" s="25" t="inlineStr"/>
      <c r="G129" s="35">
        <f>IF(OR(B129="",D129=""),"",D129*E129+F129)</f>
        <v/>
      </c>
      <c r="H129" s="22" t="inlineStr"/>
    </row>
    <row r="130">
      <c r="A130" s="34" t="inlineStr"/>
      <c r="B130" s="22" t="inlineStr"/>
      <c r="C130" s="22" t="inlineStr"/>
      <c r="D130" s="23" t="inlineStr"/>
      <c r="E130" s="25" t="inlineStr"/>
      <c r="F130" s="25" t="inlineStr"/>
      <c r="G130" s="35">
        <f>IF(OR(B130="",D130=""),"",D130*E130+F130)</f>
        <v/>
      </c>
      <c r="H130" s="22" t="inlineStr"/>
    </row>
    <row r="131">
      <c r="A131" s="34" t="inlineStr"/>
      <c r="B131" s="22" t="inlineStr"/>
      <c r="C131" s="22" t="inlineStr"/>
      <c r="D131" s="23" t="inlineStr"/>
      <c r="E131" s="25" t="inlineStr"/>
      <c r="F131" s="25" t="inlineStr"/>
      <c r="G131" s="35">
        <f>IF(OR(B131="",D131=""),"",D131*E131+F131)</f>
        <v/>
      </c>
      <c r="H131" s="22" t="inlineStr"/>
    </row>
    <row r="132">
      <c r="A132" s="34" t="inlineStr"/>
      <c r="B132" s="22" t="inlineStr"/>
      <c r="C132" s="22" t="inlineStr"/>
      <c r="D132" s="23" t="inlineStr"/>
      <c r="E132" s="25" t="inlineStr"/>
      <c r="F132" s="25" t="inlineStr"/>
      <c r="G132" s="35">
        <f>IF(OR(B132="",D132=""),"",D132*E132+F132)</f>
        <v/>
      </c>
      <c r="H132" s="22" t="inlineStr"/>
    </row>
    <row r="133">
      <c r="A133" s="34" t="inlineStr"/>
      <c r="B133" s="22" t="inlineStr"/>
      <c r="C133" s="22" t="inlineStr"/>
      <c r="D133" s="23" t="inlineStr"/>
      <c r="E133" s="25" t="inlineStr"/>
      <c r="F133" s="25" t="inlineStr"/>
      <c r="G133" s="35">
        <f>IF(OR(B133="",D133=""),"",D133*E133+F133)</f>
        <v/>
      </c>
      <c r="H133" s="22" t="inlineStr"/>
    </row>
    <row r="134">
      <c r="A134" s="34" t="inlineStr"/>
      <c r="B134" s="22" t="inlineStr"/>
      <c r="C134" s="22" t="inlineStr"/>
      <c r="D134" s="23" t="inlineStr"/>
      <c r="E134" s="25" t="inlineStr"/>
      <c r="F134" s="25" t="inlineStr"/>
      <c r="G134" s="35">
        <f>IF(OR(B134="",D134=""),"",D134*E134+F134)</f>
        <v/>
      </c>
      <c r="H134" s="22" t="inlineStr"/>
    </row>
    <row r="135">
      <c r="A135" s="34" t="inlineStr"/>
      <c r="B135" s="22" t="inlineStr"/>
      <c r="C135" s="22" t="inlineStr"/>
      <c r="D135" s="23" t="inlineStr"/>
      <c r="E135" s="25" t="inlineStr"/>
      <c r="F135" s="25" t="inlineStr"/>
      <c r="G135" s="35">
        <f>IF(OR(B135="",D135=""),"",D135*E135+F135)</f>
        <v/>
      </c>
      <c r="H135" s="22" t="inlineStr"/>
    </row>
    <row r="136">
      <c r="A136" s="34" t="inlineStr"/>
      <c r="B136" s="22" t="inlineStr"/>
      <c r="C136" s="22" t="inlineStr"/>
      <c r="D136" s="23" t="inlineStr"/>
      <c r="E136" s="25" t="inlineStr"/>
      <c r="F136" s="25" t="inlineStr"/>
      <c r="G136" s="35">
        <f>IF(OR(B136="",D136=""),"",D136*E136+F136)</f>
        <v/>
      </c>
      <c r="H136" s="22" t="inlineStr"/>
    </row>
    <row r="137">
      <c r="A137" s="34" t="inlineStr"/>
      <c r="B137" s="22" t="inlineStr"/>
      <c r="C137" s="22" t="inlineStr"/>
      <c r="D137" s="23" t="inlineStr"/>
      <c r="E137" s="25" t="inlineStr"/>
      <c r="F137" s="25" t="inlineStr"/>
      <c r="G137" s="35">
        <f>IF(OR(B137="",D137=""),"",D137*E137+F137)</f>
        <v/>
      </c>
      <c r="H137" s="22" t="inlineStr"/>
    </row>
    <row r="138">
      <c r="A138" s="34" t="inlineStr"/>
      <c r="B138" s="22" t="inlineStr"/>
      <c r="C138" s="22" t="inlineStr"/>
      <c r="D138" s="23" t="inlineStr"/>
      <c r="E138" s="25" t="inlineStr"/>
      <c r="F138" s="25" t="inlineStr"/>
      <c r="G138" s="35">
        <f>IF(OR(B138="",D138=""),"",D138*E138+F138)</f>
        <v/>
      </c>
      <c r="H138" s="22" t="inlineStr"/>
    </row>
    <row r="139">
      <c r="A139" s="34" t="inlineStr"/>
      <c r="B139" s="22" t="inlineStr"/>
      <c r="C139" s="22" t="inlineStr"/>
      <c r="D139" s="23" t="inlineStr"/>
      <c r="E139" s="25" t="inlineStr"/>
      <c r="F139" s="25" t="inlineStr"/>
      <c r="G139" s="35">
        <f>IF(OR(B139="",D139=""),"",D139*E139+F139)</f>
        <v/>
      </c>
      <c r="H139" s="22" t="inlineStr"/>
    </row>
    <row r="140">
      <c r="A140" s="34" t="inlineStr"/>
      <c r="B140" s="22" t="inlineStr"/>
      <c r="C140" s="22" t="inlineStr"/>
      <c r="D140" s="23" t="inlineStr"/>
      <c r="E140" s="25" t="inlineStr"/>
      <c r="F140" s="25" t="inlineStr"/>
      <c r="G140" s="35">
        <f>IF(OR(B140="",D140=""),"",D140*E140+F140)</f>
        <v/>
      </c>
      <c r="H140" s="22" t="inlineStr"/>
    </row>
    <row r="141">
      <c r="A141" s="34" t="inlineStr"/>
      <c r="B141" s="22" t="inlineStr"/>
      <c r="C141" s="22" t="inlineStr"/>
      <c r="D141" s="23" t="inlineStr"/>
      <c r="E141" s="25" t="inlineStr"/>
      <c r="F141" s="25" t="inlineStr"/>
      <c r="G141" s="35">
        <f>IF(OR(B141="",D141=""),"",D141*E141+F141)</f>
        <v/>
      </c>
      <c r="H141" s="22" t="inlineStr"/>
    </row>
    <row r="142">
      <c r="A142" s="34" t="inlineStr"/>
      <c r="B142" s="22" t="inlineStr"/>
      <c r="C142" s="22" t="inlineStr"/>
      <c r="D142" s="23" t="inlineStr"/>
      <c r="E142" s="25" t="inlineStr"/>
      <c r="F142" s="25" t="inlineStr"/>
      <c r="G142" s="35">
        <f>IF(OR(B142="",D142=""),"",D142*E142+F142)</f>
        <v/>
      </c>
      <c r="H142" s="22" t="inlineStr"/>
    </row>
    <row r="143">
      <c r="A143" s="34" t="inlineStr"/>
      <c r="B143" s="22" t="inlineStr"/>
      <c r="C143" s="22" t="inlineStr"/>
      <c r="D143" s="23" t="inlineStr"/>
      <c r="E143" s="25" t="inlineStr"/>
      <c r="F143" s="25" t="inlineStr"/>
      <c r="G143" s="35">
        <f>IF(OR(B143="",D143=""),"",D143*E143+F143)</f>
        <v/>
      </c>
      <c r="H143" s="22" t="inlineStr"/>
    </row>
    <row r="144">
      <c r="A144" s="34" t="inlineStr"/>
      <c r="B144" s="22" t="inlineStr"/>
      <c r="C144" s="22" t="inlineStr"/>
      <c r="D144" s="23" t="inlineStr"/>
      <c r="E144" s="25" t="inlineStr"/>
      <c r="F144" s="25" t="inlineStr"/>
      <c r="G144" s="35">
        <f>IF(OR(B144="",D144=""),"",D144*E144+F144)</f>
        <v/>
      </c>
      <c r="H144" s="22" t="inlineStr"/>
    </row>
    <row r="145">
      <c r="A145" s="34" t="inlineStr"/>
      <c r="B145" s="22" t="inlineStr"/>
      <c r="C145" s="22" t="inlineStr"/>
      <c r="D145" s="23" t="inlineStr"/>
      <c r="E145" s="25" t="inlineStr"/>
      <c r="F145" s="25" t="inlineStr"/>
      <c r="G145" s="35">
        <f>IF(OR(B145="",D145=""),"",D145*E145+F145)</f>
        <v/>
      </c>
      <c r="H145" s="22" t="inlineStr"/>
    </row>
    <row r="146">
      <c r="A146" s="34" t="inlineStr"/>
      <c r="B146" s="22" t="inlineStr"/>
      <c r="C146" s="22" t="inlineStr"/>
      <c r="D146" s="23" t="inlineStr"/>
      <c r="E146" s="25" t="inlineStr"/>
      <c r="F146" s="25" t="inlineStr"/>
      <c r="G146" s="35">
        <f>IF(OR(B146="",D146=""),"",D146*E146+F146)</f>
        <v/>
      </c>
      <c r="H146" s="22" t="inlineStr"/>
    </row>
    <row r="147">
      <c r="A147" s="34" t="inlineStr"/>
      <c r="B147" s="22" t="inlineStr"/>
      <c r="C147" s="22" t="inlineStr"/>
      <c r="D147" s="23" t="inlineStr"/>
      <c r="E147" s="25" t="inlineStr"/>
      <c r="F147" s="25" t="inlineStr"/>
      <c r="G147" s="35">
        <f>IF(OR(B147="",D147=""),"",D147*E147+F147)</f>
        <v/>
      </c>
      <c r="H147" s="22" t="inlineStr"/>
    </row>
    <row r="148">
      <c r="A148" s="34" t="inlineStr"/>
      <c r="B148" s="22" t="inlineStr"/>
      <c r="C148" s="22" t="inlineStr"/>
      <c r="D148" s="23" t="inlineStr"/>
      <c r="E148" s="25" t="inlineStr"/>
      <c r="F148" s="25" t="inlineStr"/>
      <c r="G148" s="35">
        <f>IF(OR(B148="",D148=""),"",D148*E148+F148)</f>
        <v/>
      </c>
      <c r="H148" s="22" t="inlineStr"/>
    </row>
    <row r="149">
      <c r="A149" s="34" t="inlineStr"/>
      <c r="B149" s="22" t="inlineStr"/>
      <c r="C149" s="22" t="inlineStr"/>
      <c r="D149" s="23" t="inlineStr"/>
      <c r="E149" s="25" t="inlineStr"/>
      <c r="F149" s="25" t="inlineStr"/>
      <c r="G149" s="35">
        <f>IF(OR(B149="",D149=""),"",D149*E149+F149)</f>
        <v/>
      </c>
      <c r="H149" s="22" t="inlineStr"/>
    </row>
    <row r="150">
      <c r="A150" s="34" t="inlineStr"/>
      <c r="B150" s="22" t="inlineStr"/>
      <c r="C150" s="22" t="inlineStr"/>
      <c r="D150" s="23" t="inlineStr"/>
      <c r="E150" s="25" t="inlineStr"/>
      <c r="F150" s="25" t="inlineStr"/>
      <c r="G150" s="35">
        <f>IF(OR(B150="",D150=""),"",D150*E150+F150)</f>
        <v/>
      </c>
      <c r="H150" s="22" t="inlineStr"/>
    </row>
    <row r="151">
      <c r="A151" s="34" t="inlineStr"/>
      <c r="B151" s="22" t="inlineStr"/>
      <c r="C151" s="22" t="inlineStr"/>
      <c r="D151" s="23" t="inlineStr"/>
      <c r="E151" s="25" t="inlineStr"/>
      <c r="F151" s="25" t="inlineStr"/>
      <c r="G151" s="35">
        <f>IF(OR(B151="",D151=""),"",D151*E151+F151)</f>
        <v/>
      </c>
      <c r="H151" s="22" t="inlineStr"/>
    </row>
    <row r="152">
      <c r="A152" s="34" t="inlineStr"/>
      <c r="B152" s="22" t="inlineStr"/>
      <c r="C152" s="22" t="inlineStr"/>
      <c r="D152" s="23" t="inlineStr"/>
      <c r="E152" s="25" t="inlineStr"/>
      <c r="F152" s="25" t="inlineStr"/>
      <c r="G152" s="35">
        <f>IF(OR(B152="",D152=""),"",D152*E152+F152)</f>
        <v/>
      </c>
      <c r="H152" s="22" t="inlineStr"/>
    </row>
    <row r="153">
      <c r="A153" s="34" t="inlineStr"/>
      <c r="B153" s="22" t="inlineStr"/>
      <c r="C153" s="22" t="inlineStr"/>
      <c r="D153" s="23" t="inlineStr"/>
      <c r="E153" s="25" t="inlineStr"/>
      <c r="F153" s="25" t="inlineStr"/>
      <c r="G153" s="35">
        <f>IF(OR(B153="",D153=""),"",D153*E153+F153)</f>
        <v/>
      </c>
      <c r="H153" s="22" t="inlineStr"/>
    </row>
    <row r="154">
      <c r="A154" s="34" t="inlineStr"/>
      <c r="B154" s="22" t="inlineStr"/>
      <c r="C154" s="22" t="inlineStr"/>
      <c r="D154" s="23" t="inlineStr"/>
      <c r="E154" s="25" t="inlineStr"/>
      <c r="F154" s="25" t="inlineStr"/>
      <c r="G154" s="35">
        <f>IF(OR(B154="",D154=""),"",D154*E154+F154)</f>
        <v/>
      </c>
      <c r="H154" s="22" t="inlineStr"/>
    </row>
    <row r="155">
      <c r="A155" s="34" t="inlineStr"/>
      <c r="B155" s="22" t="inlineStr"/>
      <c r="C155" s="22" t="inlineStr"/>
      <c r="D155" s="23" t="inlineStr"/>
      <c r="E155" s="25" t="inlineStr"/>
      <c r="F155" s="25" t="inlineStr"/>
      <c r="G155" s="35">
        <f>IF(OR(B155="",D155=""),"",D155*E155+F155)</f>
        <v/>
      </c>
      <c r="H155" s="22" t="inlineStr"/>
    </row>
    <row r="156">
      <c r="A156" s="34" t="inlineStr"/>
      <c r="B156" s="22" t="inlineStr"/>
      <c r="C156" s="22" t="inlineStr"/>
      <c r="D156" s="23" t="inlineStr"/>
      <c r="E156" s="25" t="inlineStr"/>
      <c r="F156" s="25" t="inlineStr"/>
      <c r="G156" s="35">
        <f>IF(OR(B156="",D156=""),"",D156*E156+F156)</f>
        <v/>
      </c>
      <c r="H156" s="22" t="inlineStr"/>
    </row>
    <row r="157">
      <c r="A157" s="34" t="inlineStr"/>
      <c r="B157" s="22" t="inlineStr"/>
      <c r="C157" s="22" t="inlineStr"/>
      <c r="D157" s="23" t="inlineStr"/>
      <c r="E157" s="25" t="inlineStr"/>
      <c r="F157" s="25" t="inlineStr"/>
      <c r="G157" s="35">
        <f>IF(OR(B157="",D157=""),"",D157*E157+F157)</f>
        <v/>
      </c>
      <c r="H157" s="22" t="inlineStr"/>
    </row>
    <row r="158">
      <c r="A158" s="34" t="inlineStr"/>
      <c r="B158" s="22" t="inlineStr"/>
      <c r="C158" s="22" t="inlineStr"/>
      <c r="D158" s="23" t="inlineStr"/>
      <c r="E158" s="25" t="inlineStr"/>
      <c r="F158" s="25" t="inlineStr"/>
      <c r="G158" s="35">
        <f>IF(OR(B158="",D158=""),"",D158*E158+F158)</f>
        <v/>
      </c>
      <c r="H158" s="22" t="inlineStr"/>
    </row>
    <row r="159">
      <c r="A159" s="34" t="inlineStr"/>
      <c r="B159" s="22" t="inlineStr"/>
      <c r="C159" s="22" t="inlineStr"/>
      <c r="D159" s="23" t="inlineStr"/>
      <c r="E159" s="25" t="inlineStr"/>
      <c r="F159" s="25" t="inlineStr"/>
      <c r="G159" s="35">
        <f>IF(OR(B159="",D159=""),"",D159*E159+F159)</f>
        <v/>
      </c>
      <c r="H159" s="22" t="inlineStr"/>
    </row>
    <row r="160">
      <c r="A160" s="34" t="inlineStr"/>
      <c r="B160" s="22" t="inlineStr"/>
      <c r="C160" s="22" t="inlineStr"/>
      <c r="D160" s="23" t="inlineStr"/>
      <c r="E160" s="25" t="inlineStr"/>
      <c r="F160" s="25" t="inlineStr"/>
      <c r="G160" s="35">
        <f>IF(OR(B160="",D160=""),"",D160*E160+F160)</f>
        <v/>
      </c>
      <c r="H160" s="22" t="inlineStr"/>
    </row>
    <row r="161">
      <c r="A161" s="34" t="inlineStr"/>
      <c r="B161" s="22" t="inlineStr"/>
      <c r="C161" s="22" t="inlineStr"/>
      <c r="D161" s="23" t="inlineStr"/>
      <c r="E161" s="25" t="inlineStr"/>
      <c r="F161" s="25" t="inlineStr"/>
      <c r="G161" s="35">
        <f>IF(OR(B161="",D161=""),"",D161*E161+F161)</f>
        <v/>
      </c>
      <c r="H161" s="22" t="inlineStr"/>
    </row>
    <row r="162">
      <c r="A162" s="34" t="inlineStr"/>
      <c r="B162" s="22" t="inlineStr"/>
      <c r="C162" s="22" t="inlineStr"/>
      <c r="D162" s="23" t="inlineStr"/>
      <c r="E162" s="25" t="inlineStr"/>
      <c r="F162" s="25" t="inlineStr"/>
      <c r="G162" s="35">
        <f>IF(OR(B162="",D162=""),"",D162*E162+F162)</f>
        <v/>
      </c>
      <c r="H162" s="22" t="inlineStr"/>
    </row>
    <row r="163">
      <c r="A163" s="34" t="inlineStr"/>
      <c r="B163" s="22" t="inlineStr"/>
      <c r="C163" s="22" t="inlineStr"/>
      <c r="D163" s="23" t="inlineStr"/>
      <c r="E163" s="25" t="inlineStr"/>
      <c r="F163" s="25" t="inlineStr"/>
      <c r="G163" s="35">
        <f>IF(OR(B163="",D163=""),"",D163*E163+F163)</f>
        <v/>
      </c>
      <c r="H163" s="22" t="inlineStr"/>
    </row>
    <row r="164">
      <c r="A164" s="34" t="inlineStr"/>
      <c r="B164" s="22" t="inlineStr"/>
      <c r="C164" s="22" t="inlineStr"/>
      <c r="D164" s="23" t="inlineStr"/>
      <c r="E164" s="25" t="inlineStr"/>
      <c r="F164" s="25" t="inlineStr"/>
      <c r="G164" s="35">
        <f>IF(OR(B164="",D164=""),"",D164*E164+F164)</f>
        <v/>
      </c>
      <c r="H164" s="22" t="inlineStr"/>
    </row>
    <row r="165">
      <c r="A165" s="34" t="inlineStr"/>
      <c r="B165" s="22" t="inlineStr"/>
      <c r="C165" s="22" t="inlineStr"/>
      <c r="D165" s="23" t="inlineStr"/>
      <c r="E165" s="25" t="inlineStr"/>
      <c r="F165" s="25" t="inlineStr"/>
      <c r="G165" s="35">
        <f>IF(OR(B165="",D165=""),"",D165*E165+F165)</f>
        <v/>
      </c>
      <c r="H165" s="22" t="inlineStr"/>
    </row>
    <row r="166">
      <c r="A166" s="34" t="inlineStr"/>
      <c r="B166" s="22" t="inlineStr"/>
      <c r="C166" s="22" t="inlineStr"/>
      <c r="D166" s="23" t="inlineStr"/>
      <c r="E166" s="25" t="inlineStr"/>
      <c r="F166" s="25" t="inlineStr"/>
      <c r="G166" s="35">
        <f>IF(OR(B166="",D166=""),"",D166*E166+F166)</f>
        <v/>
      </c>
      <c r="H166" s="22" t="inlineStr"/>
    </row>
    <row r="167">
      <c r="A167" s="34" t="inlineStr"/>
      <c r="B167" s="22" t="inlineStr"/>
      <c r="C167" s="22" t="inlineStr"/>
      <c r="D167" s="23" t="inlineStr"/>
      <c r="E167" s="25" t="inlineStr"/>
      <c r="F167" s="25" t="inlineStr"/>
      <c r="G167" s="35">
        <f>IF(OR(B167="",D167=""),"",D167*E167+F167)</f>
        <v/>
      </c>
      <c r="H167" s="22" t="inlineStr"/>
    </row>
    <row r="168">
      <c r="A168" s="34" t="inlineStr"/>
      <c r="B168" s="22" t="inlineStr"/>
      <c r="C168" s="22" t="inlineStr"/>
      <c r="D168" s="23" t="inlineStr"/>
      <c r="E168" s="25" t="inlineStr"/>
      <c r="F168" s="25" t="inlineStr"/>
      <c r="G168" s="35">
        <f>IF(OR(B168="",D168=""),"",D168*E168+F168)</f>
        <v/>
      </c>
      <c r="H168" s="22" t="inlineStr"/>
    </row>
    <row r="169">
      <c r="A169" s="34" t="inlineStr"/>
      <c r="B169" s="22" t="inlineStr"/>
      <c r="C169" s="22" t="inlineStr"/>
      <c r="D169" s="23" t="inlineStr"/>
      <c r="E169" s="25" t="inlineStr"/>
      <c r="F169" s="25" t="inlineStr"/>
      <c r="G169" s="35">
        <f>IF(OR(B169="",D169=""),"",D169*E169+F169)</f>
        <v/>
      </c>
      <c r="H169" s="22" t="inlineStr"/>
    </row>
    <row r="170">
      <c r="A170" s="34" t="inlineStr"/>
      <c r="B170" s="22" t="inlineStr"/>
      <c r="C170" s="22" t="inlineStr"/>
      <c r="D170" s="23" t="inlineStr"/>
      <c r="E170" s="25" t="inlineStr"/>
      <c r="F170" s="25" t="inlineStr"/>
      <c r="G170" s="35">
        <f>IF(OR(B170="",D170=""),"",D170*E170+F170)</f>
        <v/>
      </c>
      <c r="H170" s="22" t="inlineStr"/>
    </row>
    <row r="171">
      <c r="A171" s="34" t="inlineStr"/>
      <c r="B171" s="22" t="inlineStr"/>
      <c r="C171" s="22" t="inlineStr"/>
      <c r="D171" s="23" t="inlineStr"/>
      <c r="E171" s="25" t="inlineStr"/>
      <c r="F171" s="25" t="inlineStr"/>
      <c r="G171" s="35">
        <f>IF(OR(B171="",D171=""),"",D171*E171+F171)</f>
        <v/>
      </c>
      <c r="H171" s="22" t="inlineStr"/>
    </row>
    <row r="172">
      <c r="A172" s="34" t="inlineStr"/>
      <c r="B172" s="22" t="inlineStr"/>
      <c r="C172" s="22" t="inlineStr"/>
      <c r="D172" s="23" t="inlineStr"/>
      <c r="E172" s="25" t="inlineStr"/>
      <c r="F172" s="25" t="inlineStr"/>
      <c r="G172" s="35">
        <f>IF(OR(B172="",D172=""),"",D172*E172+F172)</f>
        <v/>
      </c>
      <c r="H172" s="22" t="inlineStr"/>
    </row>
    <row r="173">
      <c r="A173" s="34" t="inlineStr"/>
      <c r="B173" s="22" t="inlineStr"/>
      <c r="C173" s="22" t="inlineStr"/>
      <c r="D173" s="23" t="inlineStr"/>
      <c r="E173" s="25" t="inlineStr"/>
      <c r="F173" s="25" t="inlineStr"/>
      <c r="G173" s="35">
        <f>IF(OR(B173="",D173=""),"",D173*E173+F173)</f>
        <v/>
      </c>
      <c r="H173" s="22" t="inlineStr"/>
    </row>
    <row r="174">
      <c r="A174" s="34" t="inlineStr"/>
      <c r="B174" s="22" t="inlineStr"/>
      <c r="C174" s="22" t="inlineStr"/>
      <c r="D174" s="23" t="inlineStr"/>
      <c r="E174" s="25" t="inlineStr"/>
      <c r="F174" s="25" t="inlineStr"/>
      <c r="G174" s="35">
        <f>IF(OR(B174="",D174=""),"",D174*E174+F174)</f>
        <v/>
      </c>
      <c r="H174" s="22" t="inlineStr"/>
    </row>
    <row r="175">
      <c r="A175" s="34" t="inlineStr"/>
      <c r="B175" s="22" t="inlineStr"/>
      <c r="C175" s="22" t="inlineStr"/>
      <c r="D175" s="23" t="inlineStr"/>
      <c r="E175" s="25" t="inlineStr"/>
      <c r="F175" s="25" t="inlineStr"/>
      <c r="G175" s="35">
        <f>IF(OR(B175="",D175=""),"",D175*E175+F175)</f>
        <v/>
      </c>
      <c r="H175" s="22" t="inlineStr"/>
    </row>
    <row r="176">
      <c r="A176" s="34" t="inlineStr"/>
      <c r="B176" s="22" t="inlineStr"/>
      <c r="C176" s="22" t="inlineStr"/>
      <c r="D176" s="23" t="inlineStr"/>
      <c r="E176" s="25" t="inlineStr"/>
      <c r="F176" s="25" t="inlineStr"/>
      <c r="G176" s="35">
        <f>IF(OR(B176="",D176=""),"",D176*E176+F176)</f>
        <v/>
      </c>
      <c r="H176" s="22" t="inlineStr"/>
    </row>
    <row r="177">
      <c r="A177" s="34" t="inlineStr"/>
      <c r="B177" s="22" t="inlineStr"/>
      <c r="C177" s="22" t="inlineStr"/>
      <c r="D177" s="23" t="inlineStr"/>
      <c r="E177" s="25" t="inlineStr"/>
      <c r="F177" s="25" t="inlineStr"/>
      <c r="G177" s="35">
        <f>IF(OR(B177="",D177=""),"",D177*E177+F177)</f>
        <v/>
      </c>
      <c r="H177" s="22" t="inlineStr"/>
    </row>
    <row r="178">
      <c r="A178" s="34" t="inlineStr"/>
      <c r="B178" s="22" t="inlineStr"/>
      <c r="C178" s="22" t="inlineStr"/>
      <c r="D178" s="23" t="inlineStr"/>
      <c r="E178" s="25" t="inlineStr"/>
      <c r="F178" s="25" t="inlineStr"/>
      <c r="G178" s="35">
        <f>IF(OR(B178="",D178=""),"",D178*E178+F178)</f>
        <v/>
      </c>
      <c r="H178" s="22" t="inlineStr"/>
    </row>
    <row r="179">
      <c r="A179" s="34" t="inlineStr"/>
      <c r="B179" s="22" t="inlineStr"/>
      <c r="C179" s="22" t="inlineStr"/>
      <c r="D179" s="23" t="inlineStr"/>
      <c r="E179" s="25" t="inlineStr"/>
      <c r="F179" s="25" t="inlineStr"/>
      <c r="G179" s="35">
        <f>IF(OR(B179="",D179=""),"",D179*E179+F179)</f>
        <v/>
      </c>
      <c r="H179" s="22" t="inlineStr"/>
    </row>
    <row r="180">
      <c r="A180" s="34" t="inlineStr"/>
      <c r="B180" s="22" t="inlineStr"/>
      <c r="C180" s="22" t="inlineStr"/>
      <c r="D180" s="23" t="inlineStr"/>
      <c r="E180" s="25" t="inlineStr"/>
      <c r="F180" s="25" t="inlineStr"/>
      <c r="G180" s="35">
        <f>IF(OR(B180="",D180=""),"",D180*E180+F180)</f>
        <v/>
      </c>
      <c r="H180" s="22" t="inlineStr"/>
    </row>
    <row r="181">
      <c r="A181" s="34" t="inlineStr"/>
      <c r="B181" s="22" t="inlineStr"/>
      <c r="C181" s="22" t="inlineStr"/>
      <c r="D181" s="23" t="inlineStr"/>
      <c r="E181" s="25" t="inlineStr"/>
      <c r="F181" s="25" t="inlineStr"/>
      <c r="G181" s="35">
        <f>IF(OR(B181="",D181=""),"",D181*E181+F181)</f>
        <v/>
      </c>
      <c r="H181" s="22" t="inlineStr"/>
    </row>
    <row r="182">
      <c r="A182" s="34" t="inlineStr"/>
      <c r="B182" s="22" t="inlineStr"/>
      <c r="C182" s="22" t="inlineStr"/>
      <c r="D182" s="23" t="inlineStr"/>
      <c r="E182" s="25" t="inlineStr"/>
      <c r="F182" s="25" t="inlineStr"/>
      <c r="G182" s="35">
        <f>IF(OR(B182="",D182=""),"",D182*E182+F182)</f>
        <v/>
      </c>
      <c r="H182" s="22" t="inlineStr"/>
    </row>
    <row r="183">
      <c r="A183" s="34" t="inlineStr"/>
      <c r="B183" s="22" t="inlineStr"/>
      <c r="C183" s="22" t="inlineStr"/>
      <c r="D183" s="23" t="inlineStr"/>
      <c r="E183" s="25" t="inlineStr"/>
      <c r="F183" s="25" t="inlineStr"/>
      <c r="G183" s="35">
        <f>IF(OR(B183="",D183=""),"",D183*E183+F183)</f>
        <v/>
      </c>
      <c r="H183" s="22" t="inlineStr"/>
    </row>
    <row r="184">
      <c r="A184" s="34" t="inlineStr"/>
      <c r="B184" s="22" t="inlineStr"/>
      <c r="C184" s="22" t="inlineStr"/>
      <c r="D184" s="23" t="inlineStr"/>
      <c r="E184" s="25" t="inlineStr"/>
      <c r="F184" s="25" t="inlineStr"/>
      <c r="G184" s="35">
        <f>IF(OR(B184="",D184=""),"",D184*E184+F184)</f>
        <v/>
      </c>
      <c r="H184" s="22" t="inlineStr"/>
    </row>
    <row r="185">
      <c r="A185" s="34" t="inlineStr"/>
      <c r="B185" s="22" t="inlineStr"/>
      <c r="C185" s="22" t="inlineStr"/>
      <c r="D185" s="23" t="inlineStr"/>
      <c r="E185" s="25" t="inlineStr"/>
      <c r="F185" s="25" t="inlineStr"/>
      <c r="G185" s="35">
        <f>IF(OR(B185="",D185=""),"",D185*E185+F185)</f>
        <v/>
      </c>
      <c r="H185" s="22" t="inlineStr"/>
    </row>
    <row r="186">
      <c r="A186" s="34" t="inlineStr"/>
      <c r="B186" s="22" t="inlineStr"/>
      <c r="C186" s="22" t="inlineStr"/>
      <c r="D186" s="23" t="inlineStr"/>
      <c r="E186" s="25" t="inlineStr"/>
      <c r="F186" s="25" t="inlineStr"/>
      <c r="G186" s="35">
        <f>IF(OR(B186="",D186=""),"",D186*E186+F186)</f>
        <v/>
      </c>
      <c r="H186" s="22" t="inlineStr"/>
    </row>
    <row r="187">
      <c r="A187" s="34" t="inlineStr"/>
      <c r="B187" s="22" t="inlineStr"/>
      <c r="C187" s="22" t="inlineStr"/>
      <c r="D187" s="23" t="inlineStr"/>
      <c r="E187" s="25" t="inlineStr"/>
      <c r="F187" s="25" t="inlineStr"/>
      <c r="G187" s="35">
        <f>IF(OR(B187="",D187=""),"",D187*E187+F187)</f>
        <v/>
      </c>
      <c r="H187" s="22" t="inlineStr"/>
    </row>
    <row r="188">
      <c r="A188" s="34" t="inlineStr"/>
      <c r="B188" s="22" t="inlineStr"/>
      <c r="C188" s="22" t="inlineStr"/>
      <c r="D188" s="23" t="inlineStr"/>
      <c r="E188" s="25" t="inlineStr"/>
      <c r="F188" s="25" t="inlineStr"/>
      <c r="G188" s="35">
        <f>IF(OR(B188="",D188=""),"",D188*E188+F188)</f>
        <v/>
      </c>
      <c r="H188" s="22" t="inlineStr"/>
    </row>
    <row r="189">
      <c r="A189" s="34" t="inlineStr"/>
      <c r="B189" s="22" t="inlineStr"/>
      <c r="C189" s="22" t="inlineStr"/>
      <c r="D189" s="23" t="inlineStr"/>
      <c r="E189" s="25" t="inlineStr"/>
      <c r="F189" s="25" t="inlineStr"/>
      <c r="G189" s="35">
        <f>IF(OR(B189="",D189=""),"",D189*E189+F189)</f>
        <v/>
      </c>
      <c r="H189" s="22" t="inlineStr"/>
    </row>
    <row r="190">
      <c r="A190" s="34" t="inlineStr"/>
      <c r="B190" s="22" t="inlineStr"/>
      <c r="C190" s="22" t="inlineStr"/>
      <c r="D190" s="23" t="inlineStr"/>
      <c r="E190" s="25" t="inlineStr"/>
      <c r="F190" s="25" t="inlineStr"/>
      <c r="G190" s="35">
        <f>IF(OR(B190="",D190=""),"",D190*E190+F190)</f>
        <v/>
      </c>
      <c r="H190" s="22" t="inlineStr"/>
    </row>
    <row r="191">
      <c r="A191" s="34" t="inlineStr"/>
      <c r="B191" s="22" t="inlineStr"/>
      <c r="C191" s="22" t="inlineStr"/>
      <c r="D191" s="23" t="inlineStr"/>
      <c r="E191" s="25" t="inlineStr"/>
      <c r="F191" s="25" t="inlineStr"/>
      <c r="G191" s="35">
        <f>IF(OR(B191="",D191=""),"",D191*E191+F191)</f>
        <v/>
      </c>
      <c r="H191" s="22" t="inlineStr"/>
    </row>
    <row r="192">
      <c r="A192" s="34" t="inlineStr"/>
      <c r="B192" s="22" t="inlineStr"/>
      <c r="C192" s="22" t="inlineStr"/>
      <c r="D192" s="23" t="inlineStr"/>
      <c r="E192" s="25" t="inlineStr"/>
      <c r="F192" s="25" t="inlineStr"/>
      <c r="G192" s="35">
        <f>IF(OR(B192="",D192=""),"",D192*E192+F192)</f>
        <v/>
      </c>
      <c r="H192" s="22" t="inlineStr"/>
    </row>
    <row r="193">
      <c r="A193" s="34" t="inlineStr"/>
      <c r="B193" s="22" t="inlineStr"/>
      <c r="C193" s="22" t="inlineStr"/>
      <c r="D193" s="23" t="inlineStr"/>
      <c r="E193" s="25" t="inlineStr"/>
      <c r="F193" s="25" t="inlineStr"/>
      <c r="G193" s="35">
        <f>IF(OR(B193="",D193=""),"",D193*E193+F193)</f>
        <v/>
      </c>
      <c r="H193" s="22" t="inlineStr"/>
    </row>
    <row r="194">
      <c r="A194" s="34" t="inlineStr"/>
      <c r="B194" s="22" t="inlineStr"/>
      <c r="C194" s="22" t="inlineStr"/>
      <c r="D194" s="23" t="inlineStr"/>
      <c r="E194" s="25" t="inlineStr"/>
      <c r="F194" s="25" t="inlineStr"/>
      <c r="G194" s="35">
        <f>IF(OR(B194="",D194=""),"",D194*E194+F194)</f>
        <v/>
      </c>
      <c r="H194" s="22" t="inlineStr"/>
    </row>
    <row r="195">
      <c r="A195" s="34" t="inlineStr"/>
      <c r="B195" s="22" t="inlineStr"/>
      <c r="C195" s="22" t="inlineStr"/>
      <c r="D195" s="23" t="inlineStr"/>
      <c r="E195" s="25" t="inlineStr"/>
      <c r="F195" s="25" t="inlineStr"/>
      <c r="G195" s="35">
        <f>IF(OR(B195="",D195=""),"",D195*E195+F195)</f>
        <v/>
      </c>
      <c r="H195" s="22" t="inlineStr"/>
    </row>
    <row r="196">
      <c r="A196" s="34" t="inlineStr"/>
      <c r="B196" s="22" t="inlineStr"/>
      <c r="C196" s="22" t="inlineStr"/>
      <c r="D196" s="23" t="inlineStr"/>
      <c r="E196" s="25" t="inlineStr"/>
      <c r="F196" s="25" t="inlineStr"/>
      <c r="G196" s="35">
        <f>IF(OR(B196="",D196=""),"",D196*E196+F196)</f>
        <v/>
      </c>
      <c r="H196" s="22" t="inlineStr"/>
    </row>
    <row r="197">
      <c r="A197" s="34" t="inlineStr"/>
      <c r="B197" s="22" t="inlineStr"/>
      <c r="C197" s="22" t="inlineStr"/>
      <c r="D197" s="23" t="inlineStr"/>
      <c r="E197" s="25" t="inlineStr"/>
      <c r="F197" s="25" t="inlineStr"/>
      <c r="G197" s="35">
        <f>IF(OR(B197="",D197=""),"",D197*E197+F197)</f>
        <v/>
      </c>
      <c r="H197" s="22" t="inlineStr"/>
    </row>
    <row r="198">
      <c r="A198" s="34" t="inlineStr"/>
      <c r="B198" s="22" t="inlineStr"/>
      <c r="C198" s="22" t="inlineStr"/>
      <c r="D198" s="23" t="inlineStr"/>
      <c r="E198" s="25" t="inlineStr"/>
      <c r="F198" s="25" t="inlineStr"/>
      <c r="G198" s="35">
        <f>IF(OR(B198="",D198=""),"",D198*E198+F198)</f>
        <v/>
      </c>
      <c r="H198" s="22" t="inlineStr"/>
    </row>
    <row r="199">
      <c r="A199" s="34" t="inlineStr"/>
      <c r="B199" s="22" t="inlineStr"/>
      <c r="C199" s="22" t="inlineStr"/>
      <c r="D199" s="23" t="inlineStr"/>
      <c r="E199" s="25" t="inlineStr"/>
      <c r="F199" s="25" t="inlineStr"/>
      <c r="G199" s="35">
        <f>IF(OR(B199="",D199=""),"",D199*E199+F199)</f>
        <v/>
      </c>
      <c r="H199" s="22" t="inlineStr"/>
    </row>
    <row r="200">
      <c r="A200" s="34" t="inlineStr"/>
      <c r="B200" s="22" t="inlineStr"/>
      <c r="C200" s="22" t="inlineStr"/>
      <c r="D200" s="23" t="inlineStr"/>
      <c r="E200" s="25" t="inlineStr"/>
      <c r="F200" s="25" t="inlineStr"/>
      <c r="G200" s="35">
        <f>IF(OR(B200="",D200=""),"",D200*E200+F200)</f>
        <v/>
      </c>
      <c r="H200" s="22" t="inlineStr"/>
    </row>
    <row r="201">
      <c r="A201" s="34" t="inlineStr"/>
      <c r="B201" s="22" t="inlineStr"/>
      <c r="C201" s="22" t="inlineStr"/>
      <c r="D201" s="23" t="inlineStr"/>
      <c r="E201" s="25" t="inlineStr"/>
      <c r="F201" s="25" t="inlineStr"/>
      <c r="G201" s="35">
        <f>IF(OR(B201="",D201=""),"",D201*E201+F201)</f>
        <v/>
      </c>
      <c r="H201" s="22" t="inlineStr"/>
    </row>
    <row r="202">
      <c r="A202" s="34" t="inlineStr"/>
      <c r="B202" s="22" t="inlineStr"/>
      <c r="C202" s="22" t="inlineStr"/>
      <c r="D202" s="23" t="inlineStr"/>
      <c r="E202" s="25" t="inlineStr"/>
      <c r="F202" s="25" t="inlineStr"/>
      <c r="G202" s="35">
        <f>IF(OR(B202="",D202=""),"",D202*E202+F202)</f>
        <v/>
      </c>
      <c r="H202" s="22" t="inlineStr"/>
    </row>
    <row r="203">
      <c r="A203" s="34" t="inlineStr"/>
      <c r="B203" s="22" t="inlineStr"/>
      <c r="C203" s="22" t="inlineStr"/>
      <c r="D203" s="23" t="inlineStr"/>
      <c r="E203" s="25" t="inlineStr"/>
      <c r="F203" s="25" t="inlineStr"/>
      <c r="G203" s="35">
        <f>IF(OR(B203="",D203=""),"",D203*E203+F203)</f>
        <v/>
      </c>
      <c r="H203" s="22" t="inlineStr"/>
    </row>
    <row r="204">
      <c r="A204" s="34" t="inlineStr"/>
      <c r="B204" s="22" t="inlineStr"/>
      <c r="C204" s="22" t="inlineStr"/>
      <c r="D204" s="23" t="inlineStr"/>
      <c r="E204" s="25" t="inlineStr"/>
      <c r="F204" s="25" t="inlineStr"/>
      <c r="G204" s="35">
        <f>IF(OR(B204="",D204=""),"",D204*E204+F204)</f>
        <v/>
      </c>
      <c r="H204" s="22" t="inlineStr"/>
    </row>
    <row r="205">
      <c r="A205" s="34" t="inlineStr"/>
      <c r="B205" s="22" t="inlineStr"/>
      <c r="C205" s="22" t="inlineStr"/>
      <c r="D205" s="23" t="inlineStr"/>
      <c r="E205" s="25" t="inlineStr"/>
      <c r="F205" s="25" t="inlineStr"/>
      <c r="G205" s="35">
        <f>IF(OR(B205="",D205=""),"",D205*E205+F205)</f>
        <v/>
      </c>
      <c r="H205" s="22" t="inlineStr"/>
    </row>
    <row r="206">
      <c r="A206" s="34" t="inlineStr"/>
      <c r="B206" s="22" t="inlineStr"/>
      <c r="C206" s="22" t="inlineStr"/>
      <c r="D206" s="23" t="inlineStr"/>
      <c r="E206" s="25" t="inlineStr"/>
      <c r="F206" s="25" t="inlineStr"/>
      <c r="G206" s="35">
        <f>IF(OR(B206="",D206=""),"",D206*E206+F206)</f>
        <v/>
      </c>
      <c r="H206" s="22" t="inlineStr"/>
    </row>
    <row r="207">
      <c r="A207" s="34" t="inlineStr"/>
      <c r="B207" s="22" t="inlineStr"/>
      <c r="C207" s="22" t="inlineStr"/>
      <c r="D207" s="23" t="inlineStr"/>
      <c r="E207" s="25" t="inlineStr"/>
      <c r="F207" s="25" t="inlineStr"/>
      <c r="G207" s="35">
        <f>IF(OR(B207="",D207=""),"",D207*E207+F207)</f>
        <v/>
      </c>
      <c r="H207" s="22" t="inlineStr"/>
    </row>
    <row r="208">
      <c r="A208" s="34" t="inlineStr"/>
      <c r="B208" s="22" t="inlineStr"/>
      <c r="C208" s="22" t="inlineStr"/>
      <c r="D208" s="23" t="inlineStr"/>
      <c r="E208" s="25" t="inlineStr"/>
      <c r="F208" s="25" t="inlineStr"/>
      <c r="G208" s="35">
        <f>IF(OR(B208="",D208=""),"",D208*E208+F208)</f>
        <v/>
      </c>
      <c r="H208" s="22" t="inlineStr"/>
    </row>
    <row r="209">
      <c r="A209" s="34" t="inlineStr"/>
      <c r="B209" s="22" t="inlineStr"/>
      <c r="C209" s="22" t="inlineStr"/>
      <c r="D209" s="23" t="inlineStr"/>
      <c r="E209" s="25" t="inlineStr"/>
      <c r="F209" s="25" t="inlineStr"/>
      <c r="G209" s="35">
        <f>IF(OR(B209="",D209=""),"",D209*E209+F209)</f>
        <v/>
      </c>
      <c r="H209" s="22" t="inlineStr"/>
    </row>
    <row r="210">
      <c r="A210" s="34" t="inlineStr"/>
      <c r="B210" s="22" t="inlineStr"/>
      <c r="C210" s="22" t="inlineStr"/>
      <c r="D210" s="23" t="inlineStr"/>
      <c r="E210" s="25" t="inlineStr"/>
      <c r="F210" s="25" t="inlineStr"/>
      <c r="G210" s="35">
        <f>IF(OR(B210="",D210=""),"",D210*E210+F210)</f>
        <v/>
      </c>
      <c r="H210" s="22" t="inlineStr"/>
    </row>
    <row r="211">
      <c r="A211" s="34" t="inlineStr"/>
      <c r="B211" s="22" t="inlineStr"/>
      <c r="C211" s="22" t="inlineStr"/>
      <c r="D211" s="23" t="inlineStr"/>
      <c r="E211" s="25" t="inlineStr"/>
      <c r="F211" s="25" t="inlineStr"/>
      <c r="G211" s="35">
        <f>IF(OR(B211="",D211=""),"",D211*E211+F211)</f>
        <v/>
      </c>
      <c r="H211" s="22" t="inlineStr"/>
    </row>
    <row r="212">
      <c r="A212" s="34" t="inlineStr"/>
      <c r="B212" s="22" t="inlineStr"/>
      <c r="C212" s="22" t="inlineStr"/>
      <c r="D212" s="23" t="inlineStr"/>
      <c r="E212" s="25" t="inlineStr"/>
      <c r="F212" s="25" t="inlineStr"/>
      <c r="G212" s="35">
        <f>IF(OR(B212="",D212=""),"",D212*E212+F212)</f>
        <v/>
      </c>
      <c r="H212" s="22" t="inlineStr"/>
    </row>
    <row r="213">
      <c r="A213" s="34" t="inlineStr"/>
      <c r="B213" s="22" t="inlineStr"/>
      <c r="C213" s="22" t="inlineStr"/>
      <c r="D213" s="23" t="inlineStr"/>
      <c r="E213" s="25" t="inlineStr"/>
      <c r="F213" s="25" t="inlineStr"/>
      <c r="G213" s="35">
        <f>IF(OR(B213="",D213=""),"",D213*E213+F213)</f>
        <v/>
      </c>
      <c r="H213" s="22" t="inlineStr"/>
    </row>
    <row r="214">
      <c r="A214" s="34" t="inlineStr"/>
      <c r="B214" s="22" t="inlineStr"/>
      <c r="C214" s="22" t="inlineStr"/>
      <c r="D214" s="23" t="inlineStr"/>
      <c r="E214" s="25" t="inlineStr"/>
      <c r="F214" s="25" t="inlineStr"/>
      <c r="G214" s="35">
        <f>IF(OR(B214="",D214=""),"",D214*E214+F214)</f>
        <v/>
      </c>
      <c r="H214" s="22" t="inlineStr"/>
    </row>
    <row r="215">
      <c r="A215" s="34" t="inlineStr"/>
      <c r="B215" s="22" t="inlineStr"/>
      <c r="C215" s="22" t="inlineStr"/>
      <c r="D215" s="23" t="inlineStr"/>
      <c r="E215" s="25" t="inlineStr"/>
      <c r="F215" s="25" t="inlineStr"/>
      <c r="G215" s="35">
        <f>IF(OR(B215="",D215=""),"",D215*E215+F215)</f>
        <v/>
      </c>
      <c r="H215" s="22" t="inlineStr"/>
    </row>
    <row r="216">
      <c r="A216" s="34" t="inlineStr"/>
      <c r="B216" s="22" t="inlineStr"/>
      <c r="C216" s="22" t="inlineStr"/>
      <c r="D216" s="23" t="inlineStr"/>
      <c r="E216" s="25" t="inlineStr"/>
      <c r="F216" s="25" t="inlineStr"/>
      <c r="G216" s="35">
        <f>IF(OR(B216="",D216=""),"",D216*E216+F216)</f>
        <v/>
      </c>
      <c r="H216" s="22" t="inlineStr"/>
    </row>
    <row r="217">
      <c r="A217" s="34" t="inlineStr"/>
      <c r="B217" s="22" t="inlineStr"/>
      <c r="C217" s="22" t="inlineStr"/>
      <c r="D217" s="23" t="inlineStr"/>
      <c r="E217" s="25" t="inlineStr"/>
      <c r="F217" s="25" t="inlineStr"/>
      <c r="G217" s="35">
        <f>IF(OR(B217="",D217=""),"",D217*E217+F217)</f>
        <v/>
      </c>
      <c r="H217" s="22" t="inlineStr"/>
    </row>
    <row r="218">
      <c r="A218" s="34" t="inlineStr"/>
      <c r="B218" s="22" t="inlineStr"/>
      <c r="C218" s="22" t="inlineStr"/>
      <c r="D218" s="23" t="inlineStr"/>
      <c r="E218" s="25" t="inlineStr"/>
      <c r="F218" s="25" t="inlineStr"/>
      <c r="G218" s="35">
        <f>IF(OR(B218="",D218=""),"",D218*E218+F218)</f>
        <v/>
      </c>
      <c r="H218" s="22" t="inlineStr"/>
    </row>
    <row r="219">
      <c r="A219" s="34" t="inlineStr"/>
      <c r="B219" s="22" t="inlineStr"/>
      <c r="C219" s="22" t="inlineStr"/>
      <c r="D219" s="23" t="inlineStr"/>
      <c r="E219" s="25" t="inlineStr"/>
      <c r="F219" s="25" t="inlineStr"/>
      <c r="G219" s="35">
        <f>IF(OR(B219="",D219=""),"",D219*E219+F219)</f>
        <v/>
      </c>
      <c r="H219" s="22" t="inlineStr"/>
    </row>
    <row r="220">
      <c r="A220" s="34" t="inlineStr"/>
      <c r="B220" s="22" t="inlineStr"/>
      <c r="C220" s="22" t="inlineStr"/>
      <c r="D220" s="23" t="inlineStr"/>
      <c r="E220" s="25" t="inlineStr"/>
      <c r="F220" s="25" t="inlineStr"/>
      <c r="G220" s="35">
        <f>IF(OR(B220="",D220=""),"",D220*E220+F220)</f>
        <v/>
      </c>
      <c r="H220" s="22" t="inlineStr"/>
    </row>
    <row r="221">
      <c r="A221" s="34" t="inlineStr"/>
      <c r="B221" s="22" t="inlineStr"/>
      <c r="C221" s="22" t="inlineStr"/>
      <c r="D221" s="23" t="inlineStr"/>
      <c r="E221" s="25" t="inlineStr"/>
      <c r="F221" s="25" t="inlineStr"/>
      <c r="G221" s="35">
        <f>IF(OR(B221="",D221=""),"",D221*E221+F221)</f>
        <v/>
      </c>
      <c r="H221" s="22" t="inlineStr"/>
    </row>
    <row r="222">
      <c r="A222" s="34" t="inlineStr"/>
      <c r="B222" s="22" t="inlineStr"/>
      <c r="C222" s="22" t="inlineStr"/>
      <c r="D222" s="23" t="inlineStr"/>
      <c r="E222" s="25" t="inlineStr"/>
      <c r="F222" s="25" t="inlineStr"/>
      <c r="G222" s="35">
        <f>IF(OR(B222="",D222=""),"",D222*E222+F222)</f>
        <v/>
      </c>
      <c r="H222" s="22" t="inlineStr"/>
    </row>
    <row r="223">
      <c r="A223" s="34" t="inlineStr"/>
      <c r="B223" s="22" t="inlineStr"/>
      <c r="C223" s="22" t="inlineStr"/>
      <c r="D223" s="23" t="inlineStr"/>
      <c r="E223" s="25" t="inlineStr"/>
      <c r="F223" s="25" t="inlineStr"/>
      <c r="G223" s="35">
        <f>IF(OR(B223="",D223=""),"",D223*E223+F223)</f>
        <v/>
      </c>
      <c r="H223" s="22" t="inlineStr"/>
    </row>
    <row r="224">
      <c r="A224" s="34" t="inlineStr"/>
      <c r="B224" s="22" t="inlineStr"/>
      <c r="C224" s="22" t="inlineStr"/>
      <c r="D224" s="23" t="inlineStr"/>
      <c r="E224" s="25" t="inlineStr"/>
      <c r="F224" s="25" t="inlineStr"/>
      <c r="G224" s="35">
        <f>IF(OR(B224="",D224=""),"",D224*E224+F224)</f>
        <v/>
      </c>
      <c r="H224" s="22" t="inlineStr"/>
    </row>
    <row r="225">
      <c r="A225" s="34" t="inlineStr"/>
      <c r="B225" s="22" t="inlineStr"/>
      <c r="C225" s="22" t="inlineStr"/>
      <c r="D225" s="23" t="inlineStr"/>
      <c r="E225" s="25" t="inlineStr"/>
      <c r="F225" s="25" t="inlineStr"/>
      <c r="G225" s="35">
        <f>IF(OR(B225="",D225=""),"",D225*E225+F225)</f>
        <v/>
      </c>
      <c r="H225" s="22" t="inlineStr"/>
    </row>
    <row r="226">
      <c r="A226" s="34" t="inlineStr"/>
      <c r="B226" s="22" t="inlineStr"/>
      <c r="C226" s="22" t="inlineStr"/>
      <c r="D226" s="23" t="inlineStr"/>
      <c r="E226" s="25" t="inlineStr"/>
      <c r="F226" s="25" t="inlineStr"/>
      <c r="G226" s="35">
        <f>IF(OR(B226="",D226=""),"",D226*E226+F226)</f>
        <v/>
      </c>
      <c r="H226" s="22" t="inlineStr"/>
    </row>
    <row r="227">
      <c r="A227" s="34" t="inlineStr"/>
      <c r="B227" s="22" t="inlineStr"/>
      <c r="C227" s="22" t="inlineStr"/>
      <c r="D227" s="23" t="inlineStr"/>
      <c r="E227" s="25" t="inlineStr"/>
      <c r="F227" s="25" t="inlineStr"/>
      <c r="G227" s="35">
        <f>IF(OR(B227="",D227=""),"",D227*E227+F227)</f>
        <v/>
      </c>
      <c r="H227" s="22" t="inlineStr"/>
    </row>
    <row r="228">
      <c r="A228" s="34" t="inlineStr"/>
      <c r="B228" s="22" t="inlineStr"/>
      <c r="C228" s="22" t="inlineStr"/>
      <c r="D228" s="23" t="inlineStr"/>
      <c r="E228" s="25" t="inlineStr"/>
      <c r="F228" s="25" t="inlineStr"/>
      <c r="G228" s="35">
        <f>IF(OR(B228="",D228=""),"",D228*E228+F228)</f>
        <v/>
      </c>
      <c r="H228" s="22" t="inlineStr"/>
    </row>
    <row r="229">
      <c r="A229" s="34" t="inlineStr"/>
      <c r="B229" s="22" t="inlineStr"/>
      <c r="C229" s="22" t="inlineStr"/>
      <c r="D229" s="23" t="inlineStr"/>
      <c r="E229" s="25" t="inlineStr"/>
      <c r="F229" s="25" t="inlineStr"/>
      <c r="G229" s="35">
        <f>IF(OR(B229="",D229=""),"",D229*E229+F229)</f>
        <v/>
      </c>
      <c r="H229" s="22" t="inlineStr"/>
    </row>
    <row r="230">
      <c r="A230" s="34" t="inlineStr"/>
      <c r="B230" s="22" t="inlineStr"/>
      <c r="C230" s="22" t="inlineStr"/>
      <c r="D230" s="23" t="inlineStr"/>
      <c r="E230" s="25" t="inlineStr"/>
      <c r="F230" s="25" t="inlineStr"/>
      <c r="G230" s="35">
        <f>IF(OR(B230="",D230=""),"",D230*E230+F230)</f>
        <v/>
      </c>
      <c r="H230" s="22" t="inlineStr"/>
    </row>
    <row r="231">
      <c r="A231" s="34" t="inlineStr"/>
      <c r="B231" s="22" t="inlineStr"/>
      <c r="C231" s="22" t="inlineStr"/>
      <c r="D231" s="23" t="inlineStr"/>
      <c r="E231" s="25" t="inlineStr"/>
      <c r="F231" s="25" t="inlineStr"/>
      <c r="G231" s="35">
        <f>IF(OR(B231="",D231=""),"",D231*E231+F231)</f>
        <v/>
      </c>
      <c r="H231" s="22" t="inlineStr"/>
    </row>
    <row r="232">
      <c r="A232" s="34" t="inlineStr"/>
      <c r="B232" s="22" t="inlineStr"/>
      <c r="C232" s="22" t="inlineStr"/>
      <c r="D232" s="23" t="inlineStr"/>
      <c r="E232" s="25" t="inlineStr"/>
      <c r="F232" s="25" t="inlineStr"/>
      <c r="G232" s="35">
        <f>IF(OR(B232="",D232=""),"",D232*E232+F232)</f>
        <v/>
      </c>
      <c r="H232" s="22" t="inlineStr"/>
    </row>
    <row r="233">
      <c r="A233" s="34" t="inlineStr"/>
      <c r="B233" s="22" t="inlineStr"/>
      <c r="C233" s="22" t="inlineStr"/>
      <c r="D233" s="23" t="inlineStr"/>
      <c r="E233" s="25" t="inlineStr"/>
      <c r="F233" s="25" t="inlineStr"/>
      <c r="G233" s="35">
        <f>IF(OR(B233="",D233=""),"",D233*E233+F233)</f>
        <v/>
      </c>
      <c r="H233" s="22" t="inlineStr"/>
    </row>
    <row r="234">
      <c r="A234" s="34" t="inlineStr"/>
      <c r="B234" s="22" t="inlineStr"/>
      <c r="C234" s="22" t="inlineStr"/>
      <c r="D234" s="23" t="inlineStr"/>
      <c r="E234" s="25" t="inlineStr"/>
      <c r="F234" s="25" t="inlineStr"/>
      <c r="G234" s="35">
        <f>IF(OR(B234="",D234=""),"",D234*E234+F234)</f>
        <v/>
      </c>
      <c r="H234" s="22" t="inlineStr"/>
    </row>
    <row r="235">
      <c r="A235" s="34" t="inlineStr"/>
      <c r="B235" s="22" t="inlineStr"/>
      <c r="C235" s="22" t="inlineStr"/>
      <c r="D235" s="23" t="inlineStr"/>
      <c r="E235" s="25" t="inlineStr"/>
      <c r="F235" s="25" t="inlineStr"/>
      <c r="G235" s="35">
        <f>IF(OR(B235="",D235=""),"",D235*E235+F235)</f>
        <v/>
      </c>
      <c r="H235" s="22" t="inlineStr"/>
    </row>
    <row r="236">
      <c r="A236" s="34" t="inlineStr"/>
      <c r="B236" s="22" t="inlineStr"/>
      <c r="C236" s="22" t="inlineStr"/>
      <c r="D236" s="23" t="inlineStr"/>
      <c r="E236" s="25" t="inlineStr"/>
      <c r="F236" s="25" t="inlineStr"/>
      <c r="G236" s="35">
        <f>IF(OR(B236="",D236=""),"",D236*E236+F236)</f>
        <v/>
      </c>
      <c r="H236" s="22" t="inlineStr"/>
    </row>
    <row r="237">
      <c r="A237" s="34" t="inlineStr"/>
      <c r="B237" s="22" t="inlineStr"/>
      <c r="C237" s="22" t="inlineStr"/>
      <c r="D237" s="23" t="inlineStr"/>
      <c r="E237" s="25" t="inlineStr"/>
      <c r="F237" s="25" t="inlineStr"/>
      <c r="G237" s="35">
        <f>IF(OR(B237="",D237=""),"",D237*E237+F237)</f>
        <v/>
      </c>
      <c r="H237" s="22" t="inlineStr"/>
    </row>
    <row r="238">
      <c r="A238" s="34" t="inlineStr"/>
      <c r="B238" s="22" t="inlineStr"/>
      <c r="C238" s="22" t="inlineStr"/>
      <c r="D238" s="23" t="inlineStr"/>
      <c r="E238" s="25" t="inlineStr"/>
      <c r="F238" s="25" t="inlineStr"/>
      <c r="G238" s="35">
        <f>IF(OR(B238="",D238=""),"",D238*E238+F238)</f>
        <v/>
      </c>
      <c r="H238" s="22" t="inlineStr"/>
    </row>
    <row r="239">
      <c r="A239" s="34" t="inlineStr"/>
      <c r="B239" s="22" t="inlineStr"/>
      <c r="C239" s="22" t="inlineStr"/>
      <c r="D239" s="23" t="inlineStr"/>
      <c r="E239" s="25" t="inlineStr"/>
      <c r="F239" s="25" t="inlineStr"/>
      <c r="G239" s="35">
        <f>IF(OR(B239="",D239=""),"",D239*E239+F239)</f>
        <v/>
      </c>
      <c r="H239" s="22" t="inlineStr"/>
    </row>
    <row r="240">
      <c r="A240" s="34" t="inlineStr"/>
      <c r="B240" s="22" t="inlineStr"/>
      <c r="C240" s="22" t="inlineStr"/>
      <c r="D240" s="23" t="inlineStr"/>
      <c r="E240" s="25" t="inlineStr"/>
      <c r="F240" s="25" t="inlineStr"/>
      <c r="G240" s="35">
        <f>IF(OR(B240="",D240=""),"",D240*E240+F240)</f>
        <v/>
      </c>
      <c r="H240" s="22" t="inlineStr"/>
    </row>
    <row r="241">
      <c r="A241" s="34" t="inlineStr"/>
      <c r="B241" s="22" t="inlineStr"/>
      <c r="C241" s="22" t="inlineStr"/>
      <c r="D241" s="23" t="inlineStr"/>
      <c r="E241" s="25" t="inlineStr"/>
      <c r="F241" s="25" t="inlineStr"/>
      <c r="G241" s="35">
        <f>IF(OR(B241="",D241=""),"",D241*E241+F241)</f>
        <v/>
      </c>
      <c r="H241" s="22" t="inlineStr"/>
    </row>
    <row r="242">
      <c r="A242" s="34" t="inlineStr"/>
      <c r="B242" s="22" t="inlineStr"/>
      <c r="C242" s="22" t="inlineStr"/>
      <c r="D242" s="23" t="inlineStr"/>
      <c r="E242" s="25" t="inlineStr"/>
      <c r="F242" s="25" t="inlineStr"/>
      <c r="G242" s="35">
        <f>IF(OR(B242="",D242=""),"",D242*E242+F242)</f>
        <v/>
      </c>
      <c r="H242" s="22" t="inlineStr"/>
    </row>
    <row r="243">
      <c r="A243" s="34" t="inlineStr"/>
      <c r="B243" s="22" t="inlineStr"/>
      <c r="C243" s="22" t="inlineStr"/>
      <c r="D243" s="23" t="inlineStr"/>
      <c r="E243" s="25" t="inlineStr"/>
      <c r="F243" s="25" t="inlineStr"/>
      <c r="G243" s="35">
        <f>IF(OR(B243="",D243=""),"",D243*E243+F243)</f>
        <v/>
      </c>
      <c r="H243" s="22" t="inlineStr"/>
    </row>
    <row r="244">
      <c r="A244" s="34" t="inlineStr"/>
      <c r="B244" s="22" t="inlineStr"/>
      <c r="C244" s="22" t="inlineStr"/>
      <c r="D244" s="23" t="inlineStr"/>
      <c r="E244" s="25" t="inlineStr"/>
      <c r="F244" s="25" t="inlineStr"/>
      <c r="G244" s="35">
        <f>IF(OR(B244="",D244=""),"",D244*E244+F244)</f>
        <v/>
      </c>
      <c r="H244" s="22" t="inlineStr"/>
    </row>
    <row r="245">
      <c r="A245" s="34" t="inlineStr"/>
      <c r="B245" s="22" t="inlineStr"/>
      <c r="C245" s="22" t="inlineStr"/>
      <c r="D245" s="23" t="inlineStr"/>
      <c r="E245" s="25" t="inlineStr"/>
      <c r="F245" s="25" t="inlineStr"/>
      <c r="G245" s="35">
        <f>IF(OR(B245="",D245=""),"",D245*E245+F245)</f>
        <v/>
      </c>
      <c r="H245" s="22" t="inlineStr"/>
    </row>
    <row r="246">
      <c r="A246" s="34" t="inlineStr"/>
      <c r="B246" s="22" t="inlineStr"/>
      <c r="C246" s="22" t="inlineStr"/>
      <c r="D246" s="23" t="inlineStr"/>
      <c r="E246" s="25" t="inlineStr"/>
      <c r="F246" s="25" t="inlineStr"/>
      <c r="G246" s="35">
        <f>IF(OR(B246="",D246=""),"",D246*E246+F246)</f>
        <v/>
      </c>
      <c r="H246" s="22" t="inlineStr"/>
    </row>
    <row r="247">
      <c r="A247" s="34" t="inlineStr"/>
      <c r="B247" s="22" t="inlineStr"/>
      <c r="C247" s="22" t="inlineStr"/>
      <c r="D247" s="23" t="inlineStr"/>
      <c r="E247" s="25" t="inlineStr"/>
      <c r="F247" s="25" t="inlineStr"/>
      <c r="G247" s="35">
        <f>IF(OR(B247="",D247=""),"",D247*E247+F247)</f>
        <v/>
      </c>
      <c r="H247" s="22" t="inlineStr"/>
    </row>
    <row r="248">
      <c r="A248" s="34" t="inlineStr"/>
      <c r="B248" s="22" t="inlineStr"/>
      <c r="C248" s="22" t="inlineStr"/>
      <c r="D248" s="23" t="inlineStr"/>
      <c r="E248" s="25" t="inlineStr"/>
      <c r="F248" s="25" t="inlineStr"/>
      <c r="G248" s="35">
        <f>IF(OR(B248="",D248=""),"",D248*E248+F248)</f>
        <v/>
      </c>
      <c r="H248" s="22" t="inlineStr"/>
    </row>
    <row r="249">
      <c r="A249" s="34" t="inlineStr"/>
      <c r="B249" s="22" t="inlineStr"/>
      <c r="C249" s="22" t="inlineStr"/>
      <c r="D249" s="23" t="inlineStr"/>
      <c r="E249" s="25" t="inlineStr"/>
      <c r="F249" s="25" t="inlineStr"/>
      <c r="G249" s="35">
        <f>IF(OR(B249="",D249=""),"",D249*E249+F249)</f>
        <v/>
      </c>
      <c r="H249" s="22" t="inlineStr"/>
    </row>
    <row r="250">
      <c r="A250" s="34" t="inlineStr"/>
      <c r="B250" s="22" t="inlineStr"/>
      <c r="C250" s="22" t="inlineStr"/>
      <c r="D250" s="23" t="inlineStr"/>
      <c r="E250" s="25" t="inlineStr"/>
      <c r="F250" s="25" t="inlineStr"/>
      <c r="G250" s="35">
        <f>IF(OR(B250="",D250=""),"",D250*E250+F250)</f>
        <v/>
      </c>
      <c r="H250" s="22" t="inlineStr"/>
    </row>
    <row r="251">
      <c r="A251" s="34" t="inlineStr"/>
      <c r="B251" s="22" t="inlineStr"/>
      <c r="C251" s="22" t="inlineStr"/>
      <c r="D251" s="23" t="inlineStr"/>
      <c r="E251" s="25" t="inlineStr"/>
      <c r="F251" s="25" t="inlineStr"/>
      <c r="G251" s="35">
        <f>IF(OR(B251="",D251=""),"",D251*E251+F251)</f>
        <v/>
      </c>
      <c r="H251" s="22" t="inlineStr"/>
    </row>
    <row r="252">
      <c r="A252" s="34" t="inlineStr"/>
      <c r="B252" s="22" t="inlineStr"/>
      <c r="C252" s="22" t="inlineStr"/>
      <c r="D252" s="23" t="inlineStr"/>
      <c r="E252" s="25" t="inlineStr"/>
      <c r="F252" s="25" t="inlineStr"/>
      <c r="G252" s="35">
        <f>IF(OR(B252="",D252=""),"",D252*E252+F252)</f>
        <v/>
      </c>
      <c r="H252" s="22" t="inlineStr"/>
    </row>
    <row r="253">
      <c r="A253" s="34" t="inlineStr"/>
      <c r="B253" s="22" t="inlineStr"/>
      <c r="C253" s="22" t="inlineStr"/>
      <c r="D253" s="23" t="inlineStr"/>
      <c r="E253" s="25" t="inlineStr"/>
      <c r="F253" s="25" t="inlineStr"/>
      <c r="G253" s="35">
        <f>IF(OR(B253="",D253=""),"",D253*E253+F253)</f>
        <v/>
      </c>
      <c r="H253" s="22" t="inlineStr"/>
    </row>
    <row r="254">
      <c r="A254" s="34" t="inlineStr"/>
      <c r="B254" s="22" t="inlineStr"/>
      <c r="C254" s="22" t="inlineStr"/>
      <c r="D254" s="23" t="inlineStr"/>
      <c r="E254" s="25" t="inlineStr"/>
      <c r="F254" s="25" t="inlineStr"/>
      <c r="G254" s="35">
        <f>IF(OR(B254="",D254=""),"",D254*E254+F254)</f>
        <v/>
      </c>
      <c r="H254" s="22" t="inlineStr"/>
    </row>
    <row r="255">
      <c r="A255" s="34" t="inlineStr"/>
      <c r="B255" s="22" t="inlineStr"/>
      <c r="C255" s="22" t="inlineStr"/>
      <c r="D255" s="23" t="inlineStr"/>
      <c r="E255" s="25" t="inlineStr"/>
      <c r="F255" s="25" t="inlineStr"/>
      <c r="G255" s="35">
        <f>IF(OR(B255="",D255=""),"",D255*E255+F255)</f>
        <v/>
      </c>
      <c r="H255" s="22" t="inlineStr"/>
    </row>
    <row r="256">
      <c r="A256" s="34" t="inlineStr"/>
      <c r="B256" s="22" t="inlineStr"/>
      <c r="C256" s="22" t="inlineStr"/>
      <c r="D256" s="23" t="inlineStr"/>
      <c r="E256" s="25" t="inlineStr"/>
      <c r="F256" s="25" t="inlineStr"/>
      <c r="G256" s="35">
        <f>IF(OR(B256="",D256=""),"",D256*E256+F256)</f>
        <v/>
      </c>
      <c r="H256" s="22" t="inlineStr"/>
    </row>
    <row r="257">
      <c r="A257" s="34" t="inlineStr"/>
      <c r="B257" s="22" t="inlineStr"/>
      <c r="C257" s="22" t="inlineStr"/>
      <c r="D257" s="23" t="inlineStr"/>
      <c r="E257" s="25" t="inlineStr"/>
      <c r="F257" s="25" t="inlineStr"/>
      <c r="G257" s="35">
        <f>IF(OR(B257="",D257=""),"",D257*E257+F257)</f>
        <v/>
      </c>
      <c r="H257" s="22" t="inlineStr"/>
    </row>
    <row r="258">
      <c r="A258" s="34" t="inlineStr"/>
      <c r="B258" s="22" t="inlineStr"/>
      <c r="C258" s="22" t="inlineStr"/>
      <c r="D258" s="23" t="inlineStr"/>
      <c r="E258" s="25" t="inlineStr"/>
      <c r="F258" s="25" t="inlineStr"/>
      <c r="G258" s="35">
        <f>IF(OR(B258="",D258=""),"",D258*E258+F258)</f>
        <v/>
      </c>
      <c r="H258" s="22" t="inlineStr"/>
    </row>
    <row r="259">
      <c r="A259" s="34" t="inlineStr"/>
      <c r="B259" s="22" t="inlineStr"/>
      <c r="C259" s="22" t="inlineStr"/>
      <c r="D259" s="23" t="inlineStr"/>
      <c r="E259" s="25" t="inlineStr"/>
      <c r="F259" s="25" t="inlineStr"/>
      <c r="G259" s="35">
        <f>IF(OR(B259="",D259=""),"",D259*E259+F259)</f>
        <v/>
      </c>
      <c r="H259" s="22" t="inlineStr"/>
    </row>
    <row r="260">
      <c r="A260" s="34" t="inlineStr"/>
      <c r="B260" s="22" t="inlineStr"/>
      <c r="C260" s="22" t="inlineStr"/>
      <c r="D260" s="23" t="inlineStr"/>
      <c r="E260" s="25" t="inlineStr"/>
      <c r="F260" s="25" t="inlineStr"/>
      <c r="G260" s="35">
        <f>IF(OR(B260="",D260=""),"",D260*E260+F260)</f>
        <v/>
      </c>
      <c r="H260" s="22" t="inlineStr"/>
    </row>
    <row r="261">
      <c r="A261" s="34" t="inlineStr"/>
      <c r="B261" s="22" t="inlineStr"/>
      <c r="C261" s="22" t="inlineStr"/>
      <c r="D261" s="23" t="inlineStr"/>
      <c r="E261" s="25" t="inlineStr"/>
      <c r="F261" s="25" t="inlineStr"/>
      <c r="G261" s="35">
        <f>IF(OR(B261="",D261=""),"",D261*E261+F261)</f>
        <v/>
      </c>
      <c r="H261" s="22" t="inlineStr"/>
    </row>
    <row r="262">
      <c r="A262" s="34" t="inlineStr"/>
      <c r="B262" s="22" t="inlineStr"/>
      <c r="C262" s="22" t="inlineStr"/>
      <c r="D262" s="23" t="inlineStr"/>
      <c r="E262" s="25" t="inlineStr"/>
      <c r="F262" s="25" t="inlineStr"/>
      <c r="G262" s="35">
        <f>IF(OR(B262="",D262=""),"",D262*E262+F262)</f>
        <v/>
      </c>
      <c r="H262" s="22" t="inlineStr"/>
    </row>
    <row r="263">
      <c r="A263" s="34" t="inlineStr"/>
      <c r="B263" s="22" t="inlineStr"/>
      <c r="C263" s="22" t="inlineStr"/>
      <c r="D263" s="23" t="inlineStr"/>
      <c r="E263" s="25" t="inlineStr"/>
      <c r="F263" s="25" t="inlineStr"/>
      <c r="G263" s="35">
        <f>IF(OR(B263="",D263=""),"",D263*E263+F263)</f>
        <v/>
      </c>
      <c r="H263" s="22" t="inlineStr"/>
    </row>
    <row r="264">
      <c r="A264" s="34" t="inlineStr"/>
      <c r="B264" s="22" t="inlineStr"/>
      <c r="C264" s="22" t="inlineStr"/>
      <c r="D264" s="23" t="inlineStr"/>
      <c r="E264" s="25" t="inlineStr"/>
      <c r="F264" s="25" t="inlineStr"/>
      <c r="G264" s="35">
        <f>IF(OR(B264="",D264=""),"",D264*E264+F264)</f>
        <v/>
      </c>
      <c r="H264" s="22" t="inlineStr"/>
    </row>
    <row r="265">
      <c r="A265" s="34" t="inlineStr"/>
      <c r="B265" s="22" t="inlineStr"/>
      <c r="C265" s="22" t="inlineStr"/>
      <c r="D265" s="23" t="inlineStr"/>
      <c r="E265" s="25" t="inlineStr"/>
      <c r="F265" s="25" t="inlineStr"/>
      <c r="G265" s="35">
        <f>IF(OR(B265="",D265=""),"",D265*E265+F265)</f>
        <v/>
      </c>
      <c r="H265" s="22" t="inlineStr"/>
    </row>
    <row r="266">
      <c r="A266" s="34" t="inlineStr"/>
      <c r="B266" s="22" t="inlineStr"/>
      <c r="C266" s="22" t="inlineStr"/>
      <c r="D266" s="23" t="inlineStr"/>
      <c r="E266" s="25" t="inlineStr"/>
      <c r="F266" s="25" t="inlineStr"/>
      <c r="G266" s="35">
        <f>IF(OR(B266="",D266=""),"",D266*E266+F266)</f>
        <v/>
      </c>
      <c r="H266" s="22" t="inlineStr"/>
    </row>
    <row r="267">
      <c r="A267" s="34" t="inlineStr"/>
      <c r="B267" s="22" t="inlineStr"/>
      <c r="C267" s="22" t="inlineStr"/>
      <c r="D267" s="23" t="inlineStr"/>
      <c r="E267" s="25" t="inlineStr"/>
      <c r="F267" s="25" t="inlineStr"/>
      <c r="G267" s="35">
        <f>IF(OR(B267="",D267=""),"",D267*E267+F267)</f>
        <v/>
      </c>
      <c r="H267" s="22" t="inlineStr"/>
    </row>
    <row r="268">
      <c r="A268" s="34" t="inlineStr"/>
      <c r="B268" s="22" t="inlineStr"/>
      <c r="C268" s="22" t="inlineStr"/>
      <c r="D268" s="23" t="inlineStr"/>
      <c r="E268" s="25" t="inlineStr"/>
      <c r="F268" s="25" t="inlineStr"/>
      <c r="G268" s="35">
        <f>IF(OR(B268="",D268=""),"",D268*E268+F268)</f>
        <v/>
      </c>
      <c r="H268" s="22" t="inlineStr"/>
    </row>
    <row r="269">
      <c r="A269" s="34" t="inlineStr"/>
      <c r="B269" s="22" t="inlineStr"/>
      <c r="C269" s="22" t="inlineStr"/>
      <c r="D269" s="23" t="inlineStr"/>
      <c r="E269" s="25" t="inlineStr"/>
      <c r="F269" s="25" t="inlineStr"/>
      <c r="G269" s="35">
        <f>IF(OR(B269="",D269=""),"",D269*E269+F269)</f>
        <v/>
      </c>
      <c r="H269" s="22" t="inlineStr"/>
    </row>
    <row r="270">
      <c r="A270" s="34" t="inlineStr"/>
      <c r="B270" s="22" t="inlineStr"/>
      <c r="C270" s="22" t="inlineStr"/>
      <c r="D270" s="23" t="inlineStr"/>
      <c r="E270" s="25" t="inlineStr"/>
      <c r="F270" s="25" t="inlineStr"/>
      <c r="G270" s="35">
        <f>IF(OR(B270="",D270=""),"",D270*E270+F270)</f>
        <v/>
      </c>
      <c r="H270" s="22" t="inlineStr"/>
    </row>
    <row r="271">
      <c r="A271" s="34" t="inlineStr"/>
      <c r="B271" s="22" t="inlineStr"/>
      <c r="C271" s="22" t="inlineStr"/>
      <c r="D271" s="23" t="inlineStr"/>
      <c r="E271" s="25" t="inlineStr"/>
      <c r="F271" s="25" t="inlineStr"/>
      <c r="G271" s="35">
        <f>IF(OR(B271="",D271=""),"",D271*E271+F271)</f>
        <v/>
      </c>
      <c r="H271" s="22" t="inlineStr"/>
    </row>
    <row r="272">
      <c r="A272" s="34" t="inlineStr"/>
      <c r="B272" s="22" t="inlineStr"/>
      <c r="C272" s="22" t="inlineStr"/>
      <c r="D272" s="23" t="inlineStr"/>
      <c r="E272" s="25" t="inlineStr"/>
      <c r="F272" s="25" t="inlineStr"/>
      <c r="G272" s="35">
        <f>IF(OR(B272="",D272=""),"",D272*E272+F272)</f>
        <v/>
      </c>
      <c r="H272" s="22" t="inlineStr"/>
    </row>
    <row r="273">
      <c r="A273" s="34" t="inlineStr"/>
      <c r="B273" s="22" t="inlineStr"/>
      <c r="C273" s="22" t="inlineStr"/>
      <c r="D273" s="23" t="inlineStr"/>
      <c r="E273" s="25" t="inlineStr"/>
      <c r="F273" s="25" t="inlineStr"/>
      <c r="G273" s="35">
        <f>IF(OR(B273="",D273=""),"",D273*E273+F273)</f>
        <v/>
      </c>
      <c r="H273" s="22" t="inlineStr"/>
    </row>
    <row r="274">
      <c r="A274" s="34" t="inlineStr"/>
      <c r="B274" s="22" t="inlineStr"/>
      <c r="C274" s="22" t="inlineStr"/>
      <c r="D274" s="23" t="inlineStr"/>
      <c r="E274" s="25" t="inlineStr"/>
      <c r="F274" s="25" t="inlineStr"/>
      <c r="G274" s="35">
        <f>IF(OR(B274="",D274=""),"",D274*E274+F274)</f>
        <v/>
      </c>
      <c r="H274" s="22" t="inlineStr"/>
    </row>
    <row r="275">
      <c r="A275" s="34" t="inlineStr"/>
      <c r="B275" s="22" t="inlineStr"/>
      <c r="C275" s="22" t="inlineStr"/>
      <c r="D275" s="23" t="inlineStr"/>
      <c r="E275" s="25" t="inlineStr"/>
      <c r="F275" s="25" t="inlineStr"/>
      <c r="G275" s="35">
        <f>IF(OR(B275="",D275=""),"",D275*E275+F275)</f>
        <v/>
      </c>
      <c r="H275" s="22" t="inlineStr"/>
    </row>
    <row r="276">
      <c r="A276" s="34" t="inlineStr"/>
      <c r="B276" s="22" t="inlineStr"/>
      <c r="C276" s="22" t="inlineStr"/>
      <c r="D276" s="23" t="inlineStr"/>
      <c r="E276" s="25" t="inlineStr"/>
      <c r="F276" s="25" t="inlineStr"/>
      <c r="G276" s="35">
        <f>IF(OR(B276="",D276=""),"",D276*E276+F276)</f>
        <v/>
      </c>
      <c r="H276" s="22" t="inlineStr"/>
    </row>
    <row r="277">
      <c r="A277" s="34" t="inlineStr"/>
      <c r="B277" s="22" t="inlineStr"/>
      <c r="C277" s="22" t="inlineStr"/>
      <c r="D277" s="23" t="inlineStr"/>
      <c r="E277" s="25" t="inlineStr"/>
      <c r="F277" s="25" t="inlineStr"/>
      <c r="G277" s="35">
        <f>IF(OR(B277="",D277=""),"",D277*E277+F277)</f>
        <v/>
      </c>
      <c r="H277" s="22" t="inlineStr"/>
    </row>
    <row r="278">
      <c r="A278" s="34" t="inlineStr"/>
      <c r="B278" s="22" t="inlineStr"/>
      <c r="C278" s="22" t="inlineStr"/>
      <c r="D278" s="23" t="inlineStr"/>
      <c r="E278" s="25" t="inlineStr"/>
      <c r="F278" s="25" t="inlineStr"/>
      <c r="G278" s="35">
        <f>IF(OR(B278="",D278=""),"",D278*E278+F278)</f>
        <v/>
      </c>
      <c r="H278" s="22" t="inlineStr"/>
    </row>
    <row r="279">
      <c r="A279" s="34" t="inlineStr"/>
      <c r="B279" s="22" t="inlineStr"/>
      <c r="C279" s="22" t="inlineStr"/>
      <c r="D279" s="23" t="inlineStr"/>
      <c r="E279" s="25" t="inlineStr"/>
      <c r="F279" s="25" t="inlineStr"/>
      <c r="G279" s="35">
        <f>IF(OR(B279="",D279=""),"",D279*E279+F279)</f>
        <v/>
      </c>
      <c r="H279" s="22" t="inlineStr"/>
    </row>
    <row r="280">
      <c r="A280" s="34" t="inlineStr"/>
      <c r="B280" s="22" t="inlineStr"/>
      <c r="C280" s="22" t="inlineStr"/>
      <c r="D280" s="23" t="inlineStr"/>
      <c r="E280" s="25" t="inlineStr"/>
      <c r="F280" s="25" t="inlineStr"/>
      <c r="G280" s="35">
        <f>IF(OR(B280="",D280=""),"",D280*E280+F280)</f>
        <v/>
      </c>
      <c r="H280" s="22" t="inlineStr"/>
    </row>
    <row r="281">
      <c r="A281" s="34" t="inlineStr"/>
      <c r="B281" s="22" t="inlineStr"/>
      <c r="C281" s="22" t="inlineStr"/>
      <c r="D281" s="23" t="inlineStr"/>
      <c r="E281" s="25" t="inlineStr"/>
      <c r="F281" s="25" t="inlineStr"/>
      <c r="G281" s="35">
        <f>IF(OR(B281="",D281=""),"",D281*E281+F281)</f>
        <v/>
      </c>
      <c r="H281" s="22" t="inlineStr"/>
    </row>
    <row r="282">
      <c r="A282" s="34" t="inlineStr"/>
      <c r="B282" s="22" t="inlineStr"/>
      <c r="C282" s="22" t="inlineStr"/>
      <c r="D282" s="23" t="inlineStr"/>
      <c r="E282" s="25" t="inlineStr"/>
      <c r="F282" s="25" t="inlineStr"/>
      <c r="G282" s="35">
        <f>IF(OR(B282="",D282=""),"",D282*E282+F282)</f>
        <v/>
      </c>
      <c r="H282" s="22" t="inlineStr"/>
    </row>
    <row r="283">
      <c r="A283" s="34" t="inlineStr"/>
      <c r="B283" s="22" t="inlineStr"/>
      <c r="C283" s="22" t="inlineStr"/>
      <c r="D283" s="23" t="inlineStr"/>
      <c r="E283" s="25" t="inlineStr"/>
      <c r="F283" s="25" t="inlineStr"/>
      <c r="G283" s="35">
        <f>IF(OR(B283="",D283=""),"",D283*E283+F283)</f>
        <v/>
      </c>
      <c r="H283" s="22" t="inlineStr"/>
    </row>
    <row r="284">
      <c r="A284" s="34" t="inlineStr"/>
      <c r="B284" s="22" t="inlineStr"/>
      <c r="C284" s="22" t="inlineStr"/>
      <c r="D284" s="23" t="inlineStr"/>
      <c r="E284" s="25" t="inlineStr"/>
      <c r="F284" s="25" t="inlineStr"/>
      <c r="G284" s="35">
        <f>IF(OR(B284="",D284=""),"",D284*E284+F284)</f>
        <v/>
      </c>
      <c r="H284" s="22" t="inlineStr"/>
    </row>
    <row r="285">
      <c r="A285" s="34" t="inlineStr"/>
      <c r="B285" s="22" t="inlineStr"/>
      <c r="C285" s="22" t="inlineStr"/>
      <c r="D285" s="23" t="inlineStr"/>
      <c r="E285" s="25" t="inlineStr"/>
      <c r="F285" s="25" t="inlineStr"/>
      <c r="G285" s="35">
        <f>IF(OR(B285="",D285=""),"",D285*E285+F285)</f>
        <v/>
      </c>
      <c r="H285" s="22" t="inlineStr"/>
    </row>
    <row r="286">
      <c r="A286" s="34" t="inlineStr"/>
      <c r="B286" s="22" t="inlineStr"/>
      <c r="C286" s="22" t="inlineStr"/>
      <c r="D286" s="23" t="inlineStr"/>
      <c r="E286" s="25" t="inlineStr"/>
      <c r="F286" s="25" t="inlineStr"/>
      <c r="G286" s="35">
        <f>IF(OR(B286="",D286=""),"",D286*E286+F286)</f>
        <v/>
      </c>
      <c r="H286" s="22" t="inlineStr"/>
    </row>
    <row r="287">
      <c r="A287" s="34" t="inlineStr"/>
      <c r="B287" s="22" t="inlineStr"/>
      <c r="C287" s="22" t="inlineStr"/>
      <c r="D287" s="23" t="inlineStr"/>
      <c r="E287" s="25" t="inlineStr"/>
      <c r="F287" s="25" t="inlineStr"/>
      <c r="G287" s="35">
        <f>IF(OR(B287="",D287=""),"",D287*E287+F287)</f>
        <v/>
      </c>
      <c r="H287" s="22" t="inlineStr"/>
    </row>
    <row r="288">
      <c r="A288" s="34" t="inlineStr"/>
      <c r="B288" s="22" t="inlineStr"/>
      <c r="C288" s="22" t="inlineStr"/>
      <c r="D288" s="23" t="inlineStr"/>
      <c r="E288" s="25" t="inlineStr"/>
      <c r="F288" s="25" t="inlineStr"/>
      <c r="G288" s="35">
        <f>IF(OR(B288="",D288=""),"",D288*E288+F288)</f>
        <v/>
      </c>
      <c r="H288" s="22" t="inlineStr"/>
    </row>
    <row r="289">
      <c r="A289" s="34" t="inlineStr"/>
      <c r="B289" s="22" t="inlineStr"/>
      <c r="C289" s="22" t="inlineStr"/>
      <c r="D289" s="23" t="inlineStr"/>
      <c r="E289" s="25" t="inlineStr"/>
      <c r="F289" s="25" t="inlineStr"/>
      <c r="G289" s="35">
        <f>IF(OR(B289="",D289=""),"",D289*E289+F289)</f>
        <v/>
      </c>
      <c r="H289" s="22" t="inlineStr"/>
    </row>
    <row r="290">
      <c r="A290" s="34" t="inlineStr"/>
      <c r="B290" s="22" t="inlineStr"/>
      <c r="C290" s="22" t="inlineStr"/>
      <c r="D290" s="23" t="inlineStr"/>
      <c r="E290" s="25" t="inlineStr"/>
      <c r="F290" s="25" t="inlineStr"/>
      <c r="G290" s="35">
        <f>IF(OR(B290="",D290=""),"",D290*E290+F290)</f>
        <v/>
      </c>
      <c r="H290" s="22" t="inlineStr"/>
    </row>
    <row r="291">
      <c r="A291" s="34" t="inlineStr"/>
      <c r="B291" s="22" t="inlineStr"/>
      <c r="C291" s="22" t="inlineStr"/>
      <c r="D291" s="23" t="inlineStr"/>
      <c r="E291" s="25" t="inlineStr"/>
      <c r="F291" s="25" t="inlineStr"/>
      <c r="G291" s="35">
        <f>IF(OR(B291="",D291=""),"",D291*E291+F291)</f>
        <v/>
      </c>
      <c r="H291" s="22" t="inlineStr"/>
    </row>
    <row r="292">
      <c r="A292" s="34" t="inlineStr"/>
      <c r="B292" s="22" t="inlineStr"/>
      <c r="C292" s="22" t="inlineStr"/>
      <c r="D292" s="23" t="inlineStr"/>
      <c r="E292" s="25" t="inlineStr"/>
      <c r="F292" s="25" t="inlineStr"/>
      <c r="G292" s="35">
        <f>IF(OR(B292="",D292=""),"",D292*E292+F292)</f>
        <v/>
      </c>
      <c r="H292" s="22" t="inlineStr"/>
    </row>
    <row r="293">
      <c r="A293" s="34" t="inlineStr"/>
      <c r="B293" s="22" t="inlineStr"/>
      <c r="C293" s="22" t="inlineStr"/>
      <c r="D293" s="23" t="inlineStr"/>
      <c r="E293" s="25" t="inlineStr"/>
      <c r="F293" s="25" t="inlineStr"/>
      <c r="G293" s="35">
        <f>IF(OR(B293="",D293=""),"",D293*E293+F293)</f>
        <v/>
      </c>
      <c r="H293" s="22" t="inlineStr"/>
    </row>
    <row r="294">
      <c r="A294" s="34" t="inlineStr"/>
      <c r="B294" s="22" t="inlineStr"/>
      <c r="C294" s="22" t="inlineStr"/>
      <c r="D294" s="23" t="inlineStr"/>
      <c r="E294" s="25" t="inlineStr"/>
      <c r="F294" s="25" t="inlineStr"/>
      <c r="G294" s="35">
        <f>IF(OR(B294="",D294=""),"",D294*E294+F294)</f>
        <v/>
      </c>
      <c r="H294" s="22" t="inlineStr"/>
    </row>
    <row r="295">
      <c r="A295" s="34" t="inlineStr"/>
      <c r="B295" s="22" t="inlineStr"/>
      <c r="C295" s="22" t="inlineStr"/>
      <c r="D295" s="23" t="inlineStr"/>
      <c r="E295" s="25" t="inlineStr"/>
      <c r="F295" s="25" t="inlineStr"/>
      <c r="G295" s="35">
        <f>IF(OR(B295="",D295=""),"",D295*E295+F295)</f>
        <v/>
      </c>
      <c r="H295" s="22" t="inlineStr"/>
    </row>
    <row r="296">
      <c r="A296" s="34" t="inlineStr"/>
      <c r="B296" s="22" t="inlineStr"/>
      <c r="C296" s="22" t="inlineStr"/>
      <c r="D296" s="23" t="inlineStr"/>
      <c r="E296" s="25" t="inlineStr"/>
      <c r="F296" s="25" t="inlineStr"/>
      <c r="G296" s="35">
        <f>IF(OR(B296="",D296=""),"",D296*E296+F296)</f>
        <v/>
      </c>
      <c r="H296" s="22" t="inlineStr"/>
    </row>
    <row r="297">
      <c r="A297" s="34" t="inlineStr"/>
      <c r="B297" s="22" t="inlineStr"/>
      <c r="C297" s="22" t="inlineStr"/>
      <c r="D297" s="23" t="inlineStr"/>
      <c r="E297" s="25" t="inlineStr"/>
      <c r="F297" s="25" t="inlineStr"/>
      <c r="G297" s="35">
        <f>IF(OR(B297="",D297=""),"",D297*E297+F297)</f>
        <v/>
      </c>
      <c r="H297" s="22" t="inlineStr"/>
    </row>
    <row r="298">
      <c r="A298" s="34" t="inlineStr"/>
      <c r="B298" s="22" t="inlineStr"/>
      <c r="C298" s="22" t="inlineStr"/>
      <c r="D298" s="23" t="inlineStr"/>
      <c r="E298" s="25" t="inlineStr"/>
      <c r="F298" s="25" t="inlineStr"/>
      <c r="G298" s="35">
        <f>IF(OR(B298="",D298=""),"",D298*E298+F298)</f>
        <v/>
      </c>
      <c r="H298" s="22" t="inlineStr"/>
    </row>
    <row r="299">
      <c r="A299" s="34" t="inlineStr"/>
      <c r="B299" s="22" t="inlineStr"/>
      <c r="C299" s="22" t="inlineStr"/>
      <c r="D299" s="23" t="inlineStr"/>
      <c r="E299" s="25" t="inlineStr"/>
      <c r="F299" s="25" t="inlineStr"/>
      <c r="G299" s="35">
        <f>IF(OR(B299="",D299=""),"",D299*E299+F299)</f>
        <v/>
      </c>
      <c r="H299" s="22" t="inlineStr"/>
    </row>
    <row r="300">
      <c r="A300" s="34" t="inlineStr"/>
      <c r="B300" s="22" t="inlineStr"/>
      <c r="C300" s="22" t="inlineStr"/>
      <c r="D300" s="23" t="inlineStr"/>
      <c r="E300" s="25" t="inlineStr"/>
      <c r="F300" s="25" t="inlineStr"/>
      <c r="G300" s="35">
        <f>IF(OR(B300="",D300=""),"",D300*E300+F300)</f>
        <v/>
      </c>
      <c r="H300" s="22" t="inlineStr"/>
    </row>
    <row r="301">
      <c r="A301" s="34" t="inlineStr"/>
      <c r="B301" s="22" t="inlineStr"/>
      <c r="C301" s="22" t="inlineStr"/>
      <c r="D301" s="23" t="inlineStr"/>
      <c r="E301" s="25" t="inlineStr"/>
      <c r="F301" s="25" t="inlineStr"/>
      <c r="G301" s="35">
        <f>IF(OR(B301="",D301=""),"",D301*E301+F301)</f>
        <v/>
      </c>
      <c r="H301" s="22" t="inlineStr"/>
    </row>
    <row r="302">
      <c r="A302" s="34" t="inlineStr"/>
      <c r="B302" s="22" t="inlineStr"/>
      <c r="C302" s="22" t="inlineStr"/>
      <c r="D302" s="23" t="inlineStr"/>
      <c r="E302" s="25" t="inlineStr"/>
      <c r="F302" s="25" t="inlineStr"/>
      <c r="G302" s="35">
        <f>IF(OR(B302="",D302=""),"",D302*E302+F302)</f>
        <v/>
      </c>
      <c r="H302" s="22" t="inlineStr"/>
    </row>
    <row r="303">
      <c r="A303" s="34" t="inlineStr"/>
      <c r="B303" s="22" t="inlineStr"/>
      <c r="C303" s="22" t="inlineStr"/>
      <c r="D303" s="23" t="inlineStr"/>
      <c r="E303" s="25" t="inlineStr"/>
      <c r="F303" s="25" t="inlineStr"/>
      <c r="G303" s="35">
        <f>IF(OR(B303="",D303=""),"",D303*E303+F303)</f>
        <v/>
      </c>
      <c r="H303" s="22" t="inlineStr"/>
    </row>
    <row r="304">
      <c r="A304" s="34" t="inlineStr"/>
      <c r="B304" s="22" t="inlineStr"/>
      <c r="C304" s="22" t="inlineStr"/>
      <c r="D304" s="23" t="inlineStr"/>
      <c r="E304" s="25" t="inlineStr"/>
      <c r="F304" s="25" t="inlineStr"/>
      <c r="G304" s="35">
        <f>IF(OR(B304="",D304=""),"",D304*E304+F304)</f>
        <v/>
      </c>
      <c r="H304" s="22" t="inlineStr"/>
    </row>
    <row r="305">
      <c r="A305" s="31" t="inlineStr">
        <is>
          <t>Totals</t>
        </is>
      </c>
      <c r="B305" s="31" t="n"/>
      <c r="C305" s="31" t="n"/>
      <c r="D305" s="32">
        <f>SUM(D5:D304)</f>
        <v/>
      </c>
      <c r="E305" s="31" t="n"/>
      <c r="F305" s="31" t="n"/>
      <c r="G305" s="33">
        <f>SUM(G5:G304)</f>
        <v/>
      </c>
      <c r="H3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J1"/>
    <mergeCell ref="A2:J2"/>
  </mergeCells>
  <dataValidations count="1">
    <dataValidation sqref="B5:B3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5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24" customWidth="1" min="10" max="10"/>
  </cols>
  <sheetData>
    <row r="1" ht="28" customHeight="1">
      <c r="A1" s="1" t="inlineStr">
        <is>
          <t>Sales</t>
        </is>
      </c>
    </row>
    <row r="2" ht="22" customHeight="1">
      <c r="A2" s="2" t="inlineStr">
        <is>
          <t>Log sales orders and see revenue, fees, cost of goods sold, and gross profit.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Channel</t>
        </is>
      </c>
      <c r="D4" s="14" t="inlineStr">
        <is>
          <t>Qty</t>
        </is>
      </c>
      <c r="E4" s="14" t="inlineStr">
        <is>
          <t>Unit Price</t>
        </is>
      </c>
      <c r="F4" s="14" t="inlineStr">
        <is>
          <t>Fees</t>
        </is>
      </c>
      <c r="G4" s="14" t="inlineStr">
        <is>
          <t>Revenue</t>
        </is>
      </c>
      <c r="H4" s="14" t="inlineStr">
        <is>
          <t>COGS</t>
        </is>
      </c>
      <c r="I4" s="14" t="inlineStr">
        <is>
          <t>Gross Profit</t>
        </is>
      </c>
      <c r="J4" s="14" t="inlineStr">
        <is>
          <t>Notes</t>
        </is>
      </c>
    </row>
    <row r="5">
      <c r="A5" s="34" t="n">
        <v>46068</v>
      </c>
      <c r="B5" s="22" t="inlineStr">
        <is>
          <t>SKU-001</t>
        </is>
      </c>
      <c r="C5" s="22" t="inlineStr">
        <is>
          <t>Etsy</t>
        </is>
      </c>
      <c r="D5" s="23" t="n">
        <v>8</v>
      </c>
      <c r="E5" s="25" t="n">
        <v>2.75</v>
      </c>
      <c r="F5" s="25" t="n">
        <v>2.86</v>
      </c>
      <c r="G5" s="35">
        <f>IF(OR(B5="",D5=""),"",D5*E5)</f>
        <v/>
      </c>
      <c r="H5" s="35">
        <f>IF(OR(B5="",D5=""),"",D5*VLOOKUP(B5,Inventory!$A$5:$J$104,10,FALSE))</f>
        <v/>
      </c>
      <c r="I5" s="35">
        <f>IF(G5="","",G5-F5-H5)</f>
        <v/>
      </c>
      <c r="J5" s="22" t="inlineStr">
        <is>
          <t>Recent 30-day example sale 1</t>
        </is>
      </c>
    </row>
    <row r="6">
      <c r="A6" s="34" t="n">
        <v>46068</v>
      </c>
      <c r="B6" s="22" t="inlineStr">
        <is>
          <t>SKU-002</t>
        </is>
      </c>
      <c r="C6" s="22" t="inlineStr">
        <is>
          <t>Shop</t>
        </is>
      </c>
      <c r="D6" s="23" t="n">
        <v>6</v>
      </c>
      <c r="E6" s="25" t="n">
        <v>3.25</v>
      </c>
      <c r="F6" s="25" t="n">
        <v>2.54</v>
      </c>
      <c r="G6" s="35">
        <f>IF(OR(B6="",D6=""),"",D6*E6)</f>
        <v/>
      </c>
      <c r="H6" s="35">
        <f>IF(OR(B6="",D6=""),"",D6*VLOOKUP(B6,Inventory!$A$5:$J$104,10,FALSE))</f>
        <v/>
      </c>
      <c r="I6" s="35">
        <f>IF(G6="","",G6-F6-H6)</f>
        <v/>
      </c>
      <c r="J6" s="22" t="inlineStr">
        <is>
          <t>Recent 30-day example sale 1</t>
        </is>
      </c>
    </row>
    <row r="7">
      <c r="A7" s="34" t="n">
        <v>46068</v>
      </c>
      <c r="B7" s="22" t="inlineStr">
        <is>
          <t>SKU-003</t>
        </is>
      </c>
      <c r="C7" s="22" t="inlineStr">
        <is>
          <t>Market</t>
        </is>
      </c>
      <c r="D7" s="23" t="n">
        <v>4</v>
      </c>
      <c r="E7" s="25" t="n">
        <v>3.74</v>
      </c>
      <c r="F7" s="25" t="n">
        <v>1.94</v>
      </c>
      <c r="G7" s="35">
        <f>IF(OR(B7="",D7=""),"",D7*E7)</f>
        <v/>
      </c>
      <c r="H7" s="35">
        <f>IF(OR(B7="",D7=""),"",D7*VLOOKUP(B7,Inventory!$A$5:$J$104,10,FALSE))</f>
        <v/>
      </c>
      <c r="I7" s="35">
        <f>IF(G7="","",G7-F7-H7)</f>
        <v/>
      </c>
      <c r="J7" s="22" t="inlineStr">
        <is>
          <t>Recent 30-day example sale 1</t>
        </is>
      </c>
    </row>
    <row r="8">
      <c r="A8" s="34" t="n">
        <v>46068</v>
      </c>
      <c r="B8" s="22" t="inlineStr">
        <is>
          <t>SKU-004</t>
        </is>
      </c>
      <c r="C8" s="22" t="inlineStr">
        <is>
          <t>Retail</t>
        </is>
      </c>
      <c r="D8" s="23" t="n">
        <v>6</v>
      </c>
      <c r="E8" s="25" t="n">
        <v>4.23</v>
      </c>
      <c r="F8" s="25" t="n">
        <v>3.3</v>
      </c>
      <c r="G8" s="35">
        <f>IF(OR(B8="",D8=""),"",D8*E8)</f>
        <v/>
      </c>
      <c r="H8" s="35">
        <f>IF(OR(B8="",D8=""),"",D8*VLOOKUP(B8,Inventory!$A$5:$J$104,10,FALSE))</f>
        <v/>
      </c>
      <c r="I8" s="35">
        <f>IF(G8="","",G8-F8-H8)</f>
        <v/>
      </c>
      <c r="J8" s="22" t="inlineStr">
        <is>
          <t>Recent 30-day example sale 1</t>
        </is>
      </c>
    </row>
    <row r="9">
      <c r="A9" s="34" t="n">
        <v>46068</v>
      </c>
      <c r="B9" s="22" t="inlineStr">
        <is>
          <t>SKU-005</t>
        </is>
      </c>
      <c r="C9" s="22" t="inlineStr">
        <is>
          <t>Wholesale</t>
        </is>
      </c>
      <c r="D9" s="23" t="n">
        <v>2</v>
      </c>
      <c r="E9" s="25" t="n">
        <v>4.73</v>
      </c>
      <c r="F9" s="25" t="n">
        <v>1.23</v>
      </c>
      <c r="G9" s="35">
        <f>IF(OR(B9="",D9=""),"",D9*E9)</f>
        <v/>
      </c>
      <c r="H9" s="35">
        <f>IF(OR(B9="",D9=""),"",D9*VLOOKUP(B9,Inventory!$A$5:$J$104,10,FALSE))</f>
        <v/>
      </c>
      <c r="I9" s="35">
        <f>IF(G9="","",G9-F9-H9)</f>
        <v/>
      </c>
      <c r="J9" s="22" t="inlineStr">
        <is>
          <t>Recent 30-day example sale 1</t>
        </is>
      </c>
    </row>
    <row r="10">
      <c r="A10" s="34" t="n">
        <v>46068</v>
      </c>
      <c r="B10" s="22" t="inlineStr">
        <is>
          <t>SKU-006</t>
        </is>
      </c>
      <c r="C10" s="22" t="inlineStr">
        <is>
          <t>Etsy</t>
        </is>
      </c>
      <c r="D10" s="23" t="n">
        <v>4</v>
      </c>
      <c r="E10" s="25" t="n">
        <v>6.09</v>
      </c>
      <c r="F10" s="25" t="n">
        <v>3.17</v>
      </c>
      <c r="G10" s="35">
        <f>IF(OR(B10="",D10=""),"",D10*E10)</f>
        <v/>
      </c>
      <c r="H10" s="35">
        <f>IF(OR(B10="",D10=""),"",D10*VLOOKUP(B10,Inventory!$A$5:$J$104,10,FALSE))</f>
        <v/>
      </c>
      <c r="I10" s="35">
        <f>IF(G10="","",G10-F10-H10)</f>
        <v/>
      </c>
      <c r="J10" s="22" t="inlineStr">
        <is>
          <t>Recent 30-day example sale 1</t>
        </is>
      </c>
    </row>
    <row r="11">
      <c r="A11" s="34" t="n">
        <v>46068</v>
      </c>
      <c r="B11" s="22" t="inlineStr">
        <is>
          <t>SKU-007</t>
        </is>
      </c>
      <c r="C11" s="22" t="inlineStr">
        <is>
          <t>Shop</t>
        </is>
      </c>
      <c r="D11" s="23" t="n">
        <v>4</v>
      </c>
      <c r="E11" s="25" t="n">
        <v>6.58</v>
      </c>
      <c r="F11" s="25" t="n">
        <v>3.42</v>
      </c>
      <c r="G11" s="35">
        <f>IF(OR(B11="",D11=""),"",D11*E11)</f>
        <v/>
      </c>
      <c r="H11" s="35">
        <f>IF(OR(B11="",D11=""),"",D11*VLOOKUP(B11,Inventory!$A$5:$J$104,10,FALSE))</f>
        <v/>
      </c>
      <c r="I11" s="35">
        <f>IF(G11="","",G11-F11-H11)</f>
        <v/>
      </c>
      <c r="J11" s="22" t="inlineStr">
        <is>
          <t>Recent 30-day example sale 1</t>
        </is>
      </c>
    </row>
    <row r="12">
      <c r="A12" s="34" t="n">
        <v>46068</v>
      </c>
      <c r="B12" s="22" t="inlineStr">
        <is>
          <t>SKU-008</t>
        </is>
      </c>
      <c r="C12" s="22" t="inlineStr">
        <is>
          <t>Market</t>
        </is>
      </c>
      <c r="D12" s="23" t="n">
        <v>3</v>
      </c>
      <c r="E12" s="25" t="n">
        <v>7.08</v>
      </c>
      <c r="F12" s="25" t="n">
        <v>2.76</v>
      </c>
      <c r="G12" s="35">
        <f>IF(OR(B12="",D12=""),"",D12*E12)</f>
        <v/>
      </c>
      <c r="H12" s="35">
        <f>IF(OR(B12="",D12=""),"",D12*VLOOKUP(B12,Inventory!$A$5:$J$104,10,FALSE))</f>
        <v/>
      </c>
      <c r="I12" s="35">
        <f>IF(G12="","",G12-F12-H12)</f>
        <v/>
      </c>
      <c r="J12" s="22" t="inlineStr">
        <is>
          <t>Recent 30-day example sale 1</t>
        </is>
      </c>
    </row>
    <row r="13">
      <c r="A13" s="34" t="n">
        <v>46082</v>
      </c>
      <c r="B13" s="22" t="inlineStr">
        <is>
          <t>SKU-001</t>
        </is>
      </c>
      <c r="C13" s="22" t="inlineStr">
        <is>
          <t>Etsy</t>
        </is>
      </c>
      <c r="D13" s="23" t="n">
        <v>8</v>
      </c>
      <c r="E13" s="25" t="n">
        <v>2.75</v>
      </c>
      <c r="F13" s="25" t="n">
        <v>2.86</v>
      </c>
      <c r="G13" s="35">
        <f>IF(OR(B13="",D13=""),"",D13*E13)</f>
        <v/>
      </c>
      <c r="H13" s="35">
        <f>IF(OR(B13="",D13=""),"",D13*VLOOKUP(B13,Inventory!$A$5:$J$104,10,FALSE))</f>
        <v/>
      </c>
      <c r="I13" s="35">
        <f>IF(G13="","",G13-F13-H13)</f>
        <v/>
      </c>
      <c r="J13" s="22" t="inlineStr">
        <is>
          <t>Recent 30-day example sale 2</t>
        </is>
      </c>
    </row>
    <row r="14">
      <c r="A14" s="34" t="n">
        <v>46082</v>
      </c>
      <c r="B14" s="22" t="inlineStr">
        <is>
          <t>SKU-002</t>
        </is>
      </c>
      <c r="C14" s="22" t="inlineStr">
        <is>
          <t>Shop</t>
        </is>
      </c>
      <c r="D14" s="23" t="n">
        <v>7</v>
      </c>
      <c r="E14" s="25" t="n">
        <v>3.25</v>
      </c>
      <c r="F14" s="25" t="n">
        <v>2.96</v>
      </c>
      <c r="G14" s="35">
        <f>IF(OR(B14="",D14=""),"",D14*E14)</f>
        <v/>
      </c>
      <c r="H14" s="35">
        <f>IF(OR(B14="",D14=""),"",D14*VLOOKUP(B14,Inventory!$A$5:$J$104,10,FALSE))</f>
        <v/>
      </c>
      <c r="I14" s="35">
        <f>IF(G14="","",G14-F14-H14)</f>
        <v/>
      </c>
      <c r="J14" s="22" t="inlineStr">
        <is>
          <t>Recent 30-day example sale 2</t>
        </is>
      </c>
    </row>
    <row r="15">
      <c r="A15" s="34" t="n">
        <v>46082</v>
      </c>
      <c r="B15" s="22" t="inlineStr">
        <is>
          <t>SKU-003</t>
        </is>
      </c>
      <c r="C15" s="22" t="inlineStr">
        <is>
          <t>Market</t>
        </is>
      </c>
      <c r="D15" s="23" t="n">
        <v>5</v>
      </c>
      <c r="E15" s="25" t="n">
        <v>3.74</v>
      </c>
      <c r="F15" s="25" t="n">
        <v>2.43</v>
      </c>
      <c r="G15" s="35">
        <f>IF(OR(B15="",D15=""),"",D15*E15)</f>
        <v/>
      </c>
      <c r="H15" s="35">
        <f>IF(OR(B15="",D15=""),"",D15*VLOOKUP(B15,Inventory!$A$5:$J$104,10,FALSE))</f>
        <v/>
      </c>
      <c r="I15" s="35">
        <f>IF(G15="","",G15-F15-H15)</f>
        <v/>
      </c>
      <c r="J15" s="22" t="inlineStr">
        <is>
          <t>Recent 30-day example sale 2</t>
        </is>
      </c>
    </row>
    <row r="16">
      <c r="A16" s="34" t="n">
        <v>46082</v>
      </c>
      <c r="B16" s="22" t="inlineStr">
        <is>
          <t>SKU-004</t>
        </is>
      </c>
      <c r="C16" s="22" t="inlineStr">
        <is>
          <t>Retail</t>
        </is>
      </c>
      <c r="D16" s="23" t="n">
        <v>6</v>
      </c>
      <c r="E16" s="25" t="n">
        <v>4.23</v>
      </c>
      <c r="F16" s="25" t="n">
        <v>3.3</v>
      </c>
      <c r="G16" s="35">
        <f>IF(OR(B16="",D16=""),"",D16*E16)</f>
        <v/>
      </c>
      <c r="H16" s="35">
        <f>IF(OR(B16="",D16=""),"",D16*VLOOKUP(B16,Inventory!$A$5:$J$104,10,FALSE))</f>
        <v/>
      </c>
      <c r="I16" s="35">
        <f>IF(G16="","",G16-F16-H16)</f>
        <v/>
      </c>
      <c r="J16" s="22" t="inlineStr">
        <is>
          <t>Recent 30-day example sale 2</t>
        </is>
      </c>
    </row>
    <row r="17">
      <c r="A17" s="34" t="n">
        <v>46082</v>
      </c>
      <c r="B17" s="22" t="inlineStr">
        <is>
          <t>SKU-005</t>
        </is>
      </c>
      <c r="C17" s="22" t="inlineStr">
        <is>
          <t>Wholesale</t>
        </is>
      </c>
      <c r="D17" s="23" t="n">
        <v>3</v>
      </c>
      <c r="E17" s="25" t="n">
        <v>4.73</v>
      </c>
      <c r="F17" s="25" t="n">
        <v>1.84</v>
      </c>
      <c r="G17" s="35">
        <f>IF(OR(B17="",D17=""),"",D17*E17)</f>
        <v/>
      </c>
      <c r="H17" s="35">
        <f>IF(OR(B17="",D17=""),"",D17*VLOOKUP(B17,Inventory!$A$5:$J$104,10,FALSE))</f>
        <v/>
      </c>
      <c r="I17" s="35">
        <f>IF(G17="","",G17-F17-H17)</f>
        <v/>
      </c>
      <c r="J17" s="22" t="inlineStr">
        <is>
          <t>Recent 30-day example sale 2</t>
        </is>
      </c>
    </row>
    <row r="18">
      <c r="A18" s="34" t="n">
        <v>46082</v>
      </c>
      <c r="B18" s="22" t="inlineStr">
        <is>
          <t>SKU-006</t>
        </is>
      </c>
      <c r="C18" s="22" t="inlineStr">
        <is>
          <t>Etsy</t>
        </is>
      </c>
      <c r="D18" s="23" t="n">
        <v>5</v>
      </c>
      <c r="E18" s="25" t="n">
        <v>6.09</v>
      </c>
      <c r="F18" s="25" t="n">
        <v>3.96</v>
      </c>
      <c r="G18" s="35">
        <f>IF(OR(B18="",D18=""),"",D18*E18)</f>
        <v/>
      </c>
      <c r="H18" s="35">
        <f>IF(OR(B18="",D18=""),"",D18*VLOOKUP(B18,Inventory!$A$5:$J$104,10,FALSE))</f>
        <v/>
      </c>
      <c r="I18" s="35">
        <f>IF(G18="","",G18-F18-H18)</f>
        <v/>
      </c>
      <c r="J18" s="22" t="inlineStr">
        <is>
          <t>Recent 30-day example sale 2</t>
        </is>
      </c>
    </row>
    <row r="19">
      <c r="A19" s="34" t="n">
        <v>46082</v>
      </c>
      <c r="B19" s="22" t="inlineStr">
        <is>
          <t>SKU-007</t>
        </is>
      </c>
      <c r="C19" s="22" t="inlineStr">
        <is>
          <t>Shop</t>
        </is>
      </c>
      <c r="D19" s="23" t="n">
        <v>4</v>
      </c>
      <c r="E19" s="25" t="n">
        <v>6.58</v>
      </c>
      <c r="F19" s="25" t="n">
        <v>3.42</v>
      </c>
      <c r="G19" s="35">
        <f>IF(OR(B19="",D19=""),"",D19*E19)</f>
        <v/>
      </c>
      <c r="H19" s="35">
        <f>IF(OR(B19="",D19=""),"",D19*VLOOKUP(B19,Inventory!$A$5:$J$104,10,FALSE))</f>
        <v/>
      </c>
      <c r="I19" s="35">
        <f>IF(G19="","",G19-F19-H19)</f>
        <v/>
      </c>
      <c r="J19" s="22" t="inlineStr">
        <is>
          <t>Recent 30-day example sale 2</t>
        </is>
      </c>
    </row>
    <row r="20">
      <c r="A20" s="34" t="n">
        <v>46082</v>
      </c>
      <c r="B20" s="22" t="inlineStr">
        <is>
          <t>SKU-008</t>
        </is>
      </c>
      <c r="C20" s="22" t="inlineStr">
        <is>
          <t>Market</t>
        </is>
      </c>
      <c r="D20" s="23" t="n">
        <v>3</v>
      </c>
      <c r="E20" s="25" t="n">
        <v>7.08</v>
      </c>
      <c r="F20" s="25" t="n">
        <v>2.76</v>
      </c>
      <c r="G20" s="35">
        <f>IF(OR(B20="",D20=""),"",D20*E20)</f>
        <v/>
      </c>
      <c r="H20" s="35">
        <f>IF(OR(B20="",D20=""),"",D20*VLOOKUP(B20,Inventory!$A$5:$J$104,10,FALSE))</f>
        <v/>
      </c>
      <c r="I20" s="35">
        <f>IF(G20="","",G20-F20-H20)</f>
        <v/>
      </c>
      <c r="J20" s="22" t="inlineStr">
        <is>
          <t>Recent 30-day example sale 2</t>
        </is>
      </c>
    </row>
    <row r="21">
      <c r="A21" s="34" t="n">
        <v>46095</v>
      </c>
      <c r="B21" s="22" t="inlineStr">
        <is>
          <t>SKU-001</t>
        </is>
      </c>
      <c r="C21" s="22" t="inlineStr">
        <is>
          <t>Etsy</t>
        </is>
      </c>
      <c r="D21" s="23" t="n">
        <v>9</v>
      </c>
      <c r="E21" s="25" t="n">
        <v>2.75</v>
      </c>
      <c r="F21" s="25" t="n">
        <v>3.22</v>
      </c>
      <c r="G21" s="35">
        <f>IF(OR(B21="",D21=""),"",D21*E21)</f>
        <v/>
      </c>
      <c r="H21" s="35">
        <f>IF(OR(B21="",D21=""),"",D21*VLOOKUP(B21,Inventory!$A$5:$J$104,10,FALSE))</f>
        <v/>
      </c>
      <c r="I21" s="35">
        <f>IF(G21="","",G21-F21-H21)</f>
        <v/>
      </c>
      <c r="J21" s="22" t="inlineStr">
        <is>
          <t>Recent 30-day example sale 3</t>
        </is>
      </c>
    </row>
    <row r="22">
      <c r="A22" s="34" t="n">
        <v>46095</v>
      </c>
      <c r="B22" s="22" t="inlineStr">
        <is>
          <t>SKU-002</t>
        </is>
      </c>
      <c r="C22" s="22" t="inlineStr">
        <is>
          <t>Shop</t>
        </is>
      </c>
      <c r="D22" s="23" t="n">
        <v>7</v>
      </c>
      <c r="E22" s="25" t="n">
        <v>3.25</v>
      </c>
      <c r="F22" s="25" t="n">
        <v>2.96</v>
      </c>
      <c r="G22" s="35">
        <f>IF(OR(B22="",D22=""),"",D22*E22)</f>
        <v/>
      </c>
      <c r="H22" s="35">
        <f>IF(OR(B22="",D22=""),"",D22*VLOOKUP(B22,Inventory!$A$5:$J$104,10,FALSE))</f>
        <v/>
      </c>
      <c r="I22" s="35">
        <f>IF(G22="","",G22-F22-H22)</f>
        <v/>
      </c>
      <c r="J22" s="22" t="inlineStr">
        <is>
          <t>Recent 30-day example sale 3</t>
        </is>
      </c>
    </row>
    <row r="23">
      <c r="A23" s="34" t="n">
        <v>46095</v>
      </c>
      <c r="B23" s="22" t="inlineStr">
        <is>
          <t>SKU-003</t>
        </is>
      </c>
      <c r="C23" s="22" t="inlineStr">
        <is>
          <t>Market</t>
        </is>
      </c>
      <c r="D23" s="23" t="n">
        <v>5</v>
      </c>
      <c r="E23" s="25" t="n">
        <v>3.74</v>
      </c>
      <c r="F23" s="25" t="n">
        <v>2.43</v>
      </c>
      <c r="G23" s="35">
        <f>IF(OR(B23="",D23=""),"",D23*E23)</f>
        <v/>
      </c>
      <c r="H23" s="35">
        <f>IF(OR(B23="",D23=""),"",D23*VLOOKUP(B23,Inventory!$A$5:$J$104,10,FALSE))</f>
        <v/>
      </c>
      <c r="I23" s="35">
        <f>IF(G23="","",G23-F23-H23)</f>
        <v/>
      </c>
      <c r="J23" s="22" t="inlineStr">
        <is>
          <t>Recent 30-day example sale 3</t>
        </is>
      </c>
    </row>
    <row r="24">
      <c r="A24" s="34" t="n">
        <v>46095</v>
      </c>
      <c r="B24" s="22" t="inlineStr">
        <is>
          <t>SKU-004</t>
        </is>
      </c>
      <c r="C24" s="22" t="inlineStr">
        <is>
          <t>Retail</t>
        </is>
      </c>
      <c r="D24" s="23" t="n">
        <v>6</v>
      </c>
      <c r="E24" s="25" t="n">
        <v>4.23</v>
      </c>
      <c r="F24" s="25" t="n">
        <v>3.3</v>
      </c>
      <c r="G24" s="35">
        <f>IF(OR(B24="",D24=""),"",D24*E24)</f>
        <v/>
      </c>
      <c r="H24" s="35">
        <f>IF(OR(B24="",D24=""),"",D24*VLOOKUP(B24,Inventory!$A$5:$J$104,10,FALSE))</f>
        <v/>
      </c>
      <c r="I24" s="35">
        <f>IF(G24="","",G24-F24-H24)</f>
        <v/>
      </c>
      <c r="J24" s="22" t="inlineStr">
        <is>
          <t>Recent 30-day example sale 3</t>
        </is>
      </c>
    </row>
    <row r="25">
      <c r="A25" s="34" t="n">
        <v>46095</v>
      </c>
      <c r="B25" s="22" t="inlineStr">
        <is>
          <t>SKU-005</t>
        </is>
      </c>
      <c r="C25" s="22" t="inlineStr">
        <is>
          <t>Wholesale</t>
        </is>
      </c>
      <c r="D25" s="23" t="n">
        <v>3</v>
      </c>
      <c r="E25" s="25" t="n">
        <v>4.73</v>
      </c>
      <c r="F25" s="25" t="n">
        <v>1.84</v>
      </c>
      <c r="G25" s="35">
        <f>IF(OR(B25="",D25=""),"",D25*E25)</f>
        <v/>
      </c>
      <c r="H25" s="35">
        <f>IF(OR(B25="",D25=""),"",D25*VLOOKUP(B25,Inventory!$A$5:$J$104,10,FALSE))</f>
        <v/>
      </c>
      <c r="I25" s="35">
        <f>IF(G25="","",G25-F25-H25)</f>
        <v/>
      </c>
      <c r="J25" s="22" t="inlineStr">
        <is>
          <t>Recent 30-day example sale 3</t>
        </is>
      </c>
    </row>
    <row r="26">
      <c r="A26" s="34" t="n">
        <v>46095</v>
      </c>
      <c r="B26" s="22" t="inlineStr">
        <is>
          <t>SKU-006</t>
        </is>
      </c>
      <c r="C26" s="22" t="inlineStr">
        <is>
          <t>Etsy</t>
        </is>
      </c>
      <c r="D26" s="23" t="n">
        <v>5</v>
      </c>
      <c r="E26" s="25" t="n">
        <v>6.09</v>
      </c>
      <c r="F26" s="25" t="n">
        <v>3.96</v>
      </c>
      <c r="G26" s="35">
        <f>IF(OR(B26="",D26=""),"",D26*E26)</f>
        <v/>
      </c>
      <c r="H26" s="35">
        <f>IF(OR(B26="",D26=""),"",D26*VLOOKUP(B26,Inventory!$A$5:$J$104,10,FALSE))</f>
        <v/>
      </c>
      <c r="I26" s="35">
        <f>IF(G26="","",G26-F26-H26)</f>
        <v/>
      </c>
      <c r="J26" s="22" t="inlineStr">
        <is>
          <t>Recent 30-day example sale 3</t>
        </is>
      </c>
    </row>
    <row r="27">
      <c r="A27" s="34" t="n">
        <v>46095</v>
      </c>
      <c r="B27" s="22" t="inlineStr">
        <is>
          <t>SKU-007</t>
        </is>
      </c>
      <c r="C27" s="22" t="inlineStr">
        <is>
          <t>Shop</t>
        </is>
      </c>
      <c r="D27" s="23" t="n">
        <v>4</v>
      </c>
      <c r="E27" s="25" t="n">
        <v>6.58</v>
      </c>
      <c r="F27" s="25" t="n">
        <v>3.42</v>
      </c>
      <c r="G27" s="35">
        <f>IF(OR(B27="",D27=""),"",D27*E27)</f>
        <v/>
      </c>
      <c r="H27" s="35">
        <f>IF(OR(B27="",D27=""),"",D27*VLOOKUP(B27,Inventory!$A$5:$J$104,10,FALSE))</f>
        <v/>
      </c>
      <c r="I27" s="35">
        <f>IF(G27="","",G27-F27-H27)</f>
        <v/>
      </c>
      <c r="J27" s="22" t="inlineStr">
        <is>
          <t>Recent 30-day example sale 3</t>
        </is>
      </c>
    </row>
    <row r="28">
      <c r="A28" s="34" t="n">
        <v>46095</v>
      </c>
      <c r="B28" s="22" t="inlineStr">
        <is>
          <t>SKU-008</t>
        </is>
      </c>
      <c r="C28" s="22" t="inlineStr">
        <is>
          <t>Market</t>
        </is>
      </c>
      <c r="D28" s="23" t="n">
        <v>4</v>
      </c>
      <c r="E28" s="25" t="n">
        <v>7.08</v>
      </c>
      <c r="F28" s="25" t="n">
        <v>3.68</v>
      </c>
      <c r="G28" s="35">
        <f>IF(OR(B28="",D28=""),"",D28*E28)</f>
        <v/>
      </c>
      <c r="H28" s="35">
        <f>IF(OR(B28="",D28=""),"",D28*VLOOKUP(B28,Inventory!$A$5:$J$104,10,FALSE))</f>
        <v/>
      </c>
      <c r="I28" s="35">
        <f>IF(G28="","",G28-F28-H28)</f>
        <v/>
      </c>
      <c r="J28" s="22" t="inlineStr">
        <is>
          <t>Recent 30-day example sale 3</t>
        </is>
      </c>
    </row>
    <row r="29">
      <c r="A29" s="34" t="inlineStr"/>
      <c r="B29" s="22" t="inlineStr"/>
      <c r="C29" s="22" t="inlineStr"/>
      <c r="D29" s="23" t="inlineStr"/>
      <c r="E29" s="25" t="inlineStr"/>
      <c r="F29" s="25" t="inlineStr"/>
      <c r="G29" s="35">
        <f>IF(OR(B29="",D29=""),"",D29*E29)</f>
        <v/>
      </c>
      <c r="H29" s="35">
        <f>IF(OR(B29="",D29=""),"",D29*VLOOKUP(B29,Inventory!$A$5:$J$104,10,FALSE))</f>
        <v/>
      </c>
      <c r="I29" s="35">
        <f>IF(G29="","",G29-F29-H29)</f>
        <v/>
      </c>
      <c r="J29" s="22" t="inlineStr"/>
    </row>
    <row r="30">
      <c r="A30" s="34" t="inlineStr"/>
      <c r="B30" s="22" t="inlineStr"/>
      <c r="C30" s="22" t="inlineStr"/>
      <c r="D30" s="23" t="inlineStr"/>
      <c r="E30" s="25" t="inlineStr"/>
      <c r="F30" s="25" t="inlineStr"/>
      <c r="G30" s="35">
        <f>IF(OR(B30="",D30=""),"",D30*E30)</f>
        <v/>
      </c>
      <c r="H30" s="35">
        <f>IF(OR(B30="",D30=""),"",D30*VLOOKUP(B30,Inventory!$A$5:$J$104,10,FALSE))</f>
        <v/>
      </c>
      <c r="I30" s="35">
        <f>IF(G30="","",G30-F30-H30)</f>
        <v/>
      </c>
      <c r="J30" s="22" t="inlineStr"/>
    </row>
    <row r="31">
      <c r="A31" s="34" t="inlineStr"/>
      <c r="B31" s="22" t="inlineStr"/>
      <c r="C31" s="22" t="inlineStr"/>
      <c r="D31" s="23" t="inlineStr"/>
      <c r="E31" s="25" t="inlineStr"/>
      <c r="F31" s="25" t="inlineStr"/>
      <c r="G31" s="35">
        <f>IF(OR(B31="",D31=""),"",D31*E31)</f>
        <v/>
      </c>
      <c r="H31" s="35">
        <f>IF(OR(B31="",D31=""),"",D31*VLOOKUP(B31,Inventory!$A$5:$J$104,10,FALSE))</f>
        <v/>
      </c>
      <c r="I31" s="35">
        <f>IF(G31="","",G31-F31-H31)</f>
        <v/>
      </c>
      <c r="J31" s="22" t="inlineStr"/>
    </row>
    <row r="32">
      <c r="A32" s="34" t="inlineStr"/>
      <c r="B32" s="22" t="inlineStr"/>
      <c r="C32" s="22" t="inlineStr"/>
      <c r="D32" s="23" t="inlineStr"/>
      <c r="E32" s="25" t="inlineStr"/>
      <c r="F32" s="25" t="inlineStr"/>
      <c r="G32" s="35">
        <f>IF(OR(B32="",D32=""),"",D32*E32)</f>
        <v/>
      </c>
      <c r="H32" s="35">
        <f>IF(OR(B32="",D32=""),"",D32*VLOOKUP(B32,Inventory!$A$5:$J$104,10,FALSE))</f>
        <v/>
      </c>
      <c r="I32" s="35">
        <f>IF(G32="","",G32-F32-H32)</f>
        <v/>
      </c>
      <c r="J32" s="22" t="inlineStr"/>
    </row>
    <row r="33">
      <c r="A33" s="34" t="inlineStr"/>
      <c r="B33" s="22" t="inlineStr"/>
      <c r="C33" s="22" t="inlineStr"/>
      <c r="D33" s="23" t="inlineStr"/>
      <c r="E33" s="25" t="inlineStr"/>
      <c r="F33" s="25" t="inlineStr"/>
      <c r="G33" s="35">
        <f>IF(OR(B33="",D33=""),"",D33*E33)</f>
        <v/>
      </c>
      <c r="H33" s="35">
        <f>IF(OR(B33="",D33=""),"",D33*VLOOKUP(B33,Inventory!$A$5:$J$104,10,FALSE))</f>
        <v/>
      </c>
      <c r="I33" s="35">
        <f>IF(G33="","",G33-F33-H33)</f>
        <v/>
      </c>
      <c r="J33" s="22" t="inlineStr"/>
    </row>
    <row r="34">
      <c r="A34" s="34" t="inlineStr"/>
      <c r="B34" s="22" t="inlineStr"/>
      <c r="C34" s="22" t="inlineStr"/>
      <c r="D34" s="23" t="inlineStr"/>
      <c r="E34" s="25" t="inlineStr"/>
      <c r="F34" s="25" t="inlineStr"/>
      <c r="G34" s="35">
        <f>IF(OR(B34="",D34=""),"",D34*E34)</f>
        <v/>
      </c>
      <c r="H34" s="35">
        <f>IF(OR(B34="",D34=""),"",D34*VLOOKUP(B34,Inventory!$A$5:$J$104,10,FALSE))</f>
        <v/>
      </c>
      <c r="I34" s="35">
        <f>IF(G34="","",G34-F34-H34)</f>
        <v/>
      </c>
      <c r="J34" s="22" t="inlineStr"/>
    </row>
    <row r="35">
      <c r="A35" s="34" t="inlineStr"/>
      <c r="B35" s="22" t="inlineStr"/>
      <c r="C35" s="22" t="inlineStr"/>
      <c r="D35" s="23" t="inlineStr"/>
      <c r="E35" s="25" t="inlineStr"/>
      <c r="F35" s="25" t="inlineStr"/>
      <c r="G35" s="35">
        <f>IF(OR(B35="",D35=""),"",D35*E35)</f>
        <v/>
      </c>
      <c r="H35" s="35">
        <f>IF(OR(B35="",D35=""),"",D35*VLOOKUP(B35,Inventory!$A$5:$J$104,10,FALSE))</f>
        <v/>
      </c>
      <c r="I35" s="35">
        <f>IF(G35="","",G35-F35-H35)</f>
        <v/>
      </c>
      <c r="J35" s="22" t="inlineStr"/>
    </row>
    <row r="36">
      <c r="A36" s="34" t="inlineStr"/>
      <c r="B36" s="22" t="inlineStr"/>
      <c r="C36" s="22" t="inlineStr"/>
      <c r="D36" s="23" t="inlineStr"/>
      <c r="E36" s="25" t="inlineStr"/>
      <c r="F36" s="25" t="inlineStr"/>
      <c r="G36" s="35">
        <f>IF(OR(B36="",D36=""),"",D36*E36)</f>
        <v/>
      </c>
      <c r="H36" s="35">
        <f>IF(OR(B36="",D36=""),"",D36*VLOOKUP(B36,Inventory!$A$5:$J$104,10,FALSE))</f>
        <v/>
      </c>
      <c r="I36" s="35">
        <f>IF(G36="","",G36-F36-H36)</f>
        <v/>
      </c>
      <c r="J36" s="22" t="inlineStr"/>
    </row>
    <row r="37">
      <c r="A37" s="34" t="inlineStr"/>
      <c r="B37" s="22" t="inlineStr"/>
      <c r="C37" s="22" t="inlineStr"/>
      <c r="D37" s="23" t="inlineStr"/>
      <c r="E37" s="25" t="inlineStr"/>
      <c r="F37" s="25" t="inlineStr"/>
      <c r="G37" s="35">
        <f>IF(OR(B37="",D37=""),"",D37*E37)</f>
        <v/>
      </c>
      <c r="H37" s="35">
        <f>IF(OR(B37="",D37=""),"",D37*VLOOKUP(B37,Inventory!$A$5:$J$104,10,FALSE))</f>
        <v/>
      </c>
      <c r="I37" s="35">
        <f>IF(G37="","",G37-F37-H37)</f>
        <v/>
      </c>
      <c r="J37" s="22" t="inlineStr"/>
    </row>
    <row r="38">
      <c r="A38" s="34" t="inlineStr"/>
      <c r="B38" s="22" t="inlineStr"/>
      <c r="C38" s="22" t="inlineStr"/>
      <c r="D38" s="23" t="inlineStr"/>
      <c r="E38" s="25" t="inlineStr"/>
      <c r="F38" s="25" t="inlineStr"/>
      <c r="G38" s="35">
        <f>IF(OR(B38="",D38=""),"",D38*E38)</f>
        <v/>
      </c>
      <c r="H38" s="35">
        <f>IF(OR(B38="",D38=""),"",D38*VLOOKUP(B38,Inventory!$A$5:$J$104,10,FALSE))</f>
        <v/>
      </c>
      <c r="I38" s="35">
        <f>IF(G38="","",G38-F38-H38)</f>
        <v/>
      </c>
      <c r="J38" s="22" t="inlineStr"/>
    </row>
    <row r="39">
      <c r="A39" s="34" t="inlineStr"/>
      <c r="B39" s="22" t="inlineStr"/>
      <c r="C39" s="22" t="inlineStr"/>
      <c r="D39" s="23" t="inlineStr"/>
      <c r="E39" s="25" t="inlineStr"/>
      <c r="F39" s="25" t="inlineStr"/>
      <c r="G39" s="35">
        <f>IF(OR(B39="",D39=""),"",D39*E39)</f>
        <v/>
      </c>
      <c r="H39" s="35">
        <f>IF(OR(B39="",D39=""),"",D39*VLOOKUP(B39,Inventory!$A$5:$J$104,10,FALSE))</f>
        <v/>
      </c>
      <c r="I39" s="35">
        <f>IF(G39="","",G39-F39-H39)</f>
        <v/>
      </c>
      <c r="J39" s="22" t="inlineStr"/>
    </row>
    <row r="40">
      <c r="A40" s="34" t="inlineStr"/>
      <c r="B40" s="22" t="inlineStr"/>
      <c r="C40" s="22" t="inlineStr"/>
      <c r="D40" s="23" t="inlineStr"/>
      <c r="E40" s="25" t="inlineStr"/>
      <c r="F40" s="25" t="inlineStr"/>
      <c r="G40" s="35">
        <f>IF(OR(B40="",D40=""),"",D40*E40)</f>
        <v/>
      </c>
      <c r="H40" s="35">
        <f>IF(OR(B40="",D40=""),"",D40*VLOOKUP(B40,Inventory!$A$5:$J$104,10,FALSE))</f>
        <v/>
      </c>
      <c r="I40" s="35">
        <f>IF(G40="","",G40-F40-H40)</f>
        <v/>
      </c>
      <c r="J40" s="22" t="inlineStr"/>
    </row>
    <row r="41">
      <c r="A41" s="34" t="inlineStr"/>
      <c r="B41" s="22" t="inlineStr"/>
      <c r="C41" s="22" t="inlineStr"/>
      <c r="D41" s="23" t="inlineStr"/>
      <c r="E41" s="25" t="inlineStr"/>
      <c r="F41" s="25" t="inlineStr"/>
      <c r="G41" s="35">
        <f>IF(OR(B41="",D41=""),"",D41*E41)</f>
        <v/>
      </c>
      <c r="H41" s="35">
        <f>IF(OR(B41="",D41=""),"",D41*VLOOKUP(B41,Inventory!$A$5:$J$104,10,FALSE))</f>
        <v/>
      </c>
      <c r="I41" s="35">
        <f>IF(G41="","",G41-F41-H41)</f>
        <v/>
      </c>
      <c r="J41" s="22" t="inlineStr"/>
    </row>
    <row r="42">
      <c r="A42" s="34" t="inlineStr"/>
      <c r="B42" s="22" t="inlineStr"/>
      <c r="C42" s="22" t="inlineStr"/>
      <c r="D42" s="23" t="inlineStr"/>
      <c r="E42" s="25" t="inlineStr"/>
      <c r="F42" s="25" t="inlineStr"/>
      <c r="G42" s="35">
        <f>IF(OR(B42="",D42=""),"",D42*E42)</f>
        <v/>
      </c>
      <c r="H42" s="35">
        <f>IF(OR(B42="",D42=""),"",D42*VLOOKUP(B42,Inventory!$A$5:$J$104,10,FALSE))</f>
        <v/>
      </c>
      <c r="I42" s="35">
        <f>IF(G42="","",G42-F42-H42)</f>
        <v/>
      </c>
      <c r="J42" s="22" t="inlineStr"/>
    </row>
    <row r="43">
      <c r="A43" s="34" t="inlineStr"/>
      <c r="B43" s="22" t="inlineStr"/>
      <c r="C43" s="22" t="inlineStr"/>
      <c r="D43" s="23" t="inlineStr"/>
      <c r="E43" s="25" t="inlineStr"/>
      <c r="F43" s="25" t="inlineStr"/>
      <c r="G43" s="35">
        <f>IF(OR(B43="",D43=""),"",D43*E43)</f>
        <v/>
      </c>
      <c r="H43" s="35">
        <f>IF(OR(B43="",D43=""),"",D43*VLOOKUP(B43,Inventory!$A$5:$J$104,10,FALSE))</f>
        <v/>
      </c>
      <c r="I43" s="35">
        <f>IF(G43="","",G43-F43-H43)</f>
        <v/>
      </c>
      <c r="J43" s="22" t="inlineStr"/>
    </row>
    <row r="44">
      <c r="A44" s="34" t="inlineStr"/>
      <c r="B44" s="22" t="inlineStr"/>
      <c r="C44" s="22" t="inlineStr"/>
      <c r="D44" s="23" t="inlineStr"/>
      <c r="E44" s="25" t="inlineStr"/>
      <c r="F44" s="25" t="inlineStr"/>
      <c r="G44" s="35">
        <f>IF(OR(B44="",D44=""),"",D44*E44)</f>
        <v/>
      </c>
      <c r="H44" s="35">
        <f>IF(OR(B44="",D44=""),"",D44*VLOOKUP(B44,Inventory!$A$5:$J$104,10,FALSE))</f>
        <v/>
      </c>
      <c r="I44" s="35">
        <f>IF(G44="","",G44-F44-H44)</f>
        <v/>
      </c>
      <c r="J44" s="22" t="inlineStr"/>
    </row>
    <row r="45">
      <c r="A45" s="34" t="inlineStr"/>
      <c r="B45" s="22" t="inlineStr"/>
      <c r="C45" s="22" t="inlineStr"/>
      <c r="D45" s="23" t="inlineStr"/>
      <c r="E45" s="25" t="inlineStr"/>
      <c r="F45" s="25" t="inlineStr"/>
      <c r="G45" s="35">
        <f>IF(OR(B45="",D45=""),"",D45*E45)</f>
        <v/>
      </c>
      <c r="H45" s="35">
        <f>IF(OR(B45="",D45=""),"",D45*VLOOKUP(B45,Inventory!$A$5:$J$104,10,FALSE))</f>
        <v/>
      </c>
      <c r="I45" s="35">
        <f>IF(G45="","",G45-F45-H45)</f>
        <v/>
      </c>
      <c r="J45" s="22" t="inlineStr"/>
    </row>
    <row r="46">
      <c r="A46" s="34" t="inlineStr"/>
      <c r="B46" s="22" t="inlineStr"/>
      <c r="C46" s="22" t="inlineStr"/>
      <c r="D46" s="23" t="inlineStr"/>
      <c r="E46" s="25" t="inlineStr"/>
      <c r="F46" s="25" t="inlineStr"/>
      <c r="G46" s="35">
        <f>IF(OR(B46="",D46=""),"",D46*E46)</f>
        <v/>
      </c>
      <c r="H46" s="35">
        <f>IF(OR(B46="",D46=""),"",D46*VLOOKUP(B46,Inventory!$A$5:$J$104,10,FALSE))</f>
        <v/>
      </c>
      <c r="I46" s="35">
        <f>IF(G46="","",G46-F46-H46)</f>
        <v/>
      </c>
      <c r="J46" s="22" t="inlineStr"/>
    </row>
    <row r="47">
      <c r="A47" s="34" t="inlineStr"/>
      <c r="B47" s="22" t="inlineStr"/>
      <c r="C47" s="22" t="inlineStr"/>
      <c r="D47" s="23" t="inlineStr"/>
      <c r="E47" s="25" t="inlineStr"/>
      <c r="F47" s="25" t="inlineStr"/>
      <c r="G47" s="35">
        <f>IF(OR(B47="",D47=""),"",D47*E47)</f>
        <v/>
      </c>
      <c r="H47" s="35">
        <f>IF(OR(B47="",D47=""),"",D47*VLOOKUP(B47,Inventory!$A$5:$J$104,10,FALSE))</f>
        <v/>
      </c>
      <c r="I47" s="35">
        <f>IF(G47="","",G47-F47-H47)</f>
        <v/>
      </c>
      <c r="J47" s="22" t="inlineStr"/>
    </row>
    <row r="48">
      <c r="A48" s="34" t="inlineStr"/>
      <c r="B48" s="22" t="inlineStr"/>
      <c r="C48" s="22" t="inlineStr"/>
      <c r="D48" s="23" t="inlineStr"/>
      <c r="E48" s="25" t="inlineStr"/>
      <c r="F48" s="25" t="inlineStr"/>
      <c r="G48" s="35">
        <f>IF(OR(B48="",D48=""),"",D48*E48)</f>
        <v/>
      </c>
      <c r="H48" s="35">
        <f>IF(OR(B48="",D48=""),"",D48*VLOOKUP(B48,Inventory!$A$5:$J$104,10,FALSE))</f>
        <v/>
      </c>
      <c r="I48" s="35">
        <f>IF(G48="","",G48-F48-H48)</f>
        <v/>
      </c>
      <c r="J48" s="22" t="inlineStr"/>
    </row>
    <row r="49">
      <c r="A49" s="34" t="inlineStr"/>
      <c r="B49" s="22" t="inlineStr"/>
      <c r="C49" s="22" t="inlineStr"/>
      <c r="D49" s="23" t="inlineStr"/>
      <c r="E49" s="25" t="inlineStr"/>
      <c r="F49" s="25" t="inlineStr"/>
      <c r="G49" s="35">
        <f>IF(OR(B49="",D49=""),"",D49*E49)</f>
        <v/>
      </c>
      <c r="H49" s="35">
        <f>IF(OR(B49="",D49=""),"",D49*VLOOKUP(B49,Inventory!$A$5:$J$104,10,FALSE))</f>
        <v/>
      </c>
      <c r="I49" s="35">
        <f>IF(G49="","",G49-F49-H49)</f>
        <v/>
      </c>
      <c r="J49" s="22" t="inlineStr"/>
    </row>
    <row r="50">
      <c r="A50" s="34" t="inlineStr"/>
      <c r="B50" s="22" t="inlineStr"/>
      <c r="C50" s="22" t="inlineStr"/>
      <c r="D50" s="23" t="inlineStr"/>
      <c r="E50" s="25" t="inlineStr"/>
      <c r="F50" s="25" t="inlineStr"/>
      <c r="G50" s="35">
        <f>IF(OR(B50="",D50=""),"",D50*E50)</f>
        <v/>
      </c>
      <c r="H50" s="35">
        <f>IF(OR(B50="",D50=""),"",D50*VLOOKUP(B50,Inventory!$A$5:$J$104,10,FALSE))</f>
        <v/>
      </c>
      <c r="I50" s="35">
        <f>IF(G50="","",G50-F50-H50)</f>
        <v/>
      </c>
      <c r="J50" s="22" t="inlineStr"/>
    </row>
    <row r="51">
      <c r="A51" s="34" t="inlineStr"/>
      <c r="B51" s="22" t="inlineStr"/>
      <c r="C51" s="22" t="inlineStr"/>
      <c r="D51" s="23" t="inlineStr"/>
      <c r="E51" s="25" t="inlineStr"/>
      <c r="F51" s="25" t="inlineStr"/>
      <c r="G51" s="35">
        <f>IF(OR(B51="",D51=""),"",D51*E51)</f>
        <v/>
      </c>
      <c r="H51" s="35">
        <f>IF(OR(B51="",D51=""),"",D51*VLOOKUP(B51,Inventory!$A$5:$J$104,10,FALSE))</f>
        <v/>
      </c>
      <c r="I51" s="35">
        <f>IF(G51="","",G51-F51-H51)</f>
        <v/>
      </c>
      <c r="J51" s="22" t="inlineStr"/>
    </row>
    <row r="52">
      <c r="A52" s="34" t="inlineStr"/>
      <c r="B52" s="22" t="inlineStr"/>
      <c r="C52" s="22" t="inlineStr"/>
      <c r="D52" s="23" t="inlineStr"/>
      <c r="E52" s="25" t="inlineStr"/>
      <c r="F52" s="25" t="inlineStr"/>
      <c r="G52" s="35">
        <f>IF(OR(B52="",D52=""),"",D52*E52)</f>
        <v/>
      </c>
      <c r="H52" s="35">
        <f>IF(OR(B52="",D52=""),"",D52*VLOOKUP(B52,Inventory!$A$5:$J$104,10,FALSE))</f>
        <v/>
      </c>
      <c r="I52" s="35">
        <f>IF(G52="","",G52-F52-H52)</f>
        <v/>
      </c>
      <c r="J52" s="22" t="inlineStr"/>
    </row>
    <row r="53">
      <c r="A53" s="34" t="inlineStr"/>
      <c r="B53" s="22" t="inlineStr"/>
      <c r="C53" s="22" t="inlineStr"/>
      <c r="D53" s="23" t="inlineStr"/>
      <c r="E53" s="25" t="inlineStr"/>
      <c r="F53" s="25" t="inlineStr"/>
      <c r="G53" s="35">
        <f>IF(OR(B53="",D53=""),"",D53*E53)</f>
        <v/>
      </c>
      <c r="H53" s="35">
        <f>IF(OR(B53="",D53=""),"",D53*VLOOKUP(B53,Inventory!$A$5:$J$104,10,FALSE))</f>
        <v/>
      </c>
      <c r="I53" s="35">
        <f>IF(G53="","",G53-F53-H53)</f>
        <v/>
      </c>
      <c r="J53" s="22" t="inlineStr"/>
    </row>
    <row r="54">
      <c r="A54" s="34" t="inlineStr"/>
      <c r="B54" s="22" t="inlineStr"/>
      <c r="C54" s="22" t="inlineStr"/>
      <c r="D54" s="23" t="inlineStr"/>
      <c r="E54" s="25" t="inlineStr"/>
      <c r="F54" s="25" t="inlineStr"/>
      <c r="G54" s="35">
        <f>IF(OR(B54="",D54=""),"",D54*E54)</f>
        <v/>
      </c>
      <c r="H54" s="35">
        <f>IF(OR(B54="",D54=""),"",D54*VLOOKUP(B54,Inventory!$A$5:$J$104,10,FALSE))</f>
        <v/>
      </c>
      <c r="I54" s="35">
        <f>IF(G54="","",G54-F54-H54)</f>
        <v/>
      </c>
      <c r="J54" s="22" t="inlineStr"/>
    </row>
    <row r="55">
      <c r="A55" s="34" t="inlineStr"/>
      <c r="B55" s="22" t="inlineStr"/>
      <c r="C55" s="22" t="inlineStr"/>
      <c r="D55" s="23" t="inlineStr"/>
      <c r="E55" s="25" t="inlineStr"/>
      <c r="F55" s="25" t="inlineStr"/>
      <c r="G55" s="35">
        <f>IF(OR(B55="",D55=""),"",D55*E55)</f>
        <v/>
      </c>
      <c r="H55" s="35">
        <f>IF(OR(B55="",D55=""),"",D55*VLOOKUP(B55,Inventory!$A$5:$J$104,10,FALSE))</f>
        <v/>
      </c>
      <c r="I55" s="35">
        <f>IF(G55="","",G55-F55-H55)</f>
        <v/>
      </c>
      <c r="J55" s="22" t="inlineStr"/>
    </row>
    <row r="56">
      <c r="A56" s="34" t="inlineStr"/>
      <c r="B56" s="22" t="inlineStr"/>
      <c r="C56" s="22" t="inlineStr"/>
      <c r="D56" s="23" t="inlineStr"/>
      <c r="E56" s="25" t="inlineStr"/>
      <c r="F56" s="25" t="inlineStr"/>
      <c r="G56" s="35">
        <f>IF(OR(B56="",D56=""),"",D56*E56)</f>
        <v/>
      </c>
      <c r="H56" s="35">
        <f>IF(OR(B56="",D56=""),"",D56*VLOOKUP(B56,Inventory!$A$5:$J$104,10,FALSE))</f>
        <v/>
      </c>
      <c r="I56" s="35">
        <f>IF(G56="","",G56-F56-H56)</f>
        <v/>
      </c>
      <c r="J56" s="22" t="inlineStr"/>
    </row>
    <row r="57">
      <c r="A57" s="34" t="inlineStr"/>
      <c r="B57" s="22" t="inlineStr"/>
      <c r="C57" s="22" t="inlineStr"/>
      <c r="D57" s="23" t="inlineStr"/>
      <c r="E57" s="25" t="inlineStr"/>
      <c r="F57" s="25" t="inlineStr"/>
      <c r="G57" s="35">
        <f>IF(OR(B57="",D57=""),"",D57*E57)</f>
        <v/>
      </c>
      <c r="H57" s="35">
        <f>IF(OR(B57="",D57=""),"",D57*VLOOKUP(B57,Inventory!$A$5:$J$104,10,FALSE))</f>
        <v/>
      </c>
      <c r="I57" s="35">
        <f>IF(G57="","",G57-F57-H57)</f>
        <v/>
      </c>
      <c r="J57" s="22" t="inlineStr"/>
    </row>
    <row r="58">
      <c r="A58" s="34" t="inlineStr"/>
      <c r="B58" s="22" t="inlineStr"/>
      <c r="C58" s="22" t="inlineStr"/>
      <c r="D58" s="23" t="inlineStr"/>
      <c r="E58" s="25" t="inlineStr"/>
      <c r="F58" s="25" t="inlineStr"/>
      <c r="G58" s="35">
        <f>IF(OR(B58="",D58=""),"",D58*E58)</f>
        <v/>
      </c>
      <c r="H58" s="35">
        <f>IF(OR(B58="",D58=""),"",D58*VLOOKUP(B58,Inventory!$A$5:$J$104,10,FALSE))</f>
        <v/>
      </c>
      <c r="I58" s="35">
        <f>IF(G58="","",G58-F58-H58)</f>
        <v/>
      </c>
      <c r="J58" s="22" t="inlineStr"/>
    </row>
    <row r="59">
      <c r="A59" s="34" t="inlineStr"/>
      <c r="B59" s="22" t="inlineStr"/>
      <c r="C59" s="22" t="inlineStr"/>
      <c r="D59" s="23" t="inlineStr"/>
      <c r="E59" s="25" t="inlineStr"/>
      <c r="F59" s="25" t="inlineStr"/>
      <c r="G59" s="35">
        <f>IF(OR(B59="",D59=""),"",D59*E59)</f>
        <v/>
      </c>
      <c r="H59" s="35">
        <f>IF(OR(B59="",D59=""),"",D59*VLOOKUP(B59,Inventory!$A$5:$J$104,10,FALSE))</f>
        <v/>
      </c>
      <c r="I59" s="35">
        <f>IF(G59="","",G59-F59-H59)</f>
        <v/>
      </c>
      <c r="J59" s="22" t="inlineStr"/>
    </row>
    <row r="60">
      <c r="A60" s="34" t="inlineStr"/>
      <c r="B60" s="22" t="inlineStr"/>
      <c r="C60" s="22" t="inlineStr"/>
      <c r="D60" s="23" t="inlineStr"/>
      <c r="E60" s="25" t="inlineStr"/>
      <c r="F60" s="25" t="inlineStr"/>
      <c r="G60" s="35">
        <f>IF(OR(B60="",D60=""),"",D60*E60)</f>
        <v/>
      </c>
      <c r="H60" s="35">
        <f>IF(OR(B60="",D60=""),"",D60*VLOOKUP(B60,Inventory!$A$5:$J$104,10,FALSE))</f>
        <v/>
      </c>
      <c r="I60" s="35">
        <f>IF(G60="","",G60-F60-H60)</f>
        <v/>
      </c>
      <c r="J60" s="22" t="inlineStr"/>
    </row>
    <row r="61">
      <c r="A61" s="34" t="inlineStr"/>
      <c r="B61" s="22" t="inlineStr"/>
      <c r="C61" s="22" t="inlineStr"/>
      <c r="D61" s="23" t="inlineStr"/>
      <c r="E61" s="25" t="inlineStr"/>
      <c r="F61" s="25" t="inlineStr"/>
      <c r="G61" s="35">
        <f>IF(OR(B61="",D61=""),"",D61*E61)</f>
        <v/>
      </c>
      <c r="H61" s="35">
        <f>IF(OR(B61="",D61=""),"",D61*VLOOKUP(B61,Inventory!$A$5:$J$104,10,FALSE))</f>
        <v/>
      </c>
      <c r="I61" s="35">
        <f>IF(G61="","",G61-F61-H61)</f>
        <v/>
      </c>
      <c r="J61" s="22" t="inlineStr"/>
    </row>
    <row r="62">
      <c r="A62" s="34" t="inlineStr"/>
      <c r="B62" s="22" t="inlineStr"/>
      <c r="C62" s="22" t="inlineStr"/>
      <c r="D62" s="23" t="inlineStr"/>
      <c r="E62" s="25" t="inlineStr"/>
      <c r="F62" s="25" t="inlineStr"/>
      <c r="G62" s="35">
        <f>IF(OR(B62="",D62=""),"",D62*E62)</f>
        <v/>
      </c>
      <c r="H62" s="35">
        <f>IF(OR(B62="",D62=""),"",D62*VLOOKUP(B62,Inventory!$A$5:$J$104,10,FALSE))</f>
        <v/>
      </c>
      <c r="I62" s="35">
        <f>IF(G62="","",G62-F62-H62)</f>
        <v/>
      </c>
      <c r="J62" s="22" t="inlineStr"/>
    </row>
    <row r="63">
      <c r="A63" s="34" t="inlineStr"/>
      <c r="B63" s="22" t="inlineStr"/>
      <c r="C63" s="22" t="inlineStr"/>
      <c r="D63" s="23" t="inlineStr"/>
      <c r="E63" s="25" t="inlineStr"/>
      <c r="F63" s="25" t="inlineStr"/>
      <c r="G63" s="35">
        <f>IF(OR(B63="",D63=""),"",D63*E63)</f>
        <v/>
      </c>
      <c r="H63" s="35">
        <f>IF(OR(B63="",D63=""),"",D63*VLOOKUP(B63,Inventory!$A$5:$J$104,10,FALSE))</f>
        <v/>
      </c>
      <c r="I63" s="35">
        <f>IF(G63="","",G63-F63-H63)</f>
        <v/>
      </c>
      <c r="J63" s="22" t="inlineStr"/>
    </row>
    <row r="64">
      <c r="A64" s="34" t="inlineStr"/>
      <c r="B64" s="22" t="inlineStr"/>
      <c r="C64" s="22" t="inlineStr"/>
      <c r="D64" s="23" t="inlineStr"/>
      <c r="E64" s="25" t="inlineStr"/>
      <c r="F64" s="25" t="inlineStr"/>
      <c r="G64" s="35">
        <f>IF(OR(B64="",D64=""),"",D64*E64)</f>
        <v/>
      </c>
      <c r="H64" s="35">
        <f>IF(OR(B64="",D64=""),"",D64*VLOOKUP(B64,Inventory!$A$5:$J$104,10,FALSE))</f>
        <v/>
      </c>
      <c r="I64" s="35">
        <f>IF(G64="","",G64-F64-H64)</f>
        <v/>
      </c>
      <c r="J64" s="22" t="inlineStr"/>
    </row>
    <row r="65">
      <c r="A65" s="34" t="inlineStr"/>
      <c r="B65" s="22" t="inlineStr"/>
      <c r="C65" s="22" t="inlineStr"/>
      <c r="D65" s="23" t="inlineStr"/>
      <c r="E65" s="25" t="inlineStr"/>
      <c r="F65" s="25" t="inlineStr"/>
      <c r="G65" s="35">
        <f>IF(OR(B65="",D65=""),"",D65*E65)</f>
        <v/>
      </c>
      <c r="H65" s="35">
        <f>IF(OR(B65="",D65=""),"",D65*VLOOKUP(B65,Inventory!$A$5:$J$104,10,FALSE))</f>
        <v/>
      </c>
      <c r="I65" s="35">
        <f>IF(G65="","",G65-F65-H65)</f>
        <v/>
      </c>
      <c r="J65" s="22" t="inlineStr"/>
    </row>
    <row r="66">
      <c r="A66" s="34" t="inlineStr"/>
      <c r="B66" s="22" t="inlineStr"/>
      <c r="C66" s="22" t="inlineStr"/>
      <c r="D66" s="23" t="inlineStr"/>
      <c r="E66" s="25" t="inlineStr"/>
      <c r="F66" s="25" t="inlineStr"/>
      <c r="G66" s="35">
        <f>IF(OR(B66="",D66=""),"",D66*E66)</f>
        <v/>
      </c>
      <c r="H66" s="35">
        <f>IF(OR(B66="",D66=""),"",D66*VLOOKUP(B66,Inventory!$A$5:$J$104,10,FALSE))</f>
        <v/>
      </c>
      <c r="I66" s="35">
        <f>IF(G66="","",G66-F66-H66)</f>
        <v/>
      </c>
      <c r="J66" s="22" t="inlineStr"/>
    </row>
    <row r="67">
      <c r="A67" s="34" t="inlineStr"/>
      <c r="B67" s="22" t="inlineStr"/>
      <c r="C67" s="22" t="inlineStr"/>
      <c r="D67" s="23" t="inlineStr"/>
      <c r="E67" s="25" t="inlineStr"/>
      <c r="F67" s="25" t="inlineStr"/>
      <c r="G67" s="35">
        <f>IF(OR(B67="",D67=""),"",D67*E67)</f>
        <v/>
      </c>
      <c r="H67" s="35">
        <f>IF(OR(B67="",D67=""),"",D67*VLOOKUP(B67,Inventory!$A$5:$J$104,10,FALSE))</f>
        <v/>
      </c>
      <c r="I67" s="35">
        <f>IF(G67="","",G67-F67-H67)</f>
        <v/>
      </c>
      <c r="J67" s="22" t="inlineStr"/>
    </row>
    <row r="68">
      <c r="A68" s="34" t="inlineStr"/>
      <c r="B68" s="22" t="inlineStr"/>
      <c r="C68" s="22" t="inlineStr"/>
      <c r="D68" s="23" t="inlineStr"/>
      <c r="E68" s="25" t="inlineStr"/>
      <c r="F68" s="25" t="inlineStr"/>
      <c r="G68" s="35">
        <f>IF(OR(B68="",D68=""),"",D68*E68)</f>
        <v/>
      </c>
      <c r="H68" s="35">
        <f>IF(OR(B68="",D68=""),"",D68*VLOOKUP(B68,Inventory!$A$5:$J$104,10,FALSE))</f>
        <v/>
      </c>
      <c r="I68" s="35">
        <f>IF(G68="","",G68-F68-H68)</f>
        <v/>
      </c>
      <c r="J68" s="22" t="inlineStr"/>
    </row>
    <row r="69">
      <c r="A69" s="34" t="inlineStr"/>
      <c r="B69" s="22" t="inlineStr"/>
      <c r="C69" s="22" t="inlineStr"/>
      <c r="D69" s="23" t="inlineStr"/>
      <c r="E69" s="25" t="inlineStr"/>
      <c r="F69" s="25" t="inlineStr"/>
      <c r="G69" s="35">
        <f>IF(OR(B69="",D69=""),"",D69*E69)</f>
        <v/>
      </c>
      <c r="H69" s="35">
        <f>IF(OR(B69="",D69=""),"",D69*VLOOKUP(B69,Inventory!$A$5:$J$104,10,FALSE))</f>
        <v/>
      </c>
      <c r="I69" s="35">
        <f>IF(G69="","",G69-F69-H69)</f>
        <v/>
      </c>
      <c r="J69" s="22" t="inlineStr"/>
    </row>
    <row r="70">
      <c r="A70" s="34" t="inlineStr"/>
      <c r="B70" s="22" t="inlineStr"/>
      <c r="C70" s="22" t="inlineStr"/>
      <c r="D70" s="23" t="inlineStr"/>
      <c r="E70" s="25" t="inlineStr"/>
      <c r="F70" s="25" t="inlineStr"/>
      <c r="G70" s="35">
        <f>IF(OR(B70="",D70=""),"",D70*E70)</f>
        <v/>
      </c>
      <c r="H70" s="35">
        <f>IF(OR(B70="",D70=""),"",D70*VLOOKUP(B70,Inventory!$A$5:$J$104,10,FALSE))</f>
        <v/>
      </c>
      <c r="I70" s="35">
        <f>IF(G70="","",G70-F70-H70)</f>
        <v/>
      </c>
      <c r="J70" s="22" t="inlineStr"/>
    </row>
    <row r="71">
      <c r="A71" s="34" t="inlineStr"/>
      <c r="B71" s="22" t="inlineStr"/>
      <c r="C71" s="22" t="inlineStr"/>
      <c r="D71" s="23" t="inlineStr"/>
      <c r="E71" s="25" t="inlineStr"/>
      <c r="F71" s="25" t="inlineStr"/>
      <c r="G71" s="35">
        <f>IF(OR(B71="",D71=""),"",D71*E71)</f>
        <v/>
      </c>
      <c r="H71" s="35">
        <f>IF(OR(B71="",D71=""),"",D71*VLOOKUP(B71,Inventory!$A$5:$J$104,10,FALSE))</f>
        <v/>
      </c>
      <c r="I71" s="35">
        <f>IF(G71="","",G71-F71-H71)</f>
        <v/>
      </c>
      <c r="J71" s="22" t="inlineStr"/>
    </row>
    <row r="72">
      <c r="A72" s="34" t="inlineStr"/>
      <c r="B72" s="22" t="inlineStr"/>
      <c r="C72" s="22" t="inlineStr"/>
      <c r="D72" s="23" t="inlineStr"/>
      <c r="E72" s="25" t="inlineStr"/>
      <c r="F72" s="25" t="inlineStr"/>
      <c r="G72" s="35">
        <f>IF(OR(B72="",D72=""),"",D72*E72)</f>
        <v/>
      </c>
      <c r="H72" s="35">
        <f>IF(OR(B72="",D72=""),"",D72*VLOOKUP(B72,Inventory!$A$5:$J$104,10,FALSE))</f>
        <v/>
      </c>
      <c r="I72" s="35">
        <f>IF(G72="","",G72-F72-H72)</f>
        <v/>
      </c>
      <c r="J72" s="22" t="inlineStr"/>
    </row>
    <row r="73">
      <c r="A73" s="34" t="inlineStr"/>
      <c r="B73" s="22" t="inlineStr"/>
      <c r="C73" s="22" t="inlineStr"/>
      <c r="D73" s="23" t="inlineStr"/>
      <c r="E73" s="25" t="inlineStr"/>
      <c r="F73" s="25" t="inlineStr"/>
      <c r="G73" s="35">
        <f>IF(OR(B73="",D73=""),"",D73*E73)</f>
        <v/>
      </c>
      <c r="H73" s="35">
        <f>IF(OR(B73="",D73=""),"",D73*VLOOKUP(B73,Inventory!$A$5:$J$104,10,FALSE))</f>
        <v/>
      </c>
      <c r="I73" s="35">
        <f>IF(G73="","",G73-F73-H73)</f>
        <v/>
      </c>
      <c r="J73" s="22" t="inlineStr"/>
    </row>
    <row r="74">
      <c r="A74" s="34" t="inlineStr"/>
      <c r="B74" s="22" t="inlineStr"/>
      <c r="C74" s="22" t="inlineStr"/>
      <c r="D74" s="23" t="inlineStr"/>
      <c r="E74" s="25" t="inlineStr"/>
      <c r="F74" s="25" t="inlineStr"/>
      <c r="G74" s="35">
        <f>IF(OR(B74="",D74=""),"",D74*E74)</f>
        <v/>
      </c>
      <c r="H74" s="35">
        <f>IF(OR(B74="",D74=""),"",D74*VLOOKUP(B74,Inventory!$A$5:$J$104,10,FALSE))</f>
        <v/>
      </c>
      <c r="I74" s="35">
        <f>IF(G74="","",G74-F74-H74)</f>
        <v/>
      </c>
      <c r="J74" s="22" t="inlineStr"/>
    </row>
    <row r="75">
      <c r="A75" s="34" t="inlineStr"/>
      <c r="B75" s="22" t="inlineStr"/>
      <c r="C75" s="22" t="inlineStr"/>
      <c r="D75" s="23" t="inlineStr"/>
      <c r="E75" s="25" t="inlineStr"/>
      <c r="F75" s="25" t="inlineStr"/>
      <c r="G75" s="35">
        <f>IF(OR(B75="",D75=""),"",D75*E75)</f>
        <v/>
      </c>
      <c r="H75" s="35">
        <f>IF(OR(B75="",D75=""),"",D75*VLOOKUP(B75,Inventory!$A$5:$J$104,10,FALSE))</f>
        <v/>
      </c>
      <c r="I75" s="35">
        <f>IF(G75="","",G75-F75-H75)</f>
        <v/>
      </c>
      <c r="J75" s="22" t="inlineStr"/>
    </row>
    <row r="76">
      <c r="A76" s="34" t="inlineStr"/>
      <c r="B76" s="22" t="inlineStr"/>
      <c r="C76" s="22" t="inlineStr"/>
      <c r="D76" s="23" t="inlineStr"/>
      <c r="E76" s="25" t="inlineStr"/>
      <c r="F76" s="25" t="inlineStr"/>
      <c r="G76" s="35">
        <f>IF(OR(B76="",D76=""),"",D76*E76)</f>
        <v/>
      </c>
      <c r="H76" s="35">
        <f>IF(OR(B76="",D76=""),"",D76*VLOOKUP(B76,Inventory!$A$5:$J$104,10,FALSE))</f>
        <v/>
      </c>
      <c r="I76" s="35">
        <f>IF(G76="","",G76-F76-H76)</f>
        <v/>
      </c>
      <c r="J76" s="22" t="inlineStr"/>
    </row>
    <row r="77">
      <c r="A77" s="34" t="inlineStr"/>
      <c r="B77" s="22" t="inlineStr"/>
      <c r="C77" s="22" t="inlineStr"/>
      <c r="D77" s="23" t="inlineStr"/>
      <c r="E77" s="25" t="inlineStr"/>
      <c r="F77" s="25" t="inlineStr"/>
      <c r="G77" s="35">
        <f>IF(OR(B77="",D77=""),"",D77*E77)</f>
        <v/>
      </c>
      <c r="H77" s="35">
        <f>IF(OR(B77="",D77=""),"",D77*VLOOKUP(B77,Inventory!$A$5:$J$104,10,FALSE))</f>
        <v/>
      </c>
      <c r="I77" s="35">
        <f>IF(G77="","",G77-F77-H77)</f>
        <v/>
      </c>
      <c r="J77" s="22" t="inlineStr"/>
    </row>
    <row r="78">
      <c r="A78" s="34" t="inlineStr"/>
      <c r="B78" s="22" t="inlineStr"/>
      <c r="C78" s="22" t="inlineStr"/>
      <c r="D78" s="23" t="inlineStr"/>
      <c r="E78" s="25" t="inlineStr"/>
      <c r="F78" s="25" t="inlineStr"/>
      <c r="G78" s="35">
        <f>IF(OR(B78="",D78=""),"",D78*E78)</f>
        <v/>
      </c>
      <c r="H78" s="35">
        <f>IF(OR(B78="",D78=""),"",D78*VLOOKUP(B78,Inventory!$A$5:$J$104,10,FALSE))</f>
        <v/>
      </c>
      <c r="I78" s="35">
        <f>IF(G78="","",G78-F78-H78)</f>
        <v/>
      </c>
      <c r="J78" s="22" t="inlineStr"/>
    </row>
    <row r="79">
      <c r="A79" s="34" t="inlineStr"/>
      <c r="B79" s="22" t="inlineStr"/>
      <c r="C79" s="22" t="inlineStr"/>
      <c r="D79" s="23" t="inlineStr"/>
      <c r="E79" s="25" t="inlineStr"/>
      <c r="F79" s="25" t="inlineStr"/>
      <c r="G79" s="35">
        <f>IF(OR(B79="",D79=""),"",D79*E79)</f>
        <v/>
      </c>
      <c r="H79" s="35">
        <f>IF(OR(B79="",D79=""),"",D79*VLOOKUP(B79,Inventory!$A$5:$J$104,10,FALSE))</f>
        <v/>
      </c>
      <c r="I79" s="35">
        <f>IF(G79="","",G79-F79-H79)</f>
        <v/>
      </c>
      <c r="J79" s="22" t="inlineStr"/>
    </row>
    <row r="80">
      <c r="A80" s="34" t="inlineStr"/>
      <c r="B80" s="22" t="inlineStr"/>
      <c r="C80" s="22" t="inlineStr"/>
      <c r="D80" s="23" t="inlineStr"/>
      <c r="E80" s="25" t="inlineStr"/>
      <c r="F80" s="25" t="inlineStr"/>
      <c r="G80" s="35">
        <f>IF(OR(B80="",D80=""),"",D80*E80)</f>
        <v/>
      </c>
      <c r="H80" s="35">
        <f>IF(OR(B80="",D80=""),"",D80*VLOOKUP(B80,Inventory!$A$5:$J$104,10,FALSE))</f>
        <v/>
      </c>
      <c r="I80" s="35">
        <f>IF(G80="","",G80-F80-H80)</f>
        <v/>
      </c>
      <c r="J80" s="22" t="inlineStr"/>
    </row>
    <row r="81">
      <c r="A81" s="34" t="inlineStr"/>
      <c r="B81" s="22" t="inlineStr"/>
      <c r="C81" s="22" t="inlineStr"/>
      <c r="D81" s="23" t="inlineStr"/>
      <c r="E81" s="25" t="inlineStr"/>
      <c r="F81" s="25" t="inlineStr"/>
      <c r="G81" s="35">
        <f>IF(OR(B81="",D81=""),"",D81*E81)</f>
        <v/>
      </c>
      <c r="H81" s="35">
        <f>IF(OR(B81="",D81=""),"",D81*VLOOKUP(B81,Inventory!$A$5:$J$104,10,FALSE))</f>
        <v/>
      </c>
      <c r="I81" s="35">
        <f>IF(G81="","",G81-F81-H81)</f>
        <v/>
      </c>
      <c r="J81" s="22" t="inlineStr"/>
    </row>
    <row r="82">
      <c r="A82" s="34" t="inlineStr"/>
      <c r="B82" s="22" t="inlineStr"/>
      <c r="C82" s="22" t="inlineStr"/>
      <c r="D82" s="23" t="inlineStr"/>
      <c r="E82" s="25" t="inlineStr"/>
      <c r="F82" s="25" t="inlineStr"/>
      <c r="G82" s="35">
        <f>IF(OR(B82="",D82=""),"",D82*E82)</f>
        <v/>
      </c>
      <c r="H82" s="35">
        <f>IF(OR(B82="",D82=""),"",D82*VLOOKUP(B82,Inventory!$A$5:$J$104,10,FALSE))</f>
        <v/>
      </c>
      <c r="I82" s="35">
        <f>IF(G82="","",G82-F82-H82)</f>
        <v/>
      </c>
      <c r="J82" s="22" t="inlineStr"/>
    </row>
    <row r="83">
      <c r="A83" s="34" t="inlineStr"/>
      <c r="B83" s="22" t="inlineStr"/>
      <c r="C83" s="22" t="inlineStr"/>
      <c r="D83" s="23" t="inlineStr"/>
      <c r="E83" s="25" t="inlineStr"/>
      <c r="F83" s="25" t="inlineStr"/>
      <c r="G83" s="35">
        <f>IF(OR(B83="",D83=""),"",D83*E83)</f>
        <v/>
      </c>
      <c r="H83" s="35">
        <f>IF(OR(B83="",D83=""),"",D83*VLOOKUP(B83,Inventory!$A$5:$J$104,10,FALSE))</f>
        <v/>
      </c>
      <c r="I83" s="35">
        <f>IF(G83="","",G83-F83-H83)</f>
        <v/>
      </c>
      <c r="J83" s="22" t="inlineStr"/>
    </row>
    <row r="84">
      <c r="A84" s="34" t="inlineStr"/>
      <c r="B84" s="22" t="inlineStr"/>
      <c r="C84" s="22" t="inlineStr"/>
      <c r="D84" s="23" t="inlineStr"/>
      <c r="E84" s="25" t="inlineStr"/>
      <c r="F84" s="25" t="inlineStr"/>
      <c r="G84" s="35">
        <f>IF(OR(B84="",D84=""),"",D84*E84)</f>
        <v/>
      </c>
      <c r="H84" s="35">
        <f>IF(OR(B84="",D84=""),"",D84*VLOOKUP(B84,Inventory!$A$5:$J$104,10,FALSE))</f>
        <v/>
      </c>
      <c r="I84" s="35">
        <f>IF(G84="","",G84-F84-H84)</f>
        <v/>
      </c>
      <c r="J84" s="22" t="inlineStr"/>
    </row>
    <row r="85">
      <c r="A85" s="34" t="inlineStr"/>
      <c r="B85" s="22" t="inlineStr"/>
      <c r="C85" s="22" t="inlineStr"/>
      <c r="D85" s="23" t="inlineStr"/>
      <c r="E85" s="25" t="inlineStr"/>
      <c r="F85" s="25" t="inlineStr"/>
      <c r="G85" s="35">
        <f>IF(OR(B85="",D85=""),"",D85*E85)</f>
        <v/>
      </c>
      <c r="H85" s="35">
        <f>IF(OR(B85="",D85=""),"",D85*VLOOKUP(B85,Inventory!$A$5:$J$104,10,FALSE))</f>
        <v/>
      </c>
      <c r="I85" s="35">
        <f>IF(G85="","",G85-F85-H85)</f>
        <v/>
      </c>
      <c r="J85" s="22" t="inlineStr"/>
    </row>
    <row r="86">
      <c r="A86" s="34" t="inlineStr"/>
      <c r="B86" s="22" t="inlineStr"/>
      <c r="C86" s="22" t="inlineStr"/>
      <c r="D86" s="23" t="inlineStr"/>
      <c r="E86" s="25" t="inlineStr"/>
      <c r="F86" s="25" t="inlineStr"/>
      <c r="G86" s="35">
        <f>IF(OR(B86="",D86=""),"",D86*E86)</f>
        <v/>
      </c>
      <c r="H86" s="35">
        <f>IF(OR(B86="",D86=""),"",D86*VLOOKUP(B86,Inventory!$A$5:$J$104,10,FALSE))</f>
        <v/>
      </c>
      <c r="I86" s="35">
        <f>IF(G86="","",G86-F86-H86)</f>
        <v/>
      </c>
      <c r="J86" s="22" t="inlineStr"/>
    </row>
    <row r="87">
      <c r="A87" s="34" t="inlineStr"/>
      <c r="B87" s="22" t="inlineStr"/>
      <c r="C87" s="22" t="inlineStr"/>
      <c r="D87" s="23" t="inlineStr"/>
      <c r="E87" s="25" t="inlineStr"/>
      <c r="F87" s="25" t="inlineStr"/>
      <c r="G87" s="35">
        <f>IF(OR(B87="",D87=""),"",D87*E87)</f>
        <v/>
      </c>
      <c r="H87" s="35">
        <f>IF(OR(B87="",D87=""),"",D87*VLOOKUP(B87,Inventory!$A$5:$J$104,10,FALSE))</f>
        <v/>
      </c>
      <c r="I87" s="35">
        <f>IF(G87="","",G87-F87-H87)</f>
        <v/>
      </c>
      <c r="J87" s="22" t="inlineStr"/>
    </row>
    <row r="88">
      <c r="A88" s="34" t="inlineStr"/>
      <c r="B88" s="22" t="inlineStr"/>
      <c r="C88" s="22" t="inlineStr"/>
      <c r="D88" s="23" t="inlineStr"/>
      <c r="E88" s="25" t="inlineStr"/>
      <c r="F88" s="25" t="inlineStr"/>
      <c r="G88" s="35">
        <f>IF(OR(B88="",D88=""),"",D88*E88)</f>
        <v/>
      </c>
      <c r="H88" s="35">
        <f>IF(OR(B88="",D88=""),"",D88*VLOOKUP(B88,Inventory!$A$5:$J$104,10,FALSE))</f>
        <v/>
      </c>
      <c r="I88" s="35">
        <f>IF(G88="","",G88-F88-H88)</f>
        <v/>
      </c>
      <c r="J88" s="22" t="inlineStr"/>
    </row>
    <row r="89">
      <c r="A89" s="34" t="inlineStr"/>
      <c r="B89" s="22" t="inlineStr"/>
      <c r="C89" s="22" t="inlineStr"/>
      <c r="D89" s="23" t="inlineStr"/>
      <c r="E89" s="25" t="inlineStr"/>
      <c r="F89" s="25" t="inlineStr"/>
      <c r="G89" s="35">
        <f>IF(OR(B89="",D89=""),"",D89*E89)</f>
        <v/>
      </c>
      <c r="H89" s="35">
        <f>IF(OR(B89="",D89=""),"",D89*VLOOKUP(B89,Inventory!$A$5:$J$104,10,FALSE))</f>
        <v/>
      </c>
      <c r="I89" s="35">
        <f>IF(G89="","",G89-F89-H89)</f>
        <v/>
      </c>
      <c r="J89" s="22" t="inlineStr"/>
    </row>
    <row r="90">
      <c r="A90" s="34" t="inlineStr"/>
      <c r="B90" s="22" t="inlineStr"/>
      <c r="C90" s="22" t="inlineStr"/>
      <c r="D90" s="23" t="inlineStr"/>
      <c r="E90" s="25" t="inlineStr"/>
      <c r="F90" s="25" t="inlineStr"/>
      <c r="G90" s="35">
        <f>IF(OR(B90="",D90=""),"",D90*E90)</f>
        <v/>
      </c>
      <c r="H90" s="35">
        <f>IF(OR(B90="",D90=""),"",D90*VLOOKUP(B90,Inventory!$A$5:$J$104,10,FALSE))</f>
        <v/>
      </c>
      <c r="I90" s="35">
        <f>IF(G90="","",G90-F90-H90)</f>
        <v/>
      </c>
      <c r="J90" s="22" t="inlineStr"/>
    </row>
    <row r="91">
      <c r="A91" s="34" t="inlineStr"/>
      <c r="B91" s="22" t="inlineStr"/>
      <c r="C91" s="22" t="inlineStr"/>
      <c r="D91" s="23" t="inlineStr"/>
      <c r="E91" s="25" t="inlineStr"/>
      <c r="F91" s="25" t="inlineStr"/>
      <c r="G91" s="35">
        <f>IF(OR(B91="",D91=""),"",D91*E91)</f>
        <v/>
      </c>
      <c r="H91" s="35">
        <f>IF(OR(B91="",D91=""),"",D91*VLOOKUP(B91,Inventory!$A$5:$J$104,10,FALSE))</f>
        <v/>
      </c>
      <c r="I91" s="35">
        <f>IF(G91="","",G91-F91-H91)</f>
        <v/>
      </c>
      <c r="J91" s="22" t="inlineStr"/>
    </row>
    <row r="92">
      <c r="A92" s="34" t="inlineStr"/>
      <c r="B92" s="22" t="inlineStr"/>
      <c r="C92" s="22" t="inlineStr"/>
      <c r="D92" s="23" t="inlineStr"/>
      <c r="E92" s="25" t="inlineStr"/>
      <c r="F92" s="25" t="inlineStr"/>
      <c r="G92" s="35">
        <f>IF(OR(B92="",D92=""),"",D92*E92)</f>
        <v/>
      </c>
      <c r="H92" s="35">
        <f>IF(OR(B92="",D92=""),"",D92*VLOOKUP(B92,Inventory!$A$5:$J$104,10,FALSE))</f>
        <v/>
      </c>
      <c r="I92" s="35">
        <f>IF(G92="","",G92-F92-H92)</f>
        <v/>
      </c>
      <c r="J92" s="22" t="inlineStr"/>
    </row>
    <row r="93">
      <c r="A93" s="34" t="inlineStr"/>
      <c r="B93" s="22" t="inlineStr"/>
      <c r="C93" s="22" t="inlineStr"/>
      <c r="D93" s="23" t="inlineStr"/>
      <c r="E93" s="25" t="inlineStr"/>
      <c r="F93" s="25" t="inlineStr"/>
      <c r="G93" s="35">
        <f>IF(OR(B93="",D93=""),"",D93*E93)</f>
        <v/>
      </c>
      <c r="H93" s="35">
        <f>IF(OR(B93="",D93=""),"",D93*VLOOKUP(B93,Inventory!$A$5:$J$104,10,FALSE))</f>
        <v/>
      </c>
      <c r="I93" s="35">
        <f>IF(G93="","",G93-F93-H93)</f>
        <v/>
      </c>
      <c r="J93" s="22" t="inlineStr"/>
    </row>
    <row r="94">
      <c r="A94" s="34" t="inlineStr"/>
      <c r="B94" s="22" t="inlineStr"/>
      <c r="C94" s="22" t="inlineStr"/>
      <c r="D94" s="23" t="inlineStr"/>
      <c r="E94" s="25" t="inlineStr"/>
      <c r="F94" s="25" t="inlineStr"/>
      <c r="G94" s="35">
        <f>IF(OR(B94="",D94=""),"",D94*E94)</f>
        <v/>
      </c>
      <c r="H94" s="35">
        <f>IF(OR(B94="",D94=""),"",D94*VLOOKUP(B94,Inventory!$A$5:$J$104,10,FALSE))</f>
        <v/>
      </c>
      <c r="I94" s="35">
        <f>IF(G94="","",G94-F94-H94)</f>
        <v/>
      </c>
      <c r="J94" s="22" t="inlineStr"/>
    </row>
    <row r="95">
      <c r="A95" s="34" t="inlineStr"/>
      <c r="B95" s="22" t="inlineStr"/>
      <c r="C95" s="22" t="inlineStr"/>
      <c r="D95" s="23" t="inlineStr"/>
      <c r="E95" s="25" t="inlineStr"/>
      <c r="F95" s="25" t="inlineStr"/>
      <c r="G95" s="35">
        <f>IF(OR(B95="",D95=""),"",D95*E95)</f>
        <v/>
      </c>
      <c r="H95" s="35">
        <f>IF(OR(B95="",D95=""),"",D95*VLOOKUP(B95,Inventory!$A$5:$J$104,10,FALSE))</f>
        <v/>
      </c>
      <c r="I95" s="35">
        <f>IF(G95="","",G95-F95-H95)</f>
        <v/>
      </c>
      <c r="J95" s="22" t="inlineStr"/>
    </row>
    <row r="96">
      <c r="A96" s="34" t="inlineStr"/>
      <c r="B96" s="22" t="inlineStr"/>
      <c r="C96" s="22" t="inlineStr"/>
      <c r="D96" s="23" t="inlineStr"/>
      <c r="E96" s="25" t="inlineStr"/>
      <c r="F96" s="25" t="inlineStr"/>
      <c r="G96" s="35">
        <f>IF(OR(B96="",D96=""),"",D96*E96)</f>
        <v/>
      </c>
      <c r="H96" s="35">
        <f>IF(OR(B96="",D96=""),"",D96*VLOOKUP(B96,Inventory!$A$5:$J$104,10,FALSE))</f>
        <v/>
      </c>
      <c r="I96" s="35">
        <f>IF(G96="","",G96-F96-H96)</f>
        <v/>
      </c>
      <c r="J96" s="22" t="inlineStr"/>
    </row>
    <row r="97">
      <c r="A97" s="34" t="inlineStr"/>
      <c r="B97" s="22" t="inlineStr"/>
      <c r="C97" s="22" t="inlineStr"/>
      <c r="D97" s="23" t="inlineStr"/>
      <c r="E97" s="25" t="inlineStr"/>
      <c r="F97" s="25" t="inlineStr"/>
      <c r="G97" s="35">
        <f>IF(OR(B97="",D97=""),"",D97*E97)</f>
        <v/>
      </c>
      <c r="H97" s="35">
        <f>IF(OR(B97="",D97=""),"",D97*VLOOKUP(B97,Inventory!$A$5:$J$104,10,FALSE))</f>
        <v/>
      </c>
      <c r="I97" s="35">
        <f>IF(G97="","",G97-F97-H97)</f>
        <v/>
      </c>
      <c r="J97" s="22" t="inlineStr"/>
    </row>
    <row r="98">
      <c r="A98" s="34" t="inlineStr"/>
      <c r="B98" s="22" t="inlineStr"/>
      <c r="C98" s="22" t="inlineStr"/>
      <c r="D98" s="23" t="inlineStr"/>
      <c r="E98" s="25" t="inlineStr"/>
      <c r="F98" s="25" t="inlineStr"/>
      <c r="G98" s="35">
        <f>IF(OR(B98="",D98=""),"",D98*E98)</f>
        <v/>
      </c>
      <c r="H98" s="35">
        <f>IF(OR(B98="",D98=""),"",D98*VLOOKUP(B98,Inventory!$A$5:$J$104,10,FALSE))</f>
        <v/>
      </c>
      <c r="I98" s="35">
        <f>IF(G98="","",G98-F98-H98)</f>
        <v/>
      </c>
      <c r="J98" s="22" t="inlineStr"/>
    </row>
    <row r="99">
      <c r="A99" s="34" t="inlineStr"/>
      <c r="B99" s="22" t="inlineStr"/>
      <c r="C99" s="22" t="inlineStr"/>
      <c r="D99" s="23" t="inlineStr"/>
      <c r="E99" s="25" t="inlineStr"/>
      <c r="F99" s="25" t="inlineStr"/>
      <c r="G99" s="35">
        <f>IF(OR(B99="",D99=""),"",D99*E99)</f>
        <v/>
      </c>
      <c r="H99" s="35">
        <f>IF(OR(B99="",D99=""),"",D99*VLOOKUP(B99,Inventory!$A$5:$J$104,10,FALSE))</f>
        <v/>
      </c>
      <c r="I99" s="35">
        <f>IF(G99="","",G99-F99-H99)</f>
        <v/>
      </c>
      <c r="J99" s="22" t="inlineStr"/>
    </row>
    <row r="100">
      <c r="A100" s="34" t="inlineStr"/>
      <c r="B100" s="22" t="inlineStr"/>
      <c r="C100" s="22" t="inlineStr"/>
      <c r="D100" s="23" t="inlineStr"/>
      <c r="E100" s="25" t="inlineStr"/>
      <c r="F100" s="25" t="inlineStr"/>
      <c r="G100" s="35">
        <f>IF(OR(B100="",D100=""),"",D100*E100)</f>
        <v/>
      </c>
      <c r="H100" s="35">
        <f>IF(OR(B100="",D100=""),"",D100*VLOOKUP(B100,Inventory!$A$5:$J$104,10,FALSE))</f>
        <v/>
      </c>
      <c r="I100" s="35">
        <f>IF(G100="","",G100-F100-H100)</f>
        <v/>
      </c>
      <c r="J100" s="22" t="inlineStr"/>
    </row>
    <row r="101">
      <c r="A101" s="34" t="inlineStr"/>
      <c r="B101" s="22" t="inlineStr"/>
      <c r="C101" s="22" t="inlineStr"/>
      <c r="D101" s="23" t="inlineStr"/>
      <c r="E101" s="25" t="inlineStr"/>
      <c r="F101" s="25" t="inlineStr"/>
      <c r="G101" s="35">
        <f>IF(OR(B101="",D101=""),"",D101*E101)</f>
        <v/>
      </c>
      <c r="H101" s="35">
        <f>IF(OR(B101="",D101=""),"",D101*VLOOKUP(B101,Inventory!$A$5:$J$104,10,FALSE))</f>
        <v/>
      </c>
      <c r="I101" s="35">
        <f>IF(G101="","",G101-F101-H101)</f>
        <v/>
      </c>
      <c r="J101" s="22" t="inlineStr"/>
    </row>
    <row r="102">
      <c r="A102" s="34" t="inlineStr"/>
      <c r="B102" s="22" t="inlineStr"/>
      <c r="C102" s="22" t="inlineStr"/>
      <c r="D102" s="23" t="inlineStr"/>
      <c r="E102" s="25" t="inlineStr"/>
      <c r="F102" s="25" t="inlineStr"/>
      <c r="G102" s="35">
        <f>IF(OR(B102="",D102=""),"",D102*E102)</f>
        <v/>
      </c>
      <c r="H102" s="35">
        <f>IF(OR(B102="",D102=""),"",D102*VLOOKUP(B102,Inventory!$A$5:$J$104,10,FALSE))</f>
        <v/>
      </c>
      <c r="I102" s="35">
        <f>IF(G102="","",G102-F102-H102)</f>
        <v/>
      </c>
      <c r="J102" s="22" t="inlineStr"/>
    </row>
    <row r="103">
      <c r="A103" s="34" t="inlineStr"/>
      <c r="B103" s="22" t="inlineStr"/>
      <c r="C103" s="22" t="inlineStr"/>
      <c r="D103" s="23" t="inlineStr"/>
      <c r="E103" s="25" t="inlineStr"/>
      <c r="F103" s="25" t="inlineStr"/>
      <c r="G103" s="35">
        <f>IF(OR(B103="",D103=""),"",D103*E103)</f>
        <v/>
      </c>
      <c r="H103" s="35">
        <f>IF(OR(B103="",D103=""),"",D103*VLOOKUP(B103,Inventory!$A$5:$J$104,10,FALSE))</f>
        <v/>
      </c>
      <c r="I103" s="35">
        <f>IF(G103="","",G103-F103-H103)</f>
        <v/>
      </c>
      <c r="J103" s="22" t="inlineStr"/>
    </row>
    <row r="104">
      <c r="A104" s="34" t="inlineStr"/>
      <c r="B104" s="22" t="inlineStr"/>
      <c r="C104" s="22" t="inlineStr"/>
      <c r="D104" s="23" t="inlineStr"/>
      <c r="E104" s="25" t="inlineStr"/>
      <c r="F104" s="25" t="inlineStr"/>
      <c r="G104" s="35">
        <f>IF(OR(B104="",D104=""),"",D104*E104)</f>
        <v/>
      </c>
      <c r="H104" s="35">
        <f>IF(OR(B104="",D104=""),"",D104*VLOOKUP(B104,Inventory!$A$5:$J$104,10,FALSE))</f>
        <v/>
      </c>
      <c r="I104" s="35">
        <f>IF(G104="","",G104-F104-H104)</f>
        <v/>
      </c>
      <c r="J104" s="22" t="inlineStr"/>
    </row>
    <row r="105">
      <c r="A105" s="34" t="inlineStr"/>
      <c r="B105" s="22" t="inlineStr"/>
      <c r="C105" s="22" t="inlineStr"/>
      <c r="D105" s="23" t="inlineStr"/>
      <c r="E105" s="25" t="inlineStr"/>
      <c r="F105" s="25" t="inlineStr"/>
      <c r="G105" s="35">
        <f>IF(OR(B105="",D105=""),"",D105*E105)</f>
        <v/>
      </c>
      <c r="H105" s="35">
        <f>IF(OR(B105="",D105=""),"",D105*VLOOKUP(B105,Inventory!$A$5:$J$104,10,FALSE))</f>
        <v/>
      </c>
      <c r="I105" s="35">
        <f>IF(G105="","",G105-F105-H105)</f>
        <v/>
      </c>
      <c r="J105" s="22" t="inlineStr"/>
    </row>
    <row r="106">
      <c r="A106" s="34" t="inlineStr"/>
      <c r="B106" s="22" t="inlineStr"/>
      <c r="C106" s="22" t="inlineStr"/>
      <c r="D106" s="23" t="inlineStr"/>
      <c r="E106" s="25" t="inlineStr"/>
      <c r="F106" s="25" t="inlineStr"/>
      <c r="G106" s="35">
        <f>IF(OR(B106="",D106=""),"",D106*E106)</f>
        <v/>
      </c>
      <c r="H106" s="35">
        <f>IF(OR(B106="",D106=""),"",D106*VLOOKUP(B106,Inventory!$A$5:$J$104,10,FALSE))</f>
        <v/>
      </c>
      <c r="I106" s="35">
        <f>IF(G106="","",G106-F106-H106)</f>
        <v/>
      </c>
      <c r="J106" s="22" t="inlineStr"/>
    </row>
    <row r="107">
      <c r="A107" s="34" t="inlineStr"/>
      <c r="B107" s="22" t="inlineStr"/>
      <c r="C107" s="22" t="inlineStr"/>
      <c r="D107" s="23" t="inlineStr"/>
      <c r="E107" s="25" t="inlineStr"/>
      <c r="F107" s="25" t="inlineStr"/>
      <c r="G107" s="35">
        <f>IF(OR(B107="",D107=""),"",D107*E107)</f>
        <v/>
      </c>
      <c r="H107" s="35">
        <f>IF(OR(B107="",D107=""),"",D107*VLOOKUP(B107,Inventory!$A$5:$J$104,10,FALSE))</f>
        <v/>
      </c>
      <c r="I107" s="35">
        <f>IF(G107="","",G107-F107-H107)</f>
        <v/>
      </c>
      <c r="J107" s="22" t="inlineStr"/>
    </row>
    <row r="108">
      <c r="A108" s="34" t="inlineStr"/>
      <c r="B108" s="22" t="inlineStr"/>
      <c r="C108" s="22" t="inlineStr"/>
      <c r="D108" s="23" t="inlineStr"/>
      <c r="E108" s="25" t="inlineStr"/>
      <c r="F108" s="25" t="inlineStr"/>
      <c r="G108" s="35">
        <f>IF(OR(B108="",D108=""),"",D108*E108)</f>
        <v/>
      </c>
      <c r="H108" s="35">
        <f>IF(OR(B108="",D108=""),"",D108*VLOOKUP(B108,Inventory!$A$5:$J$104,10,FALSE))</f>
        <v/>
      </c>
      <c r="I108" s="35">
        <f>IF(G108="","",G108-F108-H108)</f>
        <v/>
      </c>
      <c r="J108" s="22" t="inlineStr"/>
    </row>
    <row r="109">
      <c r="A109" s="34" t="inlineStr"/>
      <c r="B109" s="22" t="inlineStr"/>
      <c r="C109" s="22" t="inlineStr"/>
      <c r="D109" s="23" t="inlineStr"/>
      <c r="E109" s="25" t="inlineStr"/>
      <c r="F109" s="25" t="inlineStr"/>
      <c r="G109" s="35">
        <f>IF(OR(B109="",D109=""),"",D109*E109)</f>
        <v/>
      </c>
      <c r="H109" s="35">
        <f>IF(OR(B109="",D109=""),"",D109*VLOOKUP(B109,Inventory!$A$5:$J$104,10,FALSE))</f>
        <v/>
      </c>
      <c r="I109" s="35">
        <f>IF(G109="","",G109-F109-H109)</f>
        <v/>
      </c>
      <c r="J109" s="22" t="inlineStr"/>
    </row>
    <row r="110">
      <c r="A110" s="34" t="inlineStr"/>
      <c r="B110" s="22" t="inlineStr"/>
      <c r="C110" s="22" t="inlineStr"/>
      <c r="D110" s="23" t="inlineStr"/>
      <c r="E110" s="25" t="inlineStr"/>
      <c r="F110" s="25" t="inlineStr"/>
      <c r="G110" s="35">
        <f>IF(OR(B110="",D110=""),"",D110*E110)</f>
        <v/>
      </c>
      <c r="H110" s="35">
        <f>IF(OR(B110="",D110=""),"",D110*VLOOKUP(B110,Inventory!$A$5:$J$104,10,FALSE))</f>
        <v/>
      </c>
      <c r="I110" s="35">
        <f>IF(G110="","",G110-F110-H110)</f>
        <v/>
      </c>
      <c r="J110" s="22" t="inlineStr"/>
    </row>
    <row r="111">
      <c r="A111" s="34" t="inlineStr"/>
      <c r="B111" s="22" t="inlineStr"/>
      <c r="C111" s="22" t="inlineStr"/>
      <c r="D111" s="23" t="inlineStr"/>
      <c r="E111" s="25" t="inlineStr"/>
      <c r="F111" s="25" t="inlineStr"/>
      <c r="G111" s="35">
        <f>IF(OR(B111="",D111=""),"",D111*E111)</f>
        <v/>
      </c>
      <c r="H111" s="35">
        <f>IF(OR(B111="",D111=""),"",D111*VLOOKUP(B111,Inventory!$A$5:$J$104,10,FALSE))</f>
        <v/>
      </c>
      <c r="I111" s="35">
        <f>IF(G111="","",G111-F111-H111)</f>
        <v/>
      </c>
      <c r="J111" s="22" t="inlineStr"/>
    </row>
    <row r="112">
      <c r="A112" s="34" t="inlineStr"/>
      <c r="B112" s="22" t="inlineStr"/>
      <c r="C112" s="22" t="inlineStr"/>
      <c r="D112" s="23" t="inlineStr"/>
      <c r="E112" s="25" t="inlineStr"/>
      <c r="F112" s="25" t="inlineStr"/>
      <c r="G112" s="35">
        <f>IF(OR(B112="",D112=""),"",D112*E112)</f>
        <v/>
      </c>
      <c r="H112" s="35">
        <f>IF(OR(B112="",D112=""),"",D112*VLOOKUP(B112,Inventory!$A$5:$J$104,10,FALSE))</f>
        <v/>
      </c>
      <c r="I112" s="35">
        <f>IF(G112="","",G112-F112-H112)</f>
        <v/>
      </c>
      <c r="J112" s="22" t="inlineStr"/>
    </row>
    <row r="113">
      <c r="A113" s="34" t="inlineStr"/>
      <c r="B113" s="22" t="inlineStr"/>
      <c r="C113" s="22" t="inlineStr"/>
      <c r="D113" s="23" t="inlineStr"/>
      <c r="E113" s="25" t="inlineStr"/>
      <c r="F113" s="25" t="inlineStr"/>
      <c r="G113" s="35">
        <f>IF(OR(B113="",D113=""),"",D113*E113)</f>
        <v/>
      </c>
      <c r="H113" s="35">
        <f>IF(OR(B113="",D113=""),"",D113*VLOOKUP(B113,Inventory!$A$5:$J$104,10,FALSE))</f>
        <v/>
      </c>
      <c r="I113" s="35">
        <f>IF(G113="","",G113-F113-H113)</f>
        <v/>
      </c>
      <c r="J113" s="22" t="inlineStr"/>
    </row>
    <row r="114">
      <c r="A114" s="34" t="inlineStr"/>
      <c r="B114" s="22" t="inlineStr"/>
      <c r="C114" s="22" t="inlineStr"/>
      <c r="D114" s="23" t="inlineStr"/>
      <c r="E114" s="25" t="inlineStr"/>
      <c r="F114" s="25" t="inlineStr"/>
      <c r="G114" s="35">
        <f>IF(OR(B114="",D114=""),"",D114*E114)</f>
        <v/>
      </c>
      <c r="H114" s="35">
        <f>IF(OR(B114="",D114=""),"",D114*VLOOKUP(B114,Inventory!$A$5:$J$104,10,FALSE))</f>
        <v/>
      </c>
      <c r="I114" s="35">
        <f>IF(G114="","",G114-F114-H114)</f>
        <v/>
      </c>
      <c r="J114" s="22" t="inlineStr"/>
    </row>
    <row r="115">
      <c r="A115" s="34" t="inlineStr"/>
      <c r="B115" s="22" t="inlineStr"/>
      <c r="C115" s="22" t="inlineStr"/>
      <c r="D115" s="23" t="inlineStr"/>
      <c r="E115" s="25" t="inlineStr"/>
      <c r="F115" s="25" t="inlineStr"/>
      <c r="G115" s="35">
        <f>IF(OR(B115="",D115=""),"",D115*E115)</f>
        <v/>
      </c>
      <c r="H115" s="35">
        <f>IF(OR(B115="",D115=""),"",D115*VLOOKUP(B115,Inventory!$A$5:$J$104,10,FALSE))</f>
        <v/>
      </c>
      <c r="I115" s="35">
        <f>IF(G115="","",G115-F115-H115)</f>
        <v/>
      </c>
      <c r="J115" s="22" t="inlineStr"/>
    </row>
    <row r="116">
      <c r="A116" s="34" t="inlineStr"/>
      <c r="B116" s="22" t="inlineStr"/>
      <c r="C116" s="22" t="inlineStr"/>
      <c r="D116" s="23" t="inlineStr"/>
      <c r="E116" s="25" t="inlineStr"/>
      <c r="F116" s="25" t="inlineStr"/>
      <c r="G116" s="35">
        <f>IF(OR(B116="",D116=""),"",D116*E116)</f>
        <v/>
      </c>
      <c r="H116" s="35">
        <f>IF(OR(B116="",D116=""),"",D116*VLOOKUP(B116,Inventory!$A$5:$J$104,10,FALSE))</f>
        <v/>
      </c>
      <c r="I116" s="35">
        <f>IF(G116="","",G116-F116-H116)</f>
        <v/>
      </c>
      <c r="J116" s="22" t="inlineStr"/>
    </row>
    <row r="117">
      <c r="A117" s="34" t="inlineStr"/>
      <c r="B117" s="22" t="inlineStr"/>
      <c r="C117" s="22" t="inlineStr"/>
      <c r="D117" s="23" t="inlineStr"/>
      <c r="E117" s="25" t="inlineStr"/>
      <c r="F117" s="25" t="inlineStr"/>
      <c r="G117" s="35">
        <f>IF(OR(B117="",D117=""),"",D117*E117)</f>
        <v/>
      </c>
      <c r="H117" s="35">
        <f>IF(OR(B117="",D117=""),"",D117*VLOOKUP(B117,Inventory!$A$5:$J$104,10,FALSE))</f>
        <v/>
      </c>
      <c r="I117" s="35">
        <f>IF(G117="","",G117-F117-H117)</f>
        <v/>
      </c>
      <c r="J117" s="22" t="inlineStr"/>
    </row>
    <row r="118">
      <c r="A118" s="34" t="inlineStr"/>
      <c r="B118" s="22" t="inlineStr"/>
      <c r="C118" s="22" t="inlineStr"/>
      <c r="D118" s="23" t="inlineStr"/>
      <c r="E118" s="25" t="inlineStr"/>
      <c r="F118" s="25" t="inlineStr"/>
      <c r="G118" s="35">
        <f>IF(OR(B118="",D118=""),"",D118*E118)</f>
        <v/>
      </c>
      <c r="H118" s="35">
        <f>IF(OR(B118="",D118=""),"",D118*VLOOKUP(B118,Inventory!$A$5:$J$104,10,FALSE))</f>
        <v/>
      </c>
      <c r="I118" s="35">
        <f>IF(G118="","",G118-F118-H118)</f>
        <v/>
      </c>
      <c r="J118" s="22" t="inlineStr"/>
    </row>
    <row r="119">
      <c r="A119" s="34" t="inlineStr"/>
      <c r="B119" s="22" t="inlineStr"/>
      <c r="C119" s="22" t="inlineStr"/>
      <c r="D119" s="23" t="inlineStr"/>
      <c r="E119" s="25" t="inlineStr"/>
      <c r="F119" s="25" t="inlineStr"/>
      <c r="G119" s="35">
        <f>IF(OR(B119="",D119=""),"",D119*E119)</f>
        <v/>
      </c>
      <c r="H119" s="35">
        <f>IF(OR(B119="",D119=""),"",D119*VLOOKUP(B119,Inventory!$A$5:$J$104,10,FALSE))</f>
        <v/>
      </c>
      <c r="I119" s="35">
        <f>IF(G119="","",G119-F119-H119)</f>
        <v/>
      </c>
      <c r="J119" s="22" t="inlineStr"/>
    </row>
    <row r="120">
      <c r="A120" s="34" t="inlineStr"/>
      <c r="B120" s="22" t="inlineStr"/>
      <c r="C120" s="22" t="inlineStr"/>
      <c r="D120" s="23" t="inlineStr"/>
      <c r="E120" s="25" t="inlineStr"/>
      <c r="F120" s="25" t="inlineStr"/>
      <c r="G120" s="35">
        <f>IF(OR(B120="",D120=""),"",D120*E120)</f>
        <v/>
      </c>
      <c r="H120" s="35">
        <f>IF(OR(B120="",D120=""),"",D120*VLOOKUP(B120,Inventory!$A$5:$J$104,10,FALSE))</f>
        <v/>
      </c>
      <c r="I120" s="35">
        <f>IF(G120="","",G120-F120-H120)</f>
        <v/>
      </c>
      <c r="J120" s="22" t="inlineStr"/>
    </row>
    <row r="121">
      <c r="A121" s="34" t="inlineStr"/>
      <c r="B121" s="22" t="inlineStr"/>
      <c r="C121" s="22" t="inlineStr"/>
      <c r="D121" s="23" t="inlineStr"/>
      <c r="E121" s="25" t="inlineStr"/>
      <c r="F121" s="25" t="inlineStr"/>
      <c r="G121" s="35">
        <f>IF(OR(B121="",D121=""),"",D121*E121)</f>
        <v/>
      </c>
      <c r="H121" s="35">
        <f>IF(OR(B121="",D121=""),"",D121*VLOOKUP(B121,Inventory!$A$5:$J$104,10,FALSE))</f>
        <v/>
      </c>
      <c r="I121" s="35">
        <f>IF(G121="","",G121-F121-H121)</f>
        <v/>
      </c>
      <c r="J121" s="22" t="inlineStr"/>
    </row>
    <row r="122">
      <c r="A122" s="34" t="inlineStr"/>
      <c r="B122" s="22" t="inlineStr"/>
      <c r="C122" s="22" t="inlineStr"/>
      <c r="D122" s="23" t="inlineStr"/>
      <c r="E122" s="25" t="inlineStr"/>
      <c r="F122" s="25" t="inlineStr"/>
      <c r="G122" s="35">
        <f>IF(OR(B122="",D122=""),"",D122*E122)</f>
        <v/>
      </c>
      <c r="H122" s="35">
        <f>IF(OR(B122="",D122=""),"",D122*VLOOKUP(B122,Inventory!$A$5:$J$104,10,FALSE))</f>
        <v/>
      </c>
      <c r="I122" s="35">
        <f>IF(G122="","",G122-F122-H122)</f>
        <v/>
      </c>
      <c r="J122" s="22" t="inlineStr"/>
    </row>
    <row r="123">
      <c r="A123" s="34" t="inlineStr"/>
      <c r="B123" s="22" t="inlineStr"/>
      <c r="C123" s="22" t="inlineStr"/>
      <c r="D123" s="23" t="inlineStr"/>
      <c r="E123" s="25" t="inlineStr"/>
      <c r="F123" s="25" t="inlineStr"/>
      <c r="G123" s="35">
        <f>IF(OR(B123="",D123=""),"",D123*E123)</f>
        <v/>
      </c>
      <c r="H123" s="35">
        <f>IF(OR(B123="",D123=""),"",D123*VLOOKUP(B123,Inventory!$A$5:$J$104,10,FALSE))</f>
        <v/>
      </c>
      <c r="I123" s="35">
        <f>IF(G123="","",G123-F123-H123)</f>
        <v/>
      </c>
      <c r="J123" s="22" t="inlineStr"/>
    </row>
    <row r="124">
      <c r="A124" s="34" t="inlineStr"/>
      <c r="B124" s="22" t="inlineStr"/>
      <c r="C124" s="22" t="inlineStr"/>
      <c r="D124" s="23" t="inlineStr"/>
      <c r="E124" s="25" t="inlineStr"/>
      <c r="F124" s="25" t="inlineStr"/>
      <c r="G124" s="35">
        <f>IF(OR(B124="",D124=""),"",D124*E124)</f>
        <v/>
      </c>
      <c r="H124" s="35">
        <f>IF(OR(B124="",D124=""),"",D124*VLOOKUP(B124,Inventory!$A$5:$J$104,10,FALSE))</f>
        <v/>
      </c>
      <c r="I124" s="35">
        <f>IF(G124="","",G124-F124-H124)</f>
        <v/>
      </c>
      <c r="J124" s="22" t="inlineStr"/>
    </row>
    <row r="125">
      <c r="A125" s="34" t="inlineStr"/>
      <c r="B125" s="22" t="inlineStr"/>
      <c r="C125" s="22" t="inlineStr"/>
      <c r="D125" s="23" t="inlineStr"/>
      <c r="E125" s="25" t="inlineStr"/>
      <c r="F125" s="25" t="inlineStr"/>
      <c r="G125" s="35">
        <f>IF(OR(B125="",D125=""),"",D125*E125)</f>
        <v/>
      </c>
      <c r="H125" s="35">
        <f>IF(OR(B125="",D125=""),"",D125*VLOOKUP(B125,Inventory!$A$5:$J$104,10,FALSE))</f>
        <v/>
      </c>
      <c r="I125" s="35">
        <f>IF(G125="","",G125-F125-H125)</f>
        <v/>
      </c>
      <c r="J125" s="22" t="inlineStr"/>
    </row>
    <row r="126">
      <c r="A126" s="34" t="inlineStr"/>
      <c r="B126" s="22" t="inlineStr"/>
      <c r="C126" s="22" t="inlineStr"/>
      <c r="D126" s="23" t="inlineStr"/>
      <c r="E126" s="25" t="inlineStr"/>
      <c r="F126" s="25" t="inlineStr"/>
      <c r="G126" s="35">
        <f>IF(OR(B126="",D126=""),"",D126*E126)</f>
        <v/>
      </c>
      <c r="H126" s="35">
        <f>IF(OR(B126="",D126=""),"",D126*VLOOKUP(B126,Inventory!$A$5:$J$104,10,FALSE))</f>
        <v/>
      </c>
      <c r="I126" s="35">
        <f>IF(G126="","",G126-F126-H126)</f>
        <v/>
      </c>
      <c r="J126" s="22" t="inlineStr"/>
    </row>
    <row r="127">
      <c r="A127" s="34" t="inlineStr"/>
      <c r="B127" s="22" t="inlineStr"/>
      <c r="C127" s="22" t="inlineStr"/>
      <c r="D127" s="23" t="inlineStr"/>
      <c r="E127" s="25" t="inlineStr"/>
      <c r="F127" s="25" t="inlineStr"/>
      <c r="G127" s="35">
        <f>IF(OR(B127="",D127=""),"",D127*E127)</f>
        <v/>
      </c>
      <c r="H127" s="35">
        <f>IF(OR(B127="",D127=""),"",D127*VLOOKUP(B127,Inventory!$A$5:$J$104,10,FALSE))</f>
        <v/>
      </c>
      <c r="I127" s="35">
        <f>IF(G127="","",G127-F127-H127)</f>
        <v/>
      </c>
      <c r="J127" s="22" t="inlineStr"/>
    </row>
    <row r="128">
      <c r="A128" s="34" t="inlineStr"/>
      <c r="B128" s="22" t="inlineStr"/>
      <c r="C128" s="22" t="inlineStr"/>
      <c r="D128" s="23" t="inlineStr"/>
      <c r="E128" s="25" t="inlineStr"/>
      <c r="F128" s="25" t="inlineStr"/>
      <c r="G128" s="35">
        <f>IF(OR(B128="",D128=""),"",D128*E128)</f>
        <v/>
      </c>
      <c r="H128" s="35">
        <f>IF(OR(B128="",D128=""),"",D128*VLOOKUP(B128,Inventory!$A$5:$J$104,10,FALSE))</f>
        <v/>
      </c>
      <c r="I128" s="35">
        <f>IF(G128="","",G128-F128-H128)</f>
        <v/>
      </c>
      <c r="J128" s="22" t="inlineStr"/>
    </row>
    <row r="129">
      <c r="A129" s="34" t="inlineStr"/>
      <c r="B129" s="22" t="inlineStr"/>
      <c r="C129" s="22" t="inlineStr"/>
      <c r="D129" s="23" t="inlineStr"/>
      <c r="E129" s="25" t="inlineStr"/>
      <c r="F129" s="25" t="inlineStr"/>
      <c r="G129" s="35">
        <f>IF(OR(B129="",D129=""),"",D129*E129)</f>
        <v/>
      </c>
      <c r="H129" s="35">
        <f>IF(OR(B129="",D129=""),"",D129*VLOOKUP(B129,Inventory!$A$5:$J$104,10,FALSE))</f>
        <v/>
      </c>
      <c r="I129" s="35">
        <f>IF(G129="","",G129-F129-H129)</f>
        <v/>
      </c>
      <c r="J129" s="22" t="inlineStr"/>
    </row>
    <row r="130">
      <c r="A130" s="34" t="inlineStr"/>
      <c r="B130" s="22" t="inlineStr"/>
      <c r="C130" s="22" t="inlineStr"/>
      <c r="D130" s="23" t="inlineStr"/>
      <c r="E130" s="25" t="inlineStr"/>
      <c r="F130" s="25" t="inlineStr"/>
      <c r="G130" s="35">
        <f>IF(OR(B130="",D130=""),"",D130*E130)</f>
        <v/>
      </c>
      <c r="H130" s="35">
        <f>IF(OR(B130="",D130=""),"",D130*VLOOKUP(B130,Inventory!$A$5:$J$104,10,FALSE))</f>
        <v/>
      </c>
      <c r="I130" s="35">
        <f>IF(G130="","",G130-F130-H130)</f>
        <v/>
      </c>
      <c r="J130" s="22" t="inlineStr"/>
    </row>
    <row r="131">
      <c r="A131" s="34" t="inlineStr"/>
      <c r="B131" s="22" t="inlineStr"/>
      <c r="C131" s="22" t="inlineStr"/>
      <c r="D131" s="23" t="inlineStr"/>
      <c r="E131" s="25" t="inlineStr"/>
      <c r="F131" s="25" t="inlineStr"/>
      <c r="G131" s="35">
        <f>IF(OR(B131="",D131=""),"",D131*E131)</f>
        <v/>
      </c>
      <c r="H131" s="35">
        <f>IF(OR(B131="",D131=""),"",D131*VLOOKUP(B131,Inventory!$A$5:$J$104,10,FALSE))</f>
        <v/>
      </c>
      <c r="I131" s="35">
        <f>IF(G131="","",G131-F131-H131)</f>
        <v/>
      </c>
      <c r="J131" s="22" t="inlineStr"/>
    </row>
    <row r="132">
      <c r="A132" s="34" t="inlineStr"/>
      <c r="B132" s="22" t="inlineStr"/>
      <c r="C132" s="22" t="inlineStr"/>
      <c r="D132" s="23" t="inlineStr"/>
      <c r="E132" s="25" t="inlineStr"/>
      <c r="F132" s="25" t="inlineStr"/>
      <c r="G132" s="35">
        <f>IF(OR(B132="",D132=""),"",D132*E132)</f>
        <v/>
      </c>
      <c r="H132" s="35">
        <f>IF(OR(B132="",D132=""),"",D132*VLOOKUP(B132,Inventory!$A$5:$J$104,10,FALSE))</f>
        <v/>
      </c>
      <c r="I132" s="35">
        <f>IF(G132="","",G132-F132-H132)</f>
        <v/>
      </c>
      <c r="J132" s="22" t="inlineStr"/>
    </row>
    <row r="133">
      <c r="A133" s="34" t="inlineStr"/>
      <c r="B133" s="22" t="inlineStr"/>
      <c r="C133" s="22" t="inlineStr"/>
      <c r="D133" s="23" t="inlineStr"/>
      <c r="E133" s="25" t="inlineStr"/>
      <c r="F133" s="25" t="inlineStr"/>
      <c r="G133" s="35">
        <f>IF(OR(B133="",D133=""),"",D133*E133)</f>
        <v/>
      </c>
      <c r="H133" s="35">
        <f>IF(OR(B133="",D133=""),"",D133*VLOOKUP(B133,Inventory!$A$5:$J$104,10,FALSE))</f>
        <v/>
      </c>
      <c r="I133" s="35">
        <f>IF(G133="","",G133-F133-H133)</f>
        <v/>
      </c>
      <c r="J133" s="22" t="inlineStr"/>
    </row>
    <row r="134">
      <c r="A134" s="34" t="inlineStr"/>
      <c r="B134" s="22" t="inlineStr"/>
      <c r="C134" s="22" t="inlineStr"/>
      <c r="D134" s="23" t="inlineStr"/>
      <c r="E134" s="25" t="inlineStr"/>
      <c r="F134" s="25" t="inlineStr"/>
      <c r="G134" s="35">
        <f>IF(OR(B134="",D134=""),"",D134*E134)</f>
        <v/>
      </c>
      <c r="H134" s="35">
        <f>IF(OR(B134="",D134=""),"",D134*VLOOKUP(B134,Inventory!$A$5:$J$104,10,FALSE))</f>
        <v/>
      </c>
      <c r="I134" s="35">
        <f>IF(G134="","",G134-F134-H134)</f>
        <v/>
      </c>
      <c r="J134" s="22" t="inlineStr"/>
    </row>
    <row r="135">
      <c r="A135" s="34" t="inlineStr"/>
      <c r="B135" s="22" t="inlineStr"/>
      <c r="C135" s="22" t="inlineStr"/>
      <c r="D135" s="23" t="inlineStr"/>
      <c r="E135" s="25" t="inlineStr"/>
      <c r="F135" s="25" t="inlineStr"/>
      <c r="G135" s="35">
        <f>IF(OR(B135="",D135=""),"",D135*E135)</f>
        <v/>
      </c>
      <c r="H135" s="35">
        <f>IF(OR(B135="",D135=""),"",D135*VLOOKUP(B135,Inventory!$A$5:$J$104,10,FALSE))</f>
        <v/>
      </c>
      <c r="I135" s="35">
        <f>IF(G135="","",G135-F135-H135)</f>
        <v/>
      </c>
      <c r="J135" s="22" t="inlineStr"/>
    </row>
    <row r="136">
      <c r="A136" s="34" t="inlineStr"/>
      <c r="B136" s="22" t="inlineStr"/>
      <c r="C136" s="22" t="inlineStr"/>
      <c r="D136" s="23" t="inlineStr"/>
      <c r="E136" s="25" t="inlineStr"/>
      <c r="F136" s="25" t="inlineStr"/>
      <c r="G136" s="35">
        <f>IF(OR(B136="",D136=""),"",D136*E136)</f>
        <v/>
      </c>
      <c r="H136" s="35">
        <f>IF(OR(B136="",D136=""),"",D136*VLOOKUP(B136,Inventory!$A$5:$J$104,10,FALSE))</f>
        <v/>
      </c>
      <c r="I136" s="35">
        <f>IF(G136="","",G136-F136-H136)</f>
        <v/>
      </c>
      <c r="J136" s="22" t="inlineStr"/>
    </row>
    <row r="137">
      <c r="A137" s="34" t="inlineStr"/>
      <c r="B137" s="22" t="inlineStr"/>
      <c r="C137" s="22" t="inlineStr"/>
      <c r="D137" s="23" t="inlineStr"/>
      <c r="E137" s="25" t="inlineStr"/>
      <c r="F137" s="25" t="inlineStr"/>
      <c r="G137" s="35">
        <f>IF(OR(B137="",D137=""),"",D137*E137)</f>
        <v/>
      </c>
      <c r="H137" s="35">
        <f>IF(OR(B137="",D137=""),"",D137*VLOOKUP(B137,Inventory!$A$5:$J$104,10,FALSE))</f>
        <v/>
      </c>
      <c r="I137" s="35">
        <f>IF(G137="","",G137-F137-H137)</f>
        <v/>
      </c>
      <c r="J137" s="22" t="inlineStr"/>
    </row>
    <row r="138">
      <c r="A138" s="34" t="inlineStr"/>
      <c r="B138" s="22" t="inlineStr"/>
      <c r="C138" s="22" t="inlineStr"/>
      <c r="D138" s="23" t="inlineStr"/>
      <c r="E138" s="25" t="inlineStr"/>
      <c r="F138" s="25" t="inlineStr"/>
      <c r="G138" s="35">
        <f>IF(OR(B138="",D138=""),"",D138*E138)</f>
        <v/>
      </c>
      <c r="H138" s="35">
        <f>IF(OR(B138="",D138=""),"",D138*VLOOKUP(B138,Inventory!$A$5:$J$104,10,FALSE))</f>
        <v/>
      </c>
      <c r="I138" s="35">
        <f>IF(G138="","",G138-F138-H138)</f>
        <v/>
      </c>
      <c r="J138" s="22" t="inlineStr"/>
    </row>
    <row r="139">
      <c r="A139" s="34" t="inlineStr"/>
      <c r="B139" s="22" t="inlineStr"/>
      <c r="C139" s="22" t="inlineStr"/>
      <c r="D139" s="23" t="inlineStr"/>
      <c r="E139" s="25" t="inlineStr"/>
      <c r="F139" s="25" t="inlineStr"/>
      <c r="G139" s="35">
        <f>IF(OR(B139="",D139=""),"",D139*E139)</f>
        <v/>
      </c>
      <c r="H139" s="35">
        <f>IF(OR(B139="",D139=""),"",D139*VLOOKUP(B139,Inventory!$A$5:$J$104,10,FALSE))</f>
        <v/>
      </c>
      <c r="I139" s="35">
        <f>IF(G139="","",G139-F139-H139)</f>
        <v/>
      </c>
      <c r="J139" s="22" t="inlineStr"/>
    </row>
    <row r="140">
      <c r="A140" s="34" t="inlineStr"/>
      <c r="B140" s="22" t="inlineStr"/>
      <c r="C140" s="22" t="inlineStr"/>
      <c r="D140" s="23" t="inlineStr"/>
      <c r="E140" s="25" t="inlineStr"/>
      <c r="F140" s="25" t="inlineStr"/>
      <c r="G140" s="35">
        <f>IF(OR(B140="",D140=""),"",D140*E140)</f>
        <v/>
      </c>
      <c r="H140" s="35">
        <f>IF(OR(B140="",D140=""),"",D140*VLOOKUP(B140,Inventory!$A$5:$J$104,10,FALSE))</f>
        <v/>
      </c>
      <c r="I140" s="35">
        <f>IF(G140="","",G140-F140-H140)</f>
        <v/>
      </c>
      <c r="J140" s="22" t="inlineStr"/>
    </row>
    <row r="141">
      <c r="A141" s="34" t="inlineStr"/>
      <c r="B141" s="22" t="inlineStr"/>
      <c r="C141" s="22" t="inlineStr"/>
      <c r="D141" s="23" t="inlineStr"/>
      <c r="E141" s="25" t="inlineStr"/>
      <c r="F141" s="25" t="inlineStr"/>
      <c r="G141" s="35">
        <f>IF(OR(B141="",D141=""),"",D141*E141)</f>
        <v/>
      </c>
      <c r="H141" s="35">
        <f>IF(OR(B141="",D141=""),"",D141*VLOOKUP(B141,Inventory!$A$5:$J$104,10,FALSE))</f>
        <v/>
      </c>
      <c r="I141" s="35">
        <f>IF(G141="","",G141-F141-H141)</f>
        <v/>
      </c>
      <c r="J141" s="22" t="inlineStr"/>
    </row>
    <row r="142">
      <c r="A142" s="34" t="inlineStr"/>
      <c r="B142" s="22" t="inlineStr"/>
      <c r="C142" s="22" t="inlineStr"/>
      <c r="D142" s="23" t="inlineStr"/>
      <c r="E142" s="25" t="inlineStr"/>
      <c r="F142" s="25" t="inlineStr"/>
      <c r="G142" s="35">
        <f>IF(OR(B142="",D142=""),"",D142*E142)</f>
        <v/>
      </c>
      <c r="H142" s="35">
        <f>IF(OR(B142="",D142=""),"",D142*VLOOKUP(B142,Inventory!$A$5:$J$104,10,FALSE))</f>
        <v/>
      </c>
      <c r="I142" s="35">
        <f>IF(G142="","",G142-F142-H142)</f>
        <v/>
      </c>
      <c r="J142" s="22" t="inlineStr"/>
    </row>
    <row r="143">
      <c r="A143" s="34" t="inlineStr"/>
      <c r="B143" s="22" t="inlineStr"/>
      <c r="C143" s="22" t="inlineStr"/>
      <c r="D143" s="23" t="inlineStr"/>
      <c r="E143" s="25" t="inlineStr"/>
      <c r="F143" s="25" t="inlineStr"/>
      <c r="G143" s="35">
        <f>IF(OR(B143="",D143=""),"",D143*E143)</f>
        <v/>
      </c>
      <c r="H143" s="35">
        <f>IF(OR(B143="",D143=""),"",D143*VLOOKUP(B143,Inventory!$A$5:$J$104,10,FALSE))</f>
        <v/>
      </c>
      <c r="I143" s="35">
        <f>IF(G143="","",G143-F143-H143)</f>
        <v/>
      </c>
      <c r="J143" s="22" t="inlineStr"/>
    </row>
    <row r="144">
      <c r="A144" s="34" t="inlineStr"/>
      <c r="B144" s="22" t="inlineStr"/>
      <c r="C144" s="22" t="inlineStr"/>
      <c r="D144" s="23" t="inlineStr"/>
      <c r="E144" s="25" t="inlineStr"/>
      <c r="F144" s="25" t="inlineStr"/>
      <c r="G144" s="35">
        <f>IF(OR(B144="",D144=""),"",D144*E144)</f>
        <v/>
      </c>
      <c r="H144" s="35">
        <f>IF(OR(B144="",D144=""),"",D144*VLOOKUP(B144,Inventory!$A$5:$J$104,10,FALSE))</f>
        <v/>
      </c>
      <c r="I144" s="35">
        <f>IF(G144="","",G144-F144-H144)</f>
        <v/>
      </c>
      <c r="J144" s="22" t="inlineStr"/>
    </row>
    <row r="145">
      <c r="A145" s="34" t="inlineStr"/>
      <c r="B145" s="22" t="inlineStr"/>
      <c r="C145" s="22" t="inlineStr"/>
      <c r="D145" s="23" t="inlineStr"/>
      <c r="E145" s="25" t="inlineStr"/>
      <c r="F145" s="25" t="inlineStr"/>
      <c r="G145" s="35">
        <f>IF(OR(B145="",D145=""),"",D145*E145)</f>
        <v/>
      </c>
      <c r="H145" s="35">
        <f>IF(OR(B145="",D145=""),"",D145*VLOOKUP(B145,Inventory!$A$5:$J$104,10,FALSE))</f>
        <v/>
      </c>
      <c r="I145" s="35">
        <f>IF(G145="","",G145-F145-H145)</f>
        <v/>
      </c>
      <c r="J145" s="22" t="inlineStr"/>
    </row>
    <row r="146">
      <c r="A146" s="34" t="inlineStr"/>
      <c r="B146" s="22" t="inlineStr"/>
      <c r="C146" s="22" t="inlineStr"/>
      <c r="D146" s="23" t="inlineStr"/>
      <c r="E146" s="25" t="inlineStr"/>
      <c r="F146" s="25" t="inlineStr"/>
      <c r="G146" s="35">
        <f>IF(OR(B146="",D146=""),"",D146*E146)</f>
        <v/>
      </c>
      <c r="H146" s="35">
        <f>IF(OR(B146="",D146=""),"",D146*VLOOKUP(B146,Inventory!$A$5:$J$104,10,FALSE))</f>
        <v/>
      </c>
      <c r="I146" s="35">
        <f>IF(G146="","",G146-F146-H146)</f>
        <v/>
      </c>
      <c r="J146" s="22" t="inlineStr"/>
    </row>
    <row r="147">
      <c r="A147" s="34" t="inlineStr"/>
      <c r="B147" s="22" t="inlineStr"/>
      <c r="C147" s="22" t="inlineStr"/>
      <c r="D147" s="23" t="inlineStr"/>
      <c r="E147" s="25" t="inlineStr"/>
      <c r="F147" s="25" t="inlineStr"/>
      <c r="G147" s="35">
        <f>IF(OR(B147="",D147=""),"",D147*E147)</f>
        <v/>
      </c>
      <c r="H147" s="35">
        <f>IF(OR(B147="",D147=""),"",D147*VLOOKUP(B147,Inventory!$A$5:$J$104,10,FALSE))</f>
        <v/>
      </c>
      <c r="I147" s="35">
        <f>IF(G147="","",G147-F147-H147)</f>
        <v/>
      </c>
      <c r="J147" s="22" t="inlineStr"/>
    </row>
    <row r="148">
      <c r="A148" s="34" t="inlineStr"/>
      <c r="B148" s="22" t="inlineStr"/>
      <c r="C148" s="22" t="inlineStr"/>
      <c r="D148" s="23" t="inlineStr"/>
      <c r="E148" s="25" t="inlineStr"/>
      <c r="F148" s="25" t="inlineStr"/>
      <c r="G148" s="35">
        <f>IF(OR(B148="",D148=""),"",D148*E148)</f>
        <v/>
      </c>
      <c r="H148" s="35">
        <f>IF(OR(B148="",D148=""),"",D148*VLOOKUP(B148,Inventory!$A$5:$J$104,10,FALSE))</f>
        <v/>
      </c>
      <c r="I148" s="35">
        <f>IF(G148="","",G148-F148-H148)</f>
        <v/>
      </c>
      <c r="J148" s="22" t="inlineStr"/>
    </row>
    <row r="149">
      <c r="A149" s="34" t="inlineStr"/>
      <c r="B149" s="22" t="inlineStr"/>
      <c r="C149" s="22" t="inlineStr"/>
      <c r="D149" s="23" t="inlineStr"/>
      <c r="E149" s="25" t="inlineStr"/>
      <c r="F149" s="25" t="inlineStr"/>
      <c r="G149" s="35">
        <f>IF(OR(B149="",D149=""),"",D149*E149)</f>
        <v/>
      </c>
      <c r="H149" s="35">
        <f>IF(OR(B149="",D149=""),"",D149*VLOOKUP(B149,Inventory!$A$5:$J$104,10,FALSE))</f>
        <v/>
      </c>
      <c r="I149" s="35">
        <f>IF(G149="","",G149-F149-H149)</f>
        <v/>
      </c>
      <c r="J149" s="22" t="inlineStr"/>
    </row>
    <row r="150">
      <c r="A150" s="34" t="inlineStr"/>
      <c r="B150" s="22" t="inlineStr"/>
      <c r="C150" s="22" t="inlineStr"/>
      <c r="D150" s="23" t="inlineStr"/>
      <c r="E150" s="25" t="inlineStr"/>
      <c r="F150" s="25" t="inlineStr"/>
      <c r="G150" s="35">
        <f>IF(OR(B150="",D150=""),"",D150*E150)</f>
        <v/>
      </c>
      <c r="H150" s="35">
        <f>IF(OR(B150="",D150=""),"",D150*VLOOKUP(B150,Inventory!$A$5:$J$104,10,FALSE))</f>
        <v/>
      </c>
      <c r="I150" s="35">
        <f>IF(G150="","",G150-F150-H150)</f>
        <v/>
      </c>
      <c r="J150" s="22" t="inlineStr"/>
    </row>
    <row r="151">
      <c r="A151" s="34" t="inlineStr"/>
      <c r="B151" s="22" t="inlineStr"/>
      <c r="C151" s="22" t="inlineStr"/>
      <c r="D151" s="23" t="inlineStr"/>
      <c r="E151" s="25" t="inlineStr"/>
      <c r="F151" s="25" t="inlineStr"/>
      <c r="G151" s="35">
        <f>IF(OR(B151="",D151=""),"",D151*E151)</f>
        <v/>
      </c>
      <c r="H151" s="35">
        <f>IF(OR(B151="",D151=""),"",D151*VLOOKUP(B151,Inventory!$A$5:$J$104,10,FALSE))</f>
        <v/>
      </c>
      <c r="I151" s="35">
        <f>IF(G151="","",G151-F151-H151)</f>
        <v/>
      </c>
      <c r="J151" s="22" t="inlineStr"/>
    </row>
    <row r="152">
      <c r="A152" s="34" t="inlineStr"/>
      <c r="B152" s="22" t="inlineStr"/>
      <c r="C152" s="22" t="inlineStr"/>
      <c r="D152" s="23" t="inlineStr"/>
      <c r="E152" s="25" t="inlineStr"/>
      <c r="F152" s="25" t="inlineStr"/>
      <c r="G152" s="35">
        <f>IF(OR(B152="",D152=""),"",D152*E152)</f>
        <v/>
      </c>
      <c r="H152" s="35">
        <f>IF(OR(B152="",D152=""),"",D152*VLOOKUP(B152,Inventory!$A$5:$J$104,10,FALSE))</f>
        <v/>
      </c>
      <c r="I152" s="35">
        <f>IF(G152="","",G152-F152-H152)</f>
        <v/>
      </c>
      <c r="J152" s="22" t="inlineStr"/>
    </row>
    <row r="153">
      <c r="A153" s="34" t="inlineStr"/>
      <c r="B153" s="22" t="inlineStr"/>
      <c r="C153" s="22" t="inlineStr"/>
      <c r="D153" s="23" t="inlineStr"/>
      <c r="E153" s="25" t="inlineStr"/>
      <c r="F153" s="25" t="inlineStr"/>
      <c r="G153" s="35">
        <f>IF(OR(B153="",D153=""),"",D153*E153)</f>
        <v/>
      </c>
      <c r="H153" s="35">
        <f>IF(OR(B153="",D153=""),"",D153*VLOOKUP(B153,Inventory!$A$5:$J$104,10,FALSE))</f>
        <v/>
      </c>
      <c r="I153" s="35">
        <f>IF(G153="","",G153-F153-H153)</f>
        <v/>
      </c>
      <c r="J153" s="22" t="inlineStr"/>
    </row>
    <row r="154">
      <c r="A154" s="34" t="inlineStr"/>
      <c r="B154" s="22" t="inlineStr"/>
      <c r="C154" s="22" t="inlineStr"/>
      <c r="D154" s="23" t="inlineStr"/>
      <c r="E154" s="25" t="inlineStr"/>
      <c r="F154" s="25" t="inlineStr"/>
      <c r="G154" s="35">
        <f>IF(OR(B154="",D154=""),"",D154*E154)</f>
        <v/>
      </c>
      <c r="H154" s="35">
        <f>IF(OR(B154="",D154=""),"",D154*VLOOKUP(B154,Inventory!$A$5:$J$104,10,FALSE))</f>
        <v/>
      </c>
      <c r="I154" s="35">
        <f>IF(G154="","",G154-F154-H154)</f>
        <v/>
      </c>
      <c r="J154" s="22" t="inlineStr"/>
    </row>
    <row r="155">
      <c r="A155" s="34" t="inlineStr"/>
      <c r="B155" s="22" t="inlineStr"/>
      <c r="C155" s="22" t="inlineStr"/>
      <c r="D155" s="23" t="inlineStr"/>
      <c r="E155" s="25" t="inlineStr"/>
      <c r="F155" s="25" t="inlineStr"/>
      <c r="G155" s="35">
        <f>IF(OR(B155="",D155=""),"",D155*E155)</f>
        <v/>
      </c>
      <c r="H155" s="35">
        <f>IF(OR(B155="",D155=""),"",D155*VLOOKUP(B155,Inventory!$A$5:$J$104,10,FALSE))</f>
        <v/>
      </c>
      <c r="I155" s="35">
        <f>IF(G155="","",G155-F155-H155)</f>
        <v/>
      </c>
      <c r="J155" s="22" t="inlineStr"/>
    </row>
    <row r="156">
      <c r="A156" s="34" t="inlineStr"/>
      <c r="B156" s="22" t="inlineStr"/>
      <c r="C156" s="22" t="inlineStr"/>
      <c r="D156" s="23" t="inlineStr"/>
      <c r="E156" s="25" t="inlineStr"/>
      <c r="F156" s="25" t="inlineStr"/>
      <c r="G156" s="35">
        <f>IF(OR(B156="",D156=""),"",D156*E156)</f>
        <v/>
      </c>
      <c r="H156" s="35">
        <f>IF(OR(B156="",D156=""),"",D156*VLOOKUP(B156,Inventory!$A$5:$J$104,10,FALSE))</f>
        <v/>
      </c>
      <c r="I156" s="35">
        <f>IF(G156="","",G156-F156-H156)</f>
        <v/>
      </c>
      <c r="J156" s="22" t="inlineStr"/>
    </row>
    <row r="157">
      <c r="A157" s="34" t="inlineStr"/>
      <c r="B157" s="22" t="inlineStr"/>
      <c r="C157" s="22" t="inlineStr"/>
      <c r="D157" s="23" t="inlineStr"/>
      <c r="E157" s="25" t="inlineStr"/>
      <c r="F157" s="25" t="inlineStr"/>
      <c r="G157" s="35">
        <f>IF(OR(B157="",D157=""),"",D157*E157)</f>
        <v/>
      </c>
      <c r="H157" s="35">
        <f>IF(OR(B157="",D157=""),"",D157*VLOOKUP(B157,Inventory!$A$5:$J$104,10,FALSE))</f>
        <v/>
      </c>
      <c r="I157" s="35">
        <f>IF(G157="","",G157-F157-H157)</f>
        <v/>
      </c>
      <c r="J157" s="22" t="inlineStr"/>
    </row>
    <row r="158">
      <c r="A158" s="34" t="inlineStr"/>
      <c r="B158" s="22" t="inlineStr"/>
      <c r="C158" s="22" t="inlineStr"/>
      <c r="D158" s="23" t="inlineStr"/>
      <c r="E158" s="25" t="inlineStr"/>
      <c r="F158" s="25" t="inlineStr"/>
      <c r="G158" s="35">
        <f>IF(OR(B158="",D158=""),"",D158*E158)</f>
        <v/>
      </c>
      <c r="H158" s="35">
        <f>IF(OR(B158="",D158=""),"",D158*VLOOKUP(B158,Inventory!$A$5:$J$104,10,FALSE))</f>
        <v/>
      </c>
      <c r="I158" s="35">
        <f>IF(G158="","",G158-F158-H158)</f>
        <v/>
      </c>
      <c r="J158" s="22" t="inlineStr"/>
    </row>
    <row r="159">
      <c r="A159" s="34" t="inlineStr"/>
      <c r="B159" s="22" t="inlineStr"/>
      <c r="C159" s="22" t="inlineStr"/>
      <c r="D159" s="23" t="inlineStr"/>
      <c r="E159" s="25" t="inlineStr"/>
      <c r="F159" s="25" t="inlineStr"/>
      <c r="G159" s="35">
        <f>IF(OR(B159="",D159=""),"",D159*E159)</f>
        <v/>
      </c>
      <c r="H159" s="35">
        <f>IF(OR(B159="",D159=""),"",D159*VLOOKUP(B159,Inventory!$A$5:$J$104,10,FALSE))</f>
        <v/>
      </c>
      <c r="I159" s="35">
        <f>IF(G159="","",G159-F159-H159)</f>
        <v/>
      </c>
      <c r="J159" s="22" t="inlineStr"/>
    </row>
    <row r="160">
      <c r="A160" s="34" t="inlineStr"/>
      <c r="B160" s="22" t="inlineStr"/>
      <c r="C160" s="22" t="inlineStr"/>
      <c r="D160" s="23" t="inlineStr"/>
      <c r="E160" s="25" t="inlineStr"/>
      <c r="F160" s="25" t="inlineStr"/>
      <c r="G160" s="35">
        <f>IF(OR(B160="",D160=""),"",D160*E160)</f>
        <v/>
      </c>
      <c r="H160" s="35">
        <f>IF(OR(B160="",D160=""),"",D160*VLOOKUP(B160,Inventory!$A$5:$J$104,10,FALSE))</f>
        <v/>
      </c>
      <c r="I160" s="35">
        <f>IF(G160="","",G160-F160-H160)</f>
        <v/>
      </c>
      <c r="J160" s="22" t="inlineStr"/>
    </row>
    <row r="161">
      <c r="A161" s="34" t="inlineStr"/>
      <c r="B161" s="22" t="inlineStr"/>
      <c r="C161" s="22" t="inlineStr"/>
      <c r="D161" s="23" t="inlineStr"/>
      <c r="E161" s="25" t="inlineStr"/>
      <c r="F161" s="25" t="inlineStr"/>
      <c r="G161" s="35">
        <f>IF(OR(B161="",D161=""),"",D161*E161)</f>
        <v/>
      </c>
      <c r="H161" s="35">
        <f>IF(OR(B161="",D161=""),"",D161*VLOOKUP(B161,Inventory!$A$5:$J$104,10,FALSE))</f>
        <v/>
      </c>
      <c r="I161" s="35">
        <f>IF(G161="","",G161-F161-H161)</f>
        <v/>
      </c>
      <c r="J161" s="22" t="inlineStr"/>
    </row>
    <row r="162">
      <c r="A162" s="34" t="inlineStr"/>
      <c r="B162" s="22" t="inlineStr"/>
      <c r="C162" s="22" t="inlineStr"/>
      <c r="D162" s="23" t="inlineStr"/>
      <c r="E162" s="25" t="inlineStr"/>
      <c r="F162" s="25" t="inlineStr"/>
      <c r="G162" s="35">
        <f>IF(OR(B162="",D162=""),"",D162*E162)</f>
        <v/>
      </c>
      <c r="H162" s="35">
        <f>IF(OR(B162="",D162=""),"",D162*VLOOKUP(B162,Inventory!$A$5:$J$104,10,FALSE))</f>
        <v/>
      </c>
      <c r="I162" s="35">
        <f>IF(G162="","",G162-F162-H162)</f>
        <v/>
      </c>
      <c r="J162" s="22" t="inlineStr"/>
    </row>
    <row r="163">
      <c r="A163" s="34" t="inlineStr"/>
      <c r="B163" s="22" t="inlineStr"/>
      <c r="C163" s="22" t="inlineStr"/>
      <c r="D163" s="23" t="inlineStr"/>
      <c r="E163" s="25" t="inlineStr"/>
      <c r="F163" s="25" t="inlineStr"/>
      <c r="G163" s="35">
        <f>IF(OR(B163="",D163=""),"",D163*E163)</f>
        <v/>
      </c>
      <c r="H163" s="35">
        <f>IF(OR(B163="",D163=""),"",D163*VLOOKUP(B163,Inventory!$A$5:$J$104,10,FALSE))</f>
        <v/>
      </c>
      <c r="I163" s="35">
        <f>IF(G163="","",G163-F163-H163)</f>
        <v/>
      </c>
      <c r="J163" s="22" t="inlineStr"/>
    </row>
    <row r="164">
      <c r="A164" s="34" t="inlineStr"/>
      <c r="B164" s="22" t="inlineStr"/>
      <c r="C164" s="22" t="inlineStr"/>
      <c r="D164" s="23" t="inlineStr"/>
      <c r="E164" s="25" t="inlineStr"/>
      <c r="F164" s="25" t="inlineStr"/>
      <c r="G164" s="35">
        <f>IF(OR(B164="",D164=""),"",D164*E164)</f>
        <v/>
      </c>
      <c r="H164" s="35">
        <f>IF(OR(B164="",D164=""),"",D164*VLOOKUP(B164,Inventory!$A$5:$J$104,10,FALSE))</f>
        <v/>
      </c>
      <c r="I164" s="35">
        <f>IF(G164="","",G164-F164-H164)</f>
        <v/>
      </c>
      <c r="J164" s="22" t="inlineStr"/>
    </row>
    <row r="165">
      <c r="A165" s="34" t="inlineStr"/>
      <c r="B165" s="22" t="inlineStr"/>
      <c r="C165" s="22" t="inlineStr"/>
      <c r="D165" s="23" t="inlineStr"/>
      <c r="E165" s="25" t="inlineStr"/>
      <c r="F165" s="25" t="inlineStr"/>
      <c r="G165" s="35">
        <f>IF(OR(B165="",D165=""),"",D165*E165)</f>
        <v/>
      </c>
      <c r="H165" s="35">
        <f>IF(OR(B165="",D165=""),"",D165*VLOOKUP(B165,Inventory!$A$5:$J$104,10,FALSE))</f>
        <v/>
      </c>
      <c r="I165" s="35">
        <f>IF(G165="","",G165-F165-H165)</f>
        <v/>
      </c>
      <c r="J165" s="22" t="inlineStr"/>
    </row>
    <row r="166">
      <c r="A166" s="34" t="inlineStr"/>
      <c r="B166" s="22" t="inlineStr"/>
      <c r="C166" s="22" t="inlineStr"/>
      <c r="D166" s="23" t="inlineStr"/>
      <c r="E166" s="25" t="inlineStr"/>
      <c r="F166" s="25" t="inlineStr"/>
      <c r="G166" s="35">
        <f>IF(OR(B166="",D166=""),"",D166*E166)</f>
        <v/>
      </c>
      <c r="H166" s="35">
        <f>IF(OR(B166="",D166=""),"",D166*VLOOKUP(B166,Inventory!$A$5:$J$104,10,FALSE))</f>
        <v/>
      </c>
      <c r="I166" s="35">
        <f>IF(G166="","",G166-F166-H166)</f>
        <v/>
      </c>
      <c r="J166" s="22" t="inlineStr"/>
    </row>
    <row r="167">
      <c r="A167" s="34" t="inlineStr"/>
      <c r="B167" s="22" t="inlineStr"/>
      <c r="C167" s="22" t="inlineStr"/>
      <c r="D167" s="23" t="inlineStr"/>
      <c r="E167" s="25" t="inlineStr"/>
      <c r="F167" s="25" t="inlineStr"/>
      <c r="G167" s="35">
        <f>IF(OR(B167="",D167=""),"",D167*E167)</f>
        <v/>
      </c>
      <c r="H167" s="35">
        <f>IF(OR(B167="",D167=""),"",D167*VLOOKUP(B167,Inventory!$A$5:$J$104,10,FALSE))</f>
        <v/>
      </c>
      <c r="I167" s="35">
        <f>IF(G167="","",G167-F167-H167)</f>
        <v/>
      </c>
      <c r="J167" s="22" t="inlineStr"/>
    </row>
    <row r="168">
      <c r="A168" s="34" t="inlineStr"/>
      <c r="B168" s="22" t="inlineStr"/>
      <c r="C168" s="22" t="inlineStr"/>
      <c r="D168" s="23" t="inlineStr"/>
      <c r="E168" s="25" t="inlineStr"/>
      <c r="F168" s="25" t="inlineStr"/>
      <c r="G168" s="35">
        <f>IF(OR(B168="",D168=""),"",D168*E168)</f>
        <v/>
      </c>
      <c r="H168" s="35">
        <f>IF(OR(B168="",D168=""),"",D168*VLOOKUP(B168,Inventory!$A$5:$J$104,10,FALSE))</f>
        <v/>
      </c>
      <c r="I168" s="35">
        <f>IF(G168="","",G168-F168-H168)</f>
        <v/>
      </c>
      <c r="J168" s="22" t="inlineStr"/>
    </row>
    <row r="169">
      <c r="A169" s="34" t="inlineStr"/>
      <c r="B169" s="22" t="inlineStr"/>
      <c r="C169" s="22" t="inlineStr"/>
      <c r="D169" s="23" t="inlineStr"/>
      <c r="E169" s="25" t="inlineStr"/>
      <c r="F169" s="25" t="inlineStr"/>
      <c r="G169" s="35">
        <f>IF(OR(B169="",D169=""),"",D169*E169)</f>
        <v/>
      </c>
      <c r="H169" s="35">
        <f>IF(OR(B169="",D169=""),"",D169*VLOOKUP(B169,Inventory!$A$5:$J$104,10,FALSE))</f>
        <v/>
      </c>
      <c r="I169" s="35">
        <f>IF(G169="","",G169-F169-H169)</f>
        <v/>
      </c>
      <c r="J169" s="22" t="inlineStr"/>
    </row>
    <row r="170">
      <c r="A170" s="34" t="inlineStr"/>
      <c r="B170" s="22" t="inlineStr"/>
      <c r="C170" s="22" t="inlineStr"/>
      <c r="D170" s="23" t="inlineStr"/>
      <c r="E170" s="25" t="inlineStr"/>
      <c r="F170" s="25" t="inlineStr"/>
      <c r="G170" s="35">
        <f>IF(OR(B170="",D170=""),"",D170*E170)</f>
        <v/>
      </c>
      <c r="H170" s="35">
        <f>IF(OR(B170="",D170=""),"",D170*VLOOKUP(B170,Inventory!$A$5:$J$104,10,FALSE))</f>
        <v/>
      </c>
      <c r="I170" s="35">
        <f>IF(G170="","",G170-F170-H170)</f>
        <v/>
      </c>
      <c r="J170" s="22" t="inlineStr"/>
    </row>
    <row r="171">
      <c r="A171" s="34" t="inlineStr"/>
      <c r="B171" s="22" t="inlineStr"/>
      <c r="C171" s="22" t="inlineStr"/>
      <c r="D171" s="23" t="inlineStr"/>
      <c r="E171" s="25" t="inlineStr"/>
      <c r="F171" s="25" t="inlineStr"/>
      <c r="G171" s="35">
        <f>IF(OR(B171="",D171=""),"",D171*E171)</f>
        <v/>
      </c>
      <c r="H171" s="35">
        <f>IF(OR(B171="",D171=""),"",D171*VLOOKUP(B171,Inventory!$A$5:$J$104,10,FALSE))</f>
        <v/>
      </c>
      <c r="I171" s="35">
        <f>IF(G171="","",G171-F171-H171)</f>
        <v/>
      </c>
      <c r="J171" s="22" t="inlineStr"/>
    </row>
    <row r="172">
      <c r="A172" s="34" t="inlineStr"/>
      <c r="B172" s="22" t="inlineStr"/>
      <c r="C172" s="22" t="inlineStr"/>
      <c r="D172" s="23" t="inlineStr"/>
      <c r="E172" s="25" t="inlineStr"/>
      <c r="F172" s="25" t="inlineStr"/>
      <c r="G172" s="35">
        <f>IF(OR(B172="",D172=""),"",D172*E172)</f>
        <v/>
      </c>
      <c r="H172" s="35">
        <f>IF(OR(B172="",D172=""),"",D172*VLOOKUP(B172,Inventory!$A$5:$J$104,10,FALSE))</f>
        <v/>
      </c>
      <c r="I172" s="35">
        <f>IF(G172="","",G172-F172-H172)</f>
        <v/>
      </c>
      <c r="J172" s="22" t="inlineStr"/>
    </row>
    <row r="173">
      <c r="A173" s="34" t="inlineStr"/>
      <c r="B173" s="22" t="inlineStr"/>
      <c r="C173" s="22" t="inlineStr"/>
      <c r="D173" s="23" t="inlineStr"/>
      <c r="E173" s="25" t="inlineStr"/>
      <c r="F173" s="25" t="inlineStr"/>
      <c r="G173" s="35">
        <f>IF(OR(B173="",D173=""),"",D173*E173)</f>
        <v/>
      </c>
      <c r="H173" s="35">
        <f>IF(OR(B173="",D173=""),"",D173*VLOOKUP(B173,Inventory!$A$5:$J$104,10,FALSE))</f>
        <v/>
      </c>
      <c r="I173" s="35">
        <f>IF(G173="","",G173-F173-H173)</f>
        <v/>
      </c>
      <c r="J173" s="22" t="inlineStr"/>
    </row>
    <row r="174">
      <c r="A174" s="34" t="inlineStr"/>
      <c r="B174" s="22" t="inlineStr"/>
      <c r="C174" s="22" t="inlineStr"/>
      <c r="D174" s="23" t="inlineStr"/>
      <c r="E174" s="25" t="inlineStr"/>
      <c r="F174" s="25" t="inlineStr"/>
      <c r="G174" s="35">
        <f>IF(OR(B174="",D174=""),"",D174*E174)</f>
        <v/>
      </c>
      <c r="H174" s="35">
        <f>IF(OR(B174="",D174=""),"",D174*VLOOKUP(B174,Inventory!$A$5:$J$104,10,FALSE))</f>
        <v/>
      </c>
      <c r="I174" s="35">
        <f>IF(G174="","",G174-F174-H174)</f>
        <v/>
      </c>
      <c r="J174" s="22" t="inlineStr"/>
    </row>
    <row r="175">
      <c r="A175" s="34" t="inlineStr"/>
      <c r="B175" s="22" t="inlineStr"/>
      <c r="C175" s="22" t="inlineStr"/>
      <c r="D175" s="23" t="inlineStr"/>
      <c r="E175" s="25" t="inlineStr"/>
      <c r="F175" s="25" t="inlineStr"/>
      <c r="G175" s="35">
        <f>IF(OR(B175="",D175=""),"",D175*E175)</f>
        <v/>
      </c>
      <c r="H175" s="35">
        <f>IF(OR(B175="",D175=""),"",D175*VLOOKUP(B175,Inventory!$A$5:$J$104,10,FALSE))</f>
        <v/>
      </c>
      <c r="I175" s="35">
        <f>IF(G175="","",G175-F175-H175)</f>
        <v/>
      </c>
      <c r="J175" s="22" t="inlineStr"/>
    </row>
    <row r="176">
      <c r="A176" s="34" t="inlineStr"/>
      <c r="B176" s="22" t="inlineStr"/>
      <c r="C176" s="22" t="inlineStr"/>
      <c r="D176" s="23" t="inlineStr"/>
      <c r="E176" s="25" t="inlineStr"/>
      <c r="F176" s="25" t="inlineStr"/>
      <c r="G176" s="35">
        <f>IF(OR(B176="",D176=""),"",D176*E176)</f>
        <v/>
      </c>
      <c r="H176" s="35">
        <f>IF(OR(B176="",D176=""),"",D176*VLOOKUP(B176,Inventory!$A$5:$J$104,10,FALSE))</f>
        <v/>
      </c>
      <c r="I176" s="35">
        <f>IF(G176="","",G176-F176-H176)</f>
        <v/>
      </c>
      <c r="J176" s="22" t="inlineStr"/>
    </row>
    <row r="177">
      <c r="A177" s="34" t="inlineStr"/>
      <c r="B177" s="22" t="inlineStr"/>
      <c r="C177" s="22" t="inlineStr"/>
      <c r="D177" s="23" t="inlineStr"/>
      <c r="E177" s="25" t="inlineStr"/>
      <c r="F177" s="25" t="inlineStr"/>
      <c r="G177" s="35">
        <f>IF(OR(B177="",D177=""),"",D177*E177)</f>
        <v/>
      </c>
      <c r="H177" s="35">
        <f>IF(OR(B177="",D177=""),"",D177*VLOOKUP(B177,Inventory!$A$5:$J$104,10,FALSE))</f>
        <v/>
      </c>
      <c r="I177" s="35">
        <f>IF(G177="","",G177-F177-H177)</f>
        <v/>
      </c>
      <c r="J177" s="22" t="inlineStr"/>
    </row>
    <row r="178">
      <c r="A178" s="34" t="inlineStr"/>
      <c r="B178" s="22" t="inlineStr"/>
      <c r="C178" s="22" t="inlineStr"/>
      <c r="D178" s="23" t="inlineStr"/>
      <c r="E178" s="25" t="inlineStr"/>
      <c r="F178" s="25" t="inlineStr"/>
      <c r="G178" s="35">
        <f>IF(OR(B178="",D178=""),"",D178*E178)</f>
        <v/>
      </c>
      <c r="H178" s="35">
        <f>IF(OR(B178="",D178=""),"",D178*VLOOKUP(B178,Inventory!$A$5:$J$104,10,FALSE))</f>
        <v/>
      </c>
      <c r="I178" s="35">
        <f>IF(G178="","",G178-F178-H178)</f>
        <v/>
      </c>
      <c r="J178" s="22" t="inlineStr"/>
    </row>
    <row r="179">
      <c r="A179" s="34" t="inlineStr"/>
      <c r="B179" s="22" t="inlineStr"/>
      <c r="C179" s="22" t="inlineStr"/>
      <c r="D179" s="23" t="inlineStr"/>
      <c r="E179" s="25" t="inlineStr"/>
      <c r="F179" s="25" t="inlineStr"/>
      <c r="G179" s="35">
        <f>IF(OR(B179="",D179=""),"",D179*E179)</f>
        <v/>
      </c>
      <c r="H179" s="35">
        <f>IF(OR(B179="",D179=""),"",D179*VLOOKUP(B179,Inventory!$A$5:$J$104,10,FALSE))</f>
        <v/>
      </c>
      <c r="I179" s="35">
        <f>IF(G179="","",G179-F179-H179)</f>
        <v/>
      </c>
      <c r="J179" s="22" t="inlineStr"/>
    </row>
    <row r="180">
      <c r="A180" s="34" t="inlineStr"/>
      <c r="B180" s="22" t="inlineStr"/>
      <c r="C180" s="22" t="inlineStr"/>
      <c r="D180" s="23" t="inlineStr"/>
      <c r="E180" s="25" t="inlineStr"/>
      <c r="F180" s="25" t="inlineStr"/>
      <c r="G180" s="35">
        <f>IF(OR(B180="",D180=""),"",D180*E180)</f>
        <v/>
      </c>
      <c r="H180" s="35">
        <f>IF(OR(B180="",D180=""),"",D180*VLOOKUP(B180,Inventory!$A$5:$J$104,10,FALSE))</f>
        <v/>
      </c>
      <c r="I180" s="35">
        <f>IF(G180="","",G180-F180-H180)</f>
        <v/>
      </c>
      <c r="J180" s="22" t="inlineStr"/>
    </row>
    <row r="181">
      <c r="A181" s="34" t="inlineStr"/>
      <c r="B181" s="22" t="inlineStr"/>
      <c r="C181" s="22" t="inlineStr"/>
      <c r="D181" s="23" t="inlineStr"/>
      <c r="E181" s="25" t="inlineStr"/>
      <c r="F181" s="25" t="inlineStr"/>
      <c r="G181" s="35">
        <f>IF(OR(B181="",D181=""),"",D181*E181)</f>
        <v/>
      </c>
      <c r="H181" s="35">
        <f>IF(OR(B181="",D181=""),"",D181*VLOOKUP(B181,Inventory!$A$5:$J$104,10,FALSE))</f>
        <v/>
      </c>
      <c r="I181" s="35">
        <f>IF(G181="","",G181-F181-H181)</f>
        <v/>
      </c>
      <c r="J181" s="22" t="inlineStr"/>
    </row>
    <row r="182">
      <c r="A182" s="34" t="inlineStr"/>
      <c r="B182" s="22" t="inlineStr"/>
      <c r="C182" s="22" t="inlineStr"/>
      <c r="D182" s="23" t="inlineStr"/>
      <c r="E182" s="25" t="inlineStr"/>
      <c r="F182" s="25" t="inlineStr"/>
      <c r="G182" s="35">
        <f>IF(OR(B182="",D182=""),"",D182*E182)</f>
        <v/>
      </c>
      <c r="H182" s="35">
        <f>IF(OR(B182="",D182=""),"",D182*VLOOKUP(B182,Inventory!$A$5:$J$104,10,FALSE))</f>
        <v/>
      </c>
      <c r="I182" s="35">
        <f>IF(G182="","",G182-F182-H182)</f>
        <v/>
      </c>
      <c r="J182" s="22" t="inlineStr"/>
    </row>
    <row r="183">
      <c r="A183" s="34" t="inlineStr"/>
      <c r="B183" s="22" t="inlineStr"/>
      <c r="C183" s="22" t="inlineStr"/>
      <c r="D183" s="23" t="inlineStr"/>
      <c r="E183" s="25" t="inlineStr"/>
      <c r="F183" s="25" t="inlineStr"/>
      <c r="G183" s="35">
        <f>IF(OR(B183="",D183=""),"",D183*E183)</f>
        <v/>
      </c>
      <c r="H183" s="35">
        <f>IF(OR(B183="",D183=""),"",D183*VLOOKUP(B183,Inventory!$A$5:$J$104,10,FALSE))</f>
        <v/>
      </c>
      <c r="I183" s="35">
        <f>IF(G183="","",G183-F183-H183)</f>
        <v/>
      </c>
      <c r="J183" s="22" t="inlineStr"/>
    </row>
    <row r="184">
      <c r="A184" s="34" t="inlineStr"/>
      <c r="B184" s="22" t="inlineStr"/>
      <c r="C184" s="22" t="inlineStr"/>
      <c r="D184" s="23" t="inlineStr"/>
      <c r="E184" s="25" t="inlineStr"/>
      <c r="F184" s="25" t="inlineStr"/>
      <c r="G184" s="35">
        <f>IF(OR(B184="",D184=""),"",D184*E184)</f>
        <v/>
      </c>
      <c r="H184" s="35">
        <f>IF(OR(B184="",D184=""),"",D184*VLOOKUP(B184,Inventory!$A$5:$J$104,10,FALSE))</f>
        <v/>
      </c>
      <c r="I184" s="35">
        <f>IF(G184="","",G184-F184-H184)</f>
        <v/>
      </c>
      <c r="J184" s="22" t="inlineStr"/>
    </row>
    <row r="185">
      <c r="A185" s="34" t="inlineStr"/>
      <c r="B185" s="22" t="inlineStr"/>
      <c r="C185" s="22" t="inlineStr"/>
      <c r="D185" s="23" t="inlineStr"/>
      <c r="E185" s="25" t="inlineStr"/>
      <c r="F185" s="25" t="inlineStr"/>
      <c r="G185" s="35">
        <f>IF(OR(B185="",D185=""),"",D185*E185)</f>
        <v/>
      </c>
      <c r="H185" s="35">
        <f>IF(OR(B185="",D185=""),"",D185*VLOOKUP(B185,Inventory!$A$5:$J$104,10,FALSE))</f>
        <v/>
      </c>
      <c r="I185" s="35">
        <f>IF(G185="","",G185-F185-H185)</f>
        <v/>
      </c>
      <c r="J185" s="22" t="inlineStr"/>
    </row>
    <row r="186">
      <c r="A186" s="34" t="inlineStr"/>
      <c r="B186" s="22" t="inlineStr"/>
      <c r="C186" s="22" t="inlineStr"/>
      <c r="D186" s="23" t="inlineStr"/>
      <c r="E186" s="25" t="inlineStr"/>
      <c r="F186" s="25" t="inlineStr"/>
      <c r="G186" s="35">
        <f>IF(OR(B186="",D186=""),"",D186*E186)</f>
        <v/>
      </c>
      <c r="H186" s="35">
        <f>IF(OR(B186="",D186=""),"",D186*VLOOKUP(B186,Inventory!$A$5:$J$104,10,FALSE))</f>
        <v/>
      </c>
      <c r="I186" s="35">
        <f>IF(G186="","",G186-F186-H186)</f>
        <v/>
      </c>
      <c r="J186" s="22" t="inlineStr"/>
    </row>
    <row r="187">
      <c r="A187" s="34" t="inlineStr"/>
      <c r="B187" s="22" t="inlineStr"/>
      <c r="C187" s="22" t="inlineStr"/>
      <c r="D187" s="23" t="inlineStr"/>
      <c r="E187" s="25" t="inlineStr"/>
      <c r="F187" s="25" t="inlineStr"/>
      <c r="G187" s="35">
        <f>IF(OR(B187="",D187=""),"",D187*E187)</f>
        <v/>
      </c>
      <c r="H187" s="35">
        <f>IF(OR(B187="",D187=""),"",D187*VLOOKUP(B187,Inventory!$A$5:$J$104,10,FALSE))</f>
        <v/>
      </c>
      <c r="I187" s="35">
        <f>IF(G187="","",G187-F187-H187)</f>
        <v/>
      </c>
      <c r="J187" s="22" t="inlineStr"/>
    </row>
    <row r="188">
      <c r="A188" s="34" t="inlineStr"/>
      <c r="B188" s="22" t="inlineStr"/>
      <c r="C188" s="22" t="inlineStr"/>
      <c r="D188" s="23" t="inlineStr"/>
      <c r="E188" s="25" t="inlineStr"/>
      <c r="F188" s="25" t="inlineStr"/>
      <c r="G188" s="35">
        <f>IF(OR(B188="",D188=""),"",D188*E188)</f>
        <v/>
      </c>
      <c r="H188" s="35">
        <f>IF(OR(B188="",D188=""),"",D188*VLOOKUP(B188,Inventory!$A$5:$J$104,10,FALSE))</f>
        <v/>
      </c>
      <c r="I188" s="35">
        <f>IF(G188="","",G188-F188-H188)</f>
        <v/>
      </c>
      <c r="J188" s="22" t="inlineStr"/>
    </row>
    <row r="189">
      <c r="A189" s="34" t="inlineStr"/>
      <c r="B189" s="22" t="inlineStr"/>
      <c r="C189" s="22" t="inlineStr"/>
      <c r="D189" s="23" t="inlineStr"/>
      <c r="E189" s="25" t="inlineStr"/>
      <c r="F189" s="25" t="inlineStr"/>
      <c r="G189" s="35">
        <f>IF(OR(B189="",D189=""),"",D189*E189)</f>
        <v/>
      </c>
      <c r="H189" s="35">
        <f>IF(OR(B189="",D189=""),"",D189*VLOOKUP(B189,Inventory!$A$5:$J$104,10,FALSE))</f>
        <v/>
      </c>
      <c r="I189" s="35">
        <f>IF(G189="","",G189-F189-H189)</f>
        <v/>
      </c>
      <c r="J189" s="22" t="inlineStr"/>
    </row>
    <row r="190">
      <c r="A190" s="34" t="inlineStr"/>
      <c r="B190" s="22" t="inlineStr"/>
      <c r="C190" s="22" t="inlineStr"/>
      <c r="D190" s="23" t="inlineStr"/>
      <c r="E190" s="25" t="inlineStr"/>
      <c r="F190" s="25" t="inlineStr"/>
      <c r="G190" s="35">
        <f>IF(OR(B190="",D190=""),"",D190*E190)</f>
        <v/>
      </c>
      <c r="H190" s="35">
        <f>IF(OR(B190="",D190=""),"",D190*VLOOKUP(B190,Inventory!$A$5:$J$104,10,FALSE))</f>
        <v/>
      </c>
      <c r="I190" s="35">
        <f>IF(G190="","",G190-F190-H190)</f>
        <v/>
      </c>
      <c r="J190" s="22" t="inlineStr"/>
    </row>
    <row r="191">
      <c r="A191" s="34" t="inlineStr"/>
      <c r="B191" s="22" t="inlineStr"/>
      <c r="C191" s="22" t="inlineStr"/>
      <c r="D191" s="23" t="inlineStr"/>
      <c r="E191" s="25" t="inlineStr"/>
      <c r="F191" s="25" t="inlineStr"/>
      <c r="G191" s="35">
        <f>IF(OR(B191="",D191=""),"",D191*E191)</f>
        <v/>
      </c>
      <c r="H191" s="35">
        <f>IF(OR(B191="",D191=""),"",D191*VLOOKUP(B191,Inventory!$A$5:$J$104,10,FALSE))</f>
        <v/>
      </c>
      <c r="I191" s="35">
        <f>IF(G191="","",G191-F191-H191)</f>
        <v/>
      </c>
      <c r="J191" s="22" t="inlineStr"/>
    </row>
    <row r="192">
      <c r="A192" s="34" t="inlineStr"/>
      <c r="B192" s="22" t="inlineStr"/>
      <c r="C192" s="22" t="inlineStr"/>
      <c r="D192" s="23" t="inlineStr"/>
      <c r="E192" s="25" t="inlineStr"/>
      <c r="F192" s="25" t="inlineStr"/>
      <c r="G192" s="35">
        <f>IF(OR(B192="",D192=""),"",D192*E192)</f>
        <v/>
      </c>
      <c r="H192" s="35">
        <f>IF(OR(B192="",D192=""),"",D192*VLOOKUP(B192,Inventory!$A$5:$J$104,10,FALSE))</f>
        <v/>
      </c>
      <c r="I192" s="35">
        <f>IF(G192="","",G192-F192-H192)</f>
        <v/>
      </c>
      <c r="J192" s="22" t="inlineStr"/>
    </row>
    <row r="193">
      <c r="A193" s="34" t="inlineStr"/>
      <c r="B193" s="22" t="inlineStr"/>
      <c r="C193" s="22" t="inlineStr"/>
      <c r="D193" s="23" t="inlineStr"/>
      <c r="E193" s="25" t="inlineStr"/>
      <c r="F193" s="25" t="inlineStr"/>
      <c r="G193" s="35">
        <f>IF(OR(B193="",D193=""),"",D193*E193)</f>
        <v/>
      </c>
      <c r="H193" s="35">
        <f>IF(OR(B193="",D193=""),"",D193*VLOOKUP(B193,Inventory!$A$5:$J$104,10,FALSE))</f>
        <v/>
      </c>
      <c r="I193" s="35">
        <f>IF(G193="","",G193-F193-H193)</f>
        <v/>
      </c>
      <c r="J193" s="22" t="inlineStr"/>
    </row>
    <row r="194">
      <c r="A194" s="34" t="inlineStr"/>
      <c r="B194" s="22" t="inlineStr"/>
      <c r="C194" s="22" t="inlineStr"/>
      <c r="D194" s="23" t="inlineStr"/>
      <c r="E194" s="25" t="inlineStr"/>
      <c r="F194" s="25" t="inlineStr"/>
      <c r="G194" s="35">
        <f>IF(OR(B194="",D194=""),"",D194*E194)</f>
        <v/>
      </c>
      <c r="H194" s="35">
        <f>IF(OR(B194="",D194=""),"",D194*VLOOKUP(B194,Inventory!$A$5:$J$104,10,FALSE))</f>
        <v/>
      </c>
      <c r="I194" s="35">
        <f>IF(G194="","",G194-F194-H194)</f>
        <v/>
      </c>
      <c r="J194" s="22" t="inlineStr"/>
    </row>
    <row r="195">
      <c r="A195" s="34" t="inlineStr"/>
      <c r="B195" s="22" t="inlineStr"/>
      <c r="C195" s="22" t="inlineStr"/>
      <c r="D195" s="23" t="inlineStr"/>
      <c r="E195" s="25" t="inlineStr"/>
      <c r="F195" s="25" t="inlineStr"/>
      <c r="G195" s="35">
        <f>IF(OR(B195="",D195=""),"",D195*E195)</f>
        <v/>
      </c>
      <c r="H195" s="35">
        <f>IF(OR(B195="",D195=""),"",D195*VLOOKUP(B195,Inventory!$A$5:$J$104,10,FALSE))</f>
        <v/>
      </c>
      <c r="I195" s="35">
        <f>IF(G195="","",G195-F195-H195)</f>
        <v/>
      </c>
      <c r="J195" s="22" t="inlineStr"/>
    </row>
    <row r="196">
      <c r="A196" s="34" t="inlineStr"/>
      <c r="B196" s="22" t="inlineStr"/>
      <c r="C196" s="22" t="inlineStr"/>
      <c r="D196" s="23" t="inlineStr"/>
      <c r="E196" s="25" t="inlineStr"/>
      <c r="F196" s="25" t="inlineStr"/>
      <c r="G196" s="35">
        <f>IF(OR(B196="",D196=""),"",D196*E196)</f>
        <v/>
      </c>
      <c r="H196" s="35">
        <f>IF(OR(B196="",D196=""),"",D196*VLOOKUP(B196,Inventory!$A$5:$J$104,10,FALSE))</f>
        <v/>
      </c>
      <c r="I196" s="35">
        <f>IF(G196="","",G196-F196-H196)</f>
        <v/>
      </c>
      <c r="J196" s="22" t="inlineStr"/>
    </row>
    <row r="197">
      <c r="A197" s="34" t="inlineStr"/>
      <c r="B197" s="22" t="inlineStr"/>
      <c r="C197" s="22" t="inlineStr"/>
      <c r="D197" s="23" t="inlineStr"/>
      <c r="E197" s="25" t="inlineStr"/>
      <c r="F197" s="25" t="inlineStr"/>
      <c r="G197" s="35">
        <f>IF(OR(B197="",D197=""),"",D197*E197)</f>
        <v/>
      </c>
      <c r="H197" s="35">
        <f>IF(OR(B197="",D197=""),"",D197*VLOOKUP(B197,Inventory!$A$5:$J$104,10,FALSE))</f>
        <v/>
      </c>
      <c r="I197" s="35">
        <f>IF(G197="","",G197-F197-H197)</f>
        <v/>
      </c>
      <c r="J197" s="22" t="inlineStr"/>
    </row>
    <row r="198">
      <c r="A198" s="34" t="inlineStr"/>
      <c r="B198" s="22" t="inlineStr"/>
      <c r="C198" s="22" t="inlineStr"/>
      <c r="D198" s="23" t="inlineStr"/>
      <c r="E198" s="25" t="inlineStr"/>
      <c r="F198" s="25" t="inlineStr"/>
      <c r="G198" s="35">
        <f>IF(OR(B198="",D198=""),"",D198*E198)</f>
        <v/>
      </c>
      <c r="H198" s="35">
        <f>IF(OR(B198="",D198=""),"",D198*VLOOKUP(B198,Inventory!$A$5:$J$104,10,FALSE))</f>
        <v/>
      </c>
      <c r="I198" s="35">
        <f>IF(G198="","",G198-F198-H198)</f>
        <v/>
      </c>
      <c r="J198" s="22" t="inlineStr"/>
    </row>
    <row r="199">
      <c r="A199" s="34" t="inlineStr"/>
      <c r="B199" s="22" t="inlineStr"/>
      <c r="C199" s="22" t="inlineStr"/>
      <c r="D199" s="23" t="inlineStr"/>
      <c r="E199" s="25" t="inlineStr"/>
      <c r="F199" s="25" t="inlineStr"/>
      <c r="G199" s="35">
        <f>IF(OR(B199="",D199=""),"",D199*E199)</f>
        <v/>
      </c>
      <c r="H199" s="35">
        <f>IF(OR(B199="",D199=""),"",D199*VLOOKUP(B199,Inventory!$A$5:$J$104,10,FALSE))</f>
        <v/>
      </c>
      <c r="I199" s="35">
        <f>IF(G199="","",G199-F199-H199)</f>
        <v/>
      </c>
      <c r="J199" s="22" t="inlineStr"/>
    </row>
    <row r="200">
      <c r="A200" s="34" t="inlineStr"/>
      <c r="B200" s="22" t="inlineStr"/>
      <c r="C200" s="22" t="inlineStr"/>
      <c r="D200" s="23" t="inlineStr"/>
      <c r="E200" s="25" t="inlineStr"/>
      <c r="F200" s="25" t="inlineStr"/>
      <c r="G200" s="35">
        <f>IF(OR(B200="",D200=""),"",D200*E200)</f>
        <v/>
      </c>
      <c r="H200" s="35">
        <f>IF(OR(B200="",D200=""),"",D200*VLOOKUP(B200,Inventory!$A$5:$J$104,10,FALSE))</f>
        <v/>
      </c>
      <c r="I200" s="35">
        <f>IF(G200="","",G200-F200-H200)</f>
        <v/>
      </c>
      <c r="J200" s="22" t="inlineStr"/>
    </row>
    <row r="201">
      <c r="A201" s="34" t="inlineStr"/>
      <c r="B201" s="22" t="inlineStr"/>
      <c r="C201" s="22" t="inlineStr"/>
      <c r="D201" s="23" t="inlineStr"/>
      <c r="E201" s="25" t="inlineStr"/>
      <c r="F201" s="25" t="inlineStr"/>
      <c r="G201" s="35">
        <f>IF(OR(B201="",D201=""),"",D201*E201)</f>
        <v/>
      </c>
      <c r="H201" s="35">
        <f>IF(OR(B201="",D201=""),"",D201*VLOOKUP(B201,Inventory!$A$5:$J$104,10,FALSE))</f>
        <v/>
      </c>
      <c r="I201" s="35">
        <f>IF(G201="","",G201-F201-H201)</f>
        <v/>
      </c>
      <c r="J201" s="22" t="inlineStr"/>
    </row>
    <row r="202">
      <c r="A202" s="34" t="inlineStr"/>
      <c r="B202" s="22" t="inlineStr"/>
      <c r="C202" s="22" t="inlineStr"/>
      <c r="D202" s="23" t="inlineStr"/>
      <c r="E202" s="25" t="inlineStr"/>
      <c r="F202" s="25" t="inlineStr"/>
      <c r="G202" s="35">
        <f>IF(OR(B202="",D202=""),"",D202*E202)</f>
        <v/>
      </c>
      <c r="H202" s="35">
        <f>IF(OR(B202="",D202=""),"",D202*VLOOKUP(B202,Inventory!$A$5:$J$104,10,FALSE))</f>
        <v/>
      </c>
      <c r="I202" s="35">
        <f>IF(G202="","",G202-F202-H202)</f>
        <v/>
      </c>
      <c r="J202" s="22" t="inlineStr"/>
    </row>
    <row r="203">
      <c r="A203" s="34" t="inlineStr"/>
      <c r="B203" s="22" t="inlineStr"/>
      <c r="C203" s="22" t="inlineStr"/>
      <c r="D203" s="23" t="inlineStr"/>
      <c r="E203" s="25" t="inlineStr"/>
      <c r="F203" s="25" t="inlineStr"/>
      <c r="G203" s="35">
        <f>IF(OR(B203="",D203=""),"",D203*E203)</f>
        <v/>
      </c>
      <c r="H203" s="35">
        <f>IF(OR(B203="",D203=""),"",D203*VLOOKUP(B203,Inventory!$A$5:$J$104,10,FALSE))</f>
        <v/>
      </c>
      <c r="I203" s="35">
        <f>IF(G203="","",G203-F203-H203)</f>
        <v/>
      </c>
      <c r="J203" s="22" t="inlineStr"/>
    </row>
    <row r="204">
      <c r="A204" s="34" t="inlineStr"/>
      <c r="B204" s="22" t="inlineStr"/>
      <c r="C204" s="22" t="inlineStr"/>
      <c r="D204" s="23" t="inlineStr"/>
      <c r="E204" s="25" t="inlineStr"/>
      <c r="F204" s="25" t="inlineStr"/>
      <c r="G204" s="35">
        <f>IF(OR(B204="",D204=""),"",D204*E204)</f>
        <v/>
      </c>
      <c r="H204" s="35">
        <f>IF(OR(B204="",D204=""),"",D204*VLOOKUP(B204,Inventory!$A$5:$J$104,10,FALSE))</f>
        <v/>
      </c>
      <c r="I204" s="35">
        <f>IF(G204="","",G204-F204-H204)</f>
        <v/>
      </c>
      <c r="J204" s="22" t="inlineStr"/>
    </row>
    <row r="205">
      <c r="A205" s="34" t="inlineStr"/>
      <c r="B205" s="22" t="inlineStr"/>
      <c r="C205" s="22" t="inlineStr"/>
      <c r="D205" s="23" t="inlineStr"/>
      <c r="E205" s="25" t="inlineStr"/>
      <c r="F205" s="25" t="inlineStr"/>
      <c r="G205" s="35">
        <f>IF(OR(B205="",D205=""),"",D205*E205)</f>
        <v/>
      </c>
      <c r="H205" s="35">
        <f>IF(OR(B205="",D205=""),"",D205*VLOOKUP(B205,Inventory!$A$5:$J$104,10,FALSE))</f>
        <v/>
      </c>
      <c r="I205" s="35">
        <f>IF(G205="","",G205-F205-H205)</f>
        <v/>
      </c>
      <c r="J205" s="22" t="inlineStr"/>
    </row>
    <row r="206">
      <c r="A206" s="34" t="inlineStr"/>
      <c r="B206" s="22" t="inlineStr"/>
      <c r="C206" s="22" t="inlineStr"/>
      <c r="D206" s="23" t="inlineStr"/>
      <c r="E206" s="25" t="inlineStr"/>
      <c r="F206" s="25" t="inlineStr"/>
      <c r="G206" s="35">
        <f>IF(OR(B206="",D206=""),"",D206*E206)</f>
        <v/>
      </c>
      <c r="H206" s="35">
        <f>IF(OR(B206="",D206=""),"",D206*VLOOKUP(B206,Inventory!$A$5:$J$104,10,FALSE))</f>
        <v/>
      </c>
      <c r="I206" s="35">
        <f>IF(G206="","",G206-F206-H206)</f>
        <v/>
      </c>
      <c r="J206" s="22" t="inlineStr"/>
    </row>
    <row r="207">
      <c r="A207" s="34" t="inlineStr"/>
      <c r="B207" s="22" t="inlineStr"/>
      <c r="C207" s="22" t="inlineStr"/>
      <c r="D207" s="23" t="inlineStr"/>
      <c r="E207" s="25" t="inlineStr"/>
      <c r="F207" s="25" t="inlineStr"/>
      <c r="G207" s="35">
        <f>IF(OR(B207="",D207=""),"",D207*E207)</f>
        <v/>
      </c>
      <c r="H207" s="35">
        <f>IF(OR(B207="",D207=""),"",D207*VLOOKUP(B207,Inventory!$A$5:$J$104,10,FALSE))</f>
        <v/>
      </c>
      <c r="I207" s="35">
        <f>IF(G207="","",G207-F207-H207)</f>
        <v/>
      </c>
      <c r="J207" s="22" t="inlineStr"/>
    </row>
    <row r="208">
      <c r="A208" s="34" t="inlineStr"/>
      <c r="B208" s="22" t="inlineStr"/>
      <c r="C208" s="22" t="inlineStr"/>
      <c r="D208" s="23" t="inlineStr"/>
      <c r="E208" s="25" t="inlineStr"/>
      <c r="F208" s="25" t="inlineStr"/>
      <c r="G208" s="35">
        <f>IF(OR(B208="",D208=""),"",D208*E208)</f>
        <v/>
      </c>
      <c r="H208" s="35">
        <f>IF(OR(B208="",D208=""),"",D208*VLOOKUP(B208,Inventory!$A$5:$J$104,10,FALSE))</f>
        <v/>
      </c>
      <c r="I208" s="35">
        <f>IF(G208="","",G208-F208-H208)</f>
        <v/>
      </c>
      <c r="J208" s="22" t="inlineStr"/>
    </row>
    <row r="209">
      <c r="A209" s="34" t="inlineStr"/>
      <c r="B209" s="22" t="inlineStr"/>
      <c r="C209" s="22" t="inlineStr"/>
      <c r="D209" s="23" t="inlineStr"/>
      <c r="E209" s="25" t="inlineStr"/>
      <c r="F209" s="25" t="inlineStr"/>
      <c r="G209" s="35">
        <f>IF(OR(B209="",D209=""),"",D209*E209)</f>
        <v/>
      </c>
      <c r="H209" s="35">
        <f>IF(OR(B209="",D209=""),"",D209*VLOOKUP(B209,Inventory!$A$5:$J$104,10,FALSE))</f>
        <v/>
      </c>
      <c r="I209" s="35">
        <f>IF(G209="","",G209-F209-H209)</f>
        <v/>
      </c>
      <c r="J209" s="22" t="inlineStr"/>
    </row>
    <row r="210">
      <c r="A210" s="34" t="inlineStr"/>
      <c r="B210" s="22" t="inlineStr"/>
      <c r="C210" s="22" t="inlineStr"/>
      <c r="D210" s="23" t="inlineStr"/>
      <c r="E210" s="25" t="inlineStr"/>
      <c r="F210" s="25" t="inlineStr"/>
      <c r="G210" s="35">
        <f>IF(OR(B210="",D210=""),"",D210*E210)</f>
        <v/>
      </c>
      <c r="H210" s="35">
        <f>IF(OR(B210="",D210=""),"",D210*VLOOKUP(B210,Inventory!$A$5:$J$104,10,FALSE))</f>
        <v/>
      </c>
      <c r="I210" s="35">
        <f>IF(G210="","",G210-F210-H210)</f>
        <v/>
      </c>
      <c r="J210" s="22" t="inlineStr"/>
    </row>
    <row r="211">
      <c r="A211" s="34" t="inlineStr"/>
      <c r="B211" s="22" t="inlineStr"/>
      <c r="C211" s="22" t="inlineStr"/>
      <c r="D211" s="23" t="inlineStr"/>
      <c r="E211" s="25" t="inlineStr"/>
      <c r="F211" s="25" t="inlineStr"/>
      <c r="G211" s="35">
        <f>IF(OR(B211="",D211=""),"",D211*E211)</f>
        <v/>
      </c>
      <c r="H211" s="35">
        <f>IF(OR(B211="",D211=""),"",D211*VLOOKUP(B211,Inventory!$A$5:$J$104,10,FALSE))</f>
        <v/>
      </c>
      <c r="I211" s="35">
        <f>IF(G211="","",G211-F211-H211)</f>
        <v/>
      </c>
      <c r="J211" s="22" t="inlineStr"/>
    </row>
    <row r="212">
      <c r="A212" s="34" t="inlineStr"/>
      <c r="B212" s="22" t="inlineStr"/>
      <c r="C212" s="22" t="inlineStr"/>
      <c r="D212" s="23" t="inlineStr"/>
      <c r="E212" s="25" t="inlineStr"/>
      <c r="F212" s="25" t="inlineStr"/>
      <c r="G212" s="35">
        <f>IF(OR(B212="",D212=""),"",D212*E212)</f>
        <v/>
      </c>
      <c r="H212" s="35">
        <f>IF(OR(B212="",D212=""),"",D212*VLOOKUP(B212,Inventory!$A$5:$J$104,10,FALSE))</f>
        <v/>
      </c>
      <c r="I212" s="35">
        <f>IF(G212="","",G212-F212-H212)</f>
        <v/>
      </c>
      <c r="J212" s="22" t="inlineStr"/>
    </row>
    <row r="213">
      <c r="A213" s="34" t="inlineStr"/>
      <c r="B213" s="22" t="inlineStr"/>
      <c r="C213" s="22" t="inlineStr"/>
      <c r="D213" s="23" t="inlineStr"/>
      <c r="E213" s="25" t="inlineStr"/>
      <c r="F213" s="25" t="inlineStr"/>
      <c r="G213" s="35">
        <f>IF(OR(B213="",D213=""),"",D213*E213)</f>
        <v/>
      </c>
      <c r="H213" s="35">
        <f>IF(OR(B213="",D213=""),"",D213*VLOOKUP(B213,Inventory!$A$5:$J$104,10,FALSE))</f>
        <v/>
      </c>
      <c r="I213" s="35">
        <f>IF(G213="","",G213-F213-H213)</f>
        <v/>
      </c>
      <c r="J213" s="22" t="inlineStr"/>
    </row>
    <row r="214">
      <c r="A214" s="34" t="inlineStr"/>
      <c r="B214" s="22" t="inlineStr"/>
      <c r="C214" s="22" t="inlineStr"/>
      <c r="D214" s="23" t="inlineStr"/>
      <c r="E214" s="25" t="inlineStr"/>
      <c r="F214" s="25" t="inlineStr"/>
      <c r="G214" s="35">
        <f>IF(OR(B214="",D214=""),"",D214*E214)</f>
        <v/>
      </c>
      <c r="H214" s="35">
        <f>IF(OR(B214="",D214=""),"",D214*VLOOKUP(B214,Inventory!$A$5:$J$104,10,FALSE))</f>
        <v/>
      </c>
      <c r="I214" s="35">
        <f>IF(G214="","",G214-F214-H214)</f>
        <v/>
      </c>
      <c r="J214" s="22" t="inlineStr"/>
    </row>
    <row r="215">
      <c r="A215" s="34" t="inlineStr"/>
      <c r="B215" s="22" t="inlineStr"/>
      <c r="C215" s="22" t="inlineStr"/>
      <c r="D215" s="23" t="inlineStr"/>
      <c r="E215" s="25" t="inlineStr"/>
      <c r="F215" s="25" t="inlineStr"/>
      <c r="G215" s="35">
        <f>IF(OR(B215="",D215=""),"",D215*E215)</f>
        <v/>
      </c>
      <c r="H215" s="35">
        <f>IF(OR(B215="",D215=""),"",D215*VLOOKUP(B215,Inventory!$A$5:$J$104,10,FALSE))</f>
        <v/>
      </c>
      <c r="I215" s="35">
        <f>IF(G215="","",G215-F215-H215)</f>
        <v/>
      </c>
      <c r="J215" s="22" t="inlineStr"/>
    </row>
    <row r="216">
      <c r="A216" s="34" t="inlineStr"/>
      <c r="B216" s="22" t="inlineStr"/>
      <c r="C216" s="22" t="inlineStr"/>
      <c r="D216" s="23" t="inlineStr"/>
      <c r="E216" s="25" t="inlineStr"/>
      <c r="F216" s="25" t="inlineStr"/>
      <c r="G216" s="35">
        <f>IF(OR(B216="",D216=""),"",D216*E216)</f>
        <v/>
      </c>
      <c r="H216" s="35">
        <f>IF(OR(B216="",D216=""),"",D216*VLOOKUP(B216,Inventory!$A$5:$J$104,10,FALSE))</f>
        <v/>
      </c>
      <c r="I216" s="35">
        <f>IF(G216="","",G216-F216-H216)</f>
        <v/>
      </c>
      <c r="J216" s="22" t="inlineStr"/>
    </row>
    <row r="217">
      <c r="A217" s="34" t="inlineStr"/>
      <c r="B217" s="22" t="inlineStr"/>
      <c r="C217" s="22" t="inlineStr"/>
      <c r="D217" s="23" t="inlineStr"/>
      <c r="E217" s="25" t="inlineStr"/>
      <c r="F217" s="25" t="inlineStr"/>
      <c r="G217" s="35">
        <f>IF(OR(B217="",D217=""),"",D217*E217)</f>
        <v/>
      </c>
      <c r="H217" s="35">
        <f>IF(OR(B217="",D217=""),"",D217*VLOOKUP(B217,Inventory!$A$5:$J$104,10,FALSE))</f>
        <v/>
      </c>
      <c r="I217" s="35">
        <f>IF(G217="","",G217-F217-H217)</f>
        <v/>
      </c>
      <c r="J217" s="22" t="inlineStr"/>
    </row>
    <row r="218">
      <c r="A218" s="34" t="inlineStr"/>
      <c r="B218" s="22" t="inlineStr"/>
      <c r="C218" s="22" t="inlineStr"/>
      <c r="D218" s="23" t="inlineStr"/>
      <c r="E218" s="25" t="inlineStr"/>
      <c r="F218" s="25" t="inlineStr"/>
      <c r="G218" s="35">
        <f>IF(OR(B218="",D218=""),"",D218*E218)</f>
        <v/>
      </c>
      <c r="H218" s="35">
        <f>IF(OR(B218="",D218=""),"",D218*VLOOKUP(B218,Inventory!$A$5:$J$104,10,FALSE))</f>
        <v/>
      </c>
      <c r="I218" s="35">
        <f>IF(G218="","",G218-F218-H218)</f>
        <v/>
      </c>
      <c r="J218" s="22" t="inlineStr"/>
    </row>
    <row r="219">
      <c r="A219" s="34" t="inlineStr"/>
      <c r="B219" s="22" t="inlineStr"/>
      <c r="C219" s="22" t="inlineStr"/>
      <c r="D219" s="23" t="inlineStr"/>
      <c r="E219" s="25" t="inlineStr"/>
      <c r="F219" s="25" t="inlineStr"/>
      <c r="G219" s="35">
        <f>IF(OR(B219="",D219=""),"",D219*E219)</f>
        <v/>
      </c>
      <c r="H219" s="35">
        <f>IF(OR(B219="",D219=""),"",D219*VLOOKUP(B219,Inventory!$A$5:$J$104,10,FALSE))</f>
        <v/>
      </c>
      <c r="I219" s="35">
        <f>IF(G219="","",G219-F219-H219)</f>
        <v/>
      </c>
      <c r="J219" s="22" t="inlineStr"/>
    </row>
    <row r="220">
      <c r="A220" s="34" t="inlineStr"/>
      <c r="B220" s="22" t="inlineStr"/>
      <c r="C220" s="22" t="inlineStr"/>
      <c r="D220" s="23" t="inlineStr"/>
      <c r="E220" s="25" t="inlineStr"/>
      <c r="F220" s="25" t="inlineStr"/>
      <c r="G220" s="35">
        <f>IF(OR(B220="",D220=""),"",D220*E220)</f>
        <v/>
      </c>
      <c r="H220" s="35">
        <f>IF(OR(B220="",D220=""),"",D220*VLOOKUP(B220,Inventory!$A$5:$J$104,10,FALSE))</f>
        <v/>
      </c>
      <c r="I220" s="35">
        <f>IF(G220="","",G220-F220-H220)</f>
        <v/>
      </c>
      <c r="J220" s="22" t="inlineStr"/>
    </row>
    <row r="221">
      <c r="A221" s="34" t="inlineStr"/>
      <c r="B221" s="22" t="inlineStr"/>
      <c r="C221" s="22" t="inlineStr"/>
      <c r="D221" s="23" t="inlineStr"/>
      <c r="E221" s="25" t="inlineStr"/>
      <c r="F221" s="25" t="inlineStr"/>
      <c r="G221" s="35">
        <f>IF(OR(B221="",D221=""),"",D221*E221)</f>
        <v/>
      </c>
      <c r="H221" s="35">
        <f>IF(OR(B221="",D221=""),"",D221*VLOOKUP(B221,Inventory!$A$5:$J$104,10,FALSE))</f>
        <v/>
      </c>
      <c r="I221" s="35">
        <f>IF(G221="","",G221-F221-H221)</f>
        <v/>
      </c>
      <c r="J221" s="22" t="inlineStr"/>
    </row>
    <row r="222">
      <c r="A222" s="34" t="inlineStr"/>
      <c r="B222" s="22" t="inlineStr"/>
      <c r="C222" s="22" t="inlineStr"/>
      <c r="D222" s="23" t="inlineStr"/>
      <c r="E222" s="25" t="inlineStr"/>
      <c r="F222" s="25" t="inlineStr"/>
      <c r="G222" s="35">
        <f>IF(OR(B222="",D222=""),"",D222*E222)</f>
        <v/>
      </c>
      <c r="H222" s="35">
        <f>IF(OR(B222="",D222=""),"",D222*VLOOKUP(B222,Inventory!$A$5:$J$104,10,FALSE))</f>
        <v/>
      </c>
      <c r="I222" s="35">
        <f>IF(G222="","",G222-F222-H222)</f>
        <v/>
      </c>
      <c r="J222" s="22" t="inlineStr"/>
    </row>
    <row r="223">
      <c r="A223" s="34" t="inlineStr"/>
      <c r="B223" s="22" t="inlineStr"/>
      <c r="C223" s="22" t="inlineStr"/>
      <c r="D223" s="23" t="inlineStr"/>
      <c r="E223" s="25" t="inlineStr"/>
      <c r="F223" s="25" t="inlineStr"/>
      <c r="G223" s="35">
        <f>IF(OR(B223="",D223=""),"",D223*E223)</f>
        <v/>
      </c>
      <c r="H223" s="35">
        <f>IF(OR(B223="",D223=""),"",D223*VLOOKUP(B223,Inventory!$A$5:$J$104,10,FALSE))</f>
        <v/>
      </c>
      <c r="I223" s="35">
        <f>IF(G223="","",G223-F223-H223)</f>
        <v/>
      </c>
      <c r="J223" s="22" t="inlineStr"/>
    </row>
    <row r="224">
      <c r="A224" s="34" t="inlineStr"/>
      <c r="B224" s="22" t="inlineStr"/>
      <c r="C224" s="22" t="inlineStr"/>
      <c r="D224" s="23" t="inlineStr"/>
      <c r="E224" s="25" t="inlineStr"/>
      <c r="F224" s="25" t="inlineStr"/>
      <c r="G224" s="35">
        <f>IF(OR(B224="",D224=""),"",D224*E224)</f>
        <v/>
      </c>
      <c r="H224" s="35">
        <f>IF(OR(B224="",D224=""),"",D224*VLOOKUP(B224,Inventory!$A$5:$J$104,10,FALSE))</f>
        <v/>
      </c>
      <c r="I224" s="35">
        <f>IF(G224="","",G224-F224-H224)</f>
        <v/>
      </c>
      <c r="J224" s="22" t="inlineStr"/>
    </row>
    <row r="225">
      <c r="A225" s="34" t="inlineStr"/>
      <c r="B225" s="22" t="inlineStr"/>
      <c r="C225" s="22" t="inlineStr"/>
      <c r="D225" s="23" t="inlineStr"/>
      <c r="E225" s="25" t="inlineStr"/>
      <c r="F225" s="25" t="inlineStr"/>
      <c r="G225" s="35">
        <f>IF(OR(B225="",D225=""),"",D225*E225)</f>
        <v/>
      </c>
      <c r="H225" s="35">
        <f>IF(OR(B225="",D225=""),"",D225*VLOOKUP(B225,Inventory!$A$5:$J$104,10,FALSE))</f>
        <v/>
      </c>
      <c r="I225" s="35">
        <f>IF(G225="","",G225-F225-H225)</f>
        <v/>
      </c>
      <c r="J225" s="22" t="inlineStr"/>
    </row>
    <row r="226">
      <c r="A226" s="34" t="inlineStr"/>
      <c r="B226" s="22" t="inlineStr"/>
      <c r="C226" s="22" t="inlineStr"/>
      <c r="D226" s="23" t="inlineStr"/>
      <c r="E226" s="25" t="inlineStr"/>
      <c r="F226" s="25" t="inlineStr"/>
      <c r="G226" s="35">
        <f>IF(OR(B226="",D226=""),"",D226*E226)</f>
        <v/>
      </c>
      <c r="H226" s="35">
        <f>IF(OR(B226="",D226=""),"",D226*VLOOKUP(B226,Inventory!$A$5:$J$104,10,FALSE))</f>
        <v/>
      </c>
      <c r="I226" s="35">
        <f>IF(G226="","",G226-F226-H226)</f>
        <v/>
      </c>
      <c r="J226" s="22" t="inlineStr"/>
    </row>
    <row r="227">
      <c r="A227" s="34" t="inlineStr"/>
      <c r="B227" s="22" t="inlineStr"/>
      <c r="C227" s="22" t="inlineStr"/>
      <c r="D227" s="23" t="inlineStr"/>
      <c r="E227" s="25" t="inlineStr"/>
      <c r="F227" s="25" t="inlineStr"/>
      <c r="G227" s="35">
        <f>IF(OR(B227="",D227=""),"",D227*E227)</f>
        <v/>
      </c>
      <c r="H227" s="35">
        <f>IF(OR(B227="",D227=""),"",D227*VLOOKUP(B227,Inventory!$A$5:$J$104,10,FALSE))</f>
        <v/>
      </c>
      <c r="I227" s="35">
        <f>IF(G227="","",G227-F227-H227)</f>
        <v/>
      </c>
      <c r="J227" s="22" t="inlineStr"/>
    </row>
    <row r="228">
      <c r="A228" s="34" t="inlineStr"/>
      <c r="B228" s="22" t="inlineStr"/>
      <c r="C228" s="22" t="inlineStr"/>
      <c r="D228" s="23" t="inlineStr"/>
      <c r="E228" s="25" t="inlineStr"/>
      <c r="F228" s="25" t="inlineStr"/>
      <c r="G228" s="35">
        <f>IF(OR(B228="",D228=""),"",D228*E228)</f>
        <v/>
      </c>
      <c r="H228" s="35">
        <f>IF(OR(B228="",D228=""),"",D228*VLOOKUP(B228,Inventory!$A$5:$J$104,10,FALSE))</f>
        <v/>
      </c>
      <c r="I228" s="35">
        <f>IF(G228="","",G228-F228-H228)</f>
        <v/>
      </c>
      <c r="J228" s="22" t="inlineStr"/>
    </row>
    <row r="229">
      <c r="A229" s="34" t="inlineStr"/>
      <c r="B229" s="22" t="inlineStr"/>
      <c r="C229" s="22" t="inlineStr"/>
      <c r="D229" s="23" t="inlineStr"/>
      <c r="E229" s="25" t="inlineStr"/>
      <c r="F229" s="25" t="inlineStr"/>
      <c r="G229" s="35">
        <f>IF(OR(B229="",D229=""),"",D229*E229)</f>
        <v/>
      </c>
      <c r="H229" s="35">
        <f>IF(OR(B229="",D229=""),"",D229*VLOOKUP(B229,Inventory!$A$5:$J$104,10,FALSE))</f>
        <v/>
      </c>
      <c r="I229" s="35">
        <f>IF(G229="","",G229-F229-H229)</f>
        <v/>
      </c>
      <c r="J229" s="22" t="inlineStr"/>
    </row>
    <row r="230">
      <c r="A230" s="34" t="inlineStr"/>
      <c r="B230" s="22" t="inlineStr"/>
      <c r="C230" s="22" t="inlineStr"/>
      <c r="D230" s="23" t="inlineStr"/>
      <c r="E230" s="25" t="inlineStr"/>
      <c r="F230" s="25" t="inlineStr"/>
      <c r="G230" s="35">
        <f>IF(OR(B230="",D230=""),"",D230*E230)</f>
        <v/>
      </c>
      <c r="H230" s="35">
        <f>IF(OR(B230="",D230=""),"",D230*VLOOKUP(B230,Inventory!$A$5:$J$104,10,FALSE))</f>
        <v/>
      </c>
      <c r="I230" s="35">
        <f>IF(G230="","",G230-F230-H230)</f>
        <v/>
      </c>
      <c r="J230" s="22" t="inlineStr"/>
    </row>
    <row r="231">
      <c r="A231" s="34" t="inlineStr"/>
      <c r="B231" s="22" t="inlineStr"/>
      <c r="C231" s="22" t="inlineStr"/>
      <c r="D231" s="23" t="inlineStr"/>
      <c r="E231" s="25" t="inlineStr"/>
      <c r="F231" s="25" t="inlineStr"/>
      <c r="G231" s="35">
        <f>IF(OR(B231="",D231=""),"",D231*E231)</f>
        <v/>
      </c>
      <c r="H231" s="35">
        <f>IF(OR(B231="",D231=""),"",D231*VLOOKUP(B231,Inventory!$A$5:$J$104,10,FALSE))</f>
        <v/>
      </c>
      <c r="I231" s="35">
        <f>IF(G231="","",G231-F231-H231)</f>
        <v/>
      </c>
      <c r="J231" s="22" t="inlineStr"/>
    </row>
    <row r="232">
      <c r="A232" s="34" t="inlineStr"/>
      <c r="B232" s="22" t="inlineStr"/>
      <c r="C232" s="22" t="inlineStr"/>
      <c r="D232" s="23" t="inlineStr"/>
      <c r="E232" s="25" t="inlineStr"/>
      <c r="F232" s="25" t="inlineStr"/>
      <c r="G232" s="35">
        <f>IF(OR(B232="",D232=""),"",D232*E232)</f>
        <v/>
      </c>
      <c r="H232" s="35">
        <f>IF(OR(B232="",D232=""),"",D232*VLOOKUP(B232,Inventory!$A$5:$J$104,10,FALSE))</f>
        <v/>
      </c>
      <c r="I232" s="35">
        <f>IF(G232="","",G232-F232-H232)</f>
        <v/>
      </c>
      <c r="J232" s="22" t="inlineStr"/>
    </row>
    <row r="233">
      <c r="A233" s="34" t="inlineStr"/>
      <c r="B233" s="22" t="inlineStr"/>
      <c r="C233" s="22" t="inlineStr"/>
      <c r="D233" s="23" t="inlineStr"/>
      <c r="E233" s="25" t="inlineStr"/>
      <c r="F233" s="25" t="inlineStr"/>
      <c r="G233" s="35">
        <f>IF(OR(B233="",D233=""),"",D233*E233)</f>
        <v/>
      </c>
      <c r="H233" s="35">
        <f>IF(OR(B233="",D233=""),"",D233*VLOOKUP(B233,Inventory!$A$5:$J$104,10,FALSE))</f>
        <v/>
      </c>
      <c r="I233" s="35">
        <f>IF(G233="","",G233-F233-H233)</f>
        <v/>
      </c>
      <c r="J233" s="22" t="inlineStr"/>
    </row>
    <row r="234">
      <c r="A234" s="34" t="inlineStr"/>
      <c r="B234" s="22" t="inlineStr"/>
      <c r="C234" s="22" t="inlineStr"/>
      <c r="D234" s="23" t="inlineStr"/>
      <c r="E234" s="25" t="inlineStr"/>
      <c r="F234" s="25" t="inlineStr"/>
      <c r="G234" s="35">
        <f>IF(OR(B234="",D234=""),"",D234*E234)</f>
        <v/>
      </c>
      <c r="H234" s="35">
        <f>IF(OR(B234="",D234=""),"",D234*VLOOKUP(B234,Inventory!$A$5:$J$104,10,FALSE))</f>
        <v/>
      </c>
      <c r="I234" s="35">
        <f>IF(G234="","",G234-F234-H234)</f>
        <v/>
      </c>
      <c r="J234" s="22" t="inlineStr"/>
    </row>
    <row r="235">
      <c r="A235" s="34" t="inlineStr"/>
      <c r="B235" s="22" t="inlineStr"/>
      <c r="C235" s="22" t="inlineStr"/>
      <c r="D235" s="23" t="inlineStr"/>
      <c r="E235" s="25" t="inlineStr"/>
      <c r="F235" s="25" t="inlineStr"/>
      <c r="G235" s="35">
        <f>IF(OR(B235="",D235=""),"",D235*E235)</f>
        <v/>
      </c>
      <c r="H235" s="35">
        <f>IF(OR(B235="",D235=""),"",D235*VLOOKUP(B235,Inventory!$A$5:$J$104,10,FALSE))</f>
        <v/>
      </c>
      <c r="I235" s="35">
        <f>IF(G235="","",G235-F235-H235)</f>
        <v/>
      </c>
      <c r="J235" s="22" t="inlineStr"/>
    </row>
    <row r="236">
      <c r="A236" s="34" t="inlineStr"/>
      <c r="B236" s="22" t="inlineStr"/>
      <c r="C236" s="22" t="inlineStr"/>
      <c r="D236" s="23" t="inlineStr"/>
      <c r="E236" s="25" t="inlineStr"/>
      <c r="F236" s="25" t="inlineStr"/>
      <c r="G236" s="35">
        <f>IF(OR(B236="",D236=""),"",D236*E236)</f>
        <v/>
      </c>
      <c r="H236" s="35">
        <f>IF(OR(B236="",D236=""),"",D236*VLOOKUP(B236,Inventory!$A$5:$J$104,10,FALSE))</f>
        <v/>
      </c>
      <c r="I236" s="35">
        <f>IF(G236="","",G236-F236-H236)</f>
        <v/>
      </c>
      <c r="J236" s="22" t="inlineStr"/>
    </row>
    <row r="237">
      <c r="A237" s="34" t="inlineStr"/>
      <c r="B237" s="22" t="inlineStr"/>
      <c r="C237" s="22" t="inlineStr"/>
      <c r="D237" s="23" t="inlineStr"/>
      <c r="E237" s="25" t="inlineStr"/>
      <c r="F237" s="25" t="inlineStr"/>
      <c r="G237" s="35">
        <f>IF(OR(B237="",D237=""),"",D237*E237)</f>
        <v/>
      </c>
      <c r="H237" s="35">
        <f>IF(OR(B237="",D237=""),"",D237*VLOOKUP(B237,Inventory!$A$5:$J$104,10,FALSE))</f>
        <v/>
      </c>
      <c r="I237" s="35">
        <f>IF(G237="","",G237-F237-H237)</f>
        <v/>
      </c>
      <c r="J237" s="22" t="inlineStr"/>
    </row>
    <row r="238">
      <c r="A238" s="34" t="inlineStr"/>
      <c r="B238" s="22" t="inlineStr"/>
      <c r="C238" s="22" t="inlineStr"/>
      <c r="D238" s="23" t="inlineStr"/>
      <c r="E238" s="25" t="inlineStr"/>
      <c r="F238" s="25" t="inlineStr"/>
      <c r="G238" s="35">
        <f>IF(OR(B238="",D238=""),"",D238*E238)</f>
        <v/>
      </c>
      <c r="H238" s="35">
        <f>IF(OR(B238="",D238=""),"",D238*VLOOKUP(B238,Inventory!$A$5:$J$104,10,FALSE))</f>
        <v/>
      </c>
      <c r="I238" s="35">
        <f>IF(G238="","",G238-F238-H238)</f>
        <v/>
      </c>
      <c r="J238" s="22" t="inlineStr"/>
    </row>
    <row r="239">
      <c r="A239" s="34" t="inlineStr"/>
      <c r="B239" s="22" t="inlineStr"/>
      <c r="C239" s="22" t="inlineStr"/>
      <c r="D239" s="23" t="inlineStr"/>
      <c r="E239" s="25" t="inlineStr"/>
      <c r="F239" s="25" t="inlineStr"/>
      <c r="G239" s="35">
        <f>IF(OR(B239="",D239=""),"",D239*E239)</f>
        <v/>
      </c>
      <c r="H239" s="35">
        <f>IF(OR(B239="",D239=""),"",D239*VLOOKUP(B239,Inventory!$A$5:$J$104,10,FALSE))</f>
        <v/>
      </c>
      <c r="I239" s="35">
        <f>IF(G239="","",G239-F239-H239)</f>
        <v/>
      </c>
      <c r="J239" s="22" t="inlineStr"/>
    </row>
    <row r="240">
      <c r="A240" s="34" t="inlineStr"/>
      <c r="B240" s="22" t="inlineStr"/>
      <c r="C240" s="22" t="inlineStr"/>
      <c r="D240" s="23" t="inlineStr"/>
      <c r="E240" s="25" t="inlineStr"/>
      <c r="F240" s="25" t="inlineStr"/>
      <c r="G240" s="35">
        <f>IF(OR(B240="",D240=""),"",D240*E240)</f>
        <v/>
      </c>
      <c r="H240" s="35">
        <f>IF(OR(B240="",D240=""),"",D240*VLOOKUP(B240,Inventory!$A$5:$J$104,10,FALSE))</f>
        <v/>
      </c>
      <c r="I240" s="35">
        <f>IF(G240="","",G240-F240-H240)</f>
        <v/>
      </c>
      <c r="J240" s="22" t="inlineStr"/>
    </row>
    <row r="241">
      <c r="A241" s="34" t="inlineStr"/>
      <c r="B241" s="22" t="inlineStr"/>
      <c r="C241" s="22" t="inlineStr"/>
      <c r="D241" s="23" t="inlineStr"/>
      <c r="E241" s="25" t="inlineStr"/>
      <c r="F241" s="25" t="inlineStr"/>
      <c r="G241" s="35">
        <f>IF(OR(B241="",D241=""),"",D241*E241)</f>
        <v/>
      </c>
      <c r="H241" s="35">
        <f>IF(OR(B241="",D241=""),"",D241*VLOOKUP(B241,Inventory!$A$5:$J$104,10,FALSE))</f>
        <v/>
      </c>
      <c r="I241" s="35">
        <f>IF(G241="","",G241-F241-H241)</f>
        <v/>
      </c>
      <c r="J241" s="22" t="inlineStr"/>
    </row>
    <row r="242">
      <c r="A242" s="34" t="inlineStr"/>
      <c r="B242" s="22" t="inlineStr"/>
      <c r="C242" s="22" t="inlineStr"/>
      <c r="D242" s="23" t="inlineStr"/>
      <c r="E242" s="25" t="inlineStr"/>
      <c r="F242" s="25" t="inlineStr"/>
      <c r="G242" s="35">
        <f>IF(OR(B242="",D242=""),"",D242*E242)</f>
        <v/>
      </c>
      <c r="H242" s="35">
        <f>IF(OR(B242="",D242=""),"",D242*VLOOKUP(B242,Inventory!$A$5:$J$104,10,FALSE))</f>
        <v/>
      </c>
      <c r="I242" s="35">
        <f>IF(G242="","",G242-F242-H242)</f>
        <v/>
      </c>
      <c r="J242" s="22" t="inlineStr"/>
    </row>
    <row r="243">
      <c r="A243" s="34" t="inlineStr"/>
      <c r="B243" s="22" t="inlineStr"/>
      <c r="C243" s="22" t="inlineStr"/>
      <c r="D243" s="23" t="inlineStr"/>
      <c r="E243" s="25" t="inlineStr"/>
      <c r="F243" s="25" t="inlineStr"/>
      <c r="G243" s="35">
        <f>IF(OR(B243="",D243=""),"",D243*E243)</f>
        <v/>
      </c>
      <c r="H243" s="35">
        <f>IF(OR(B243="",D243=""),"",D243*VLOOKUP(B243,Inventory!$A$5:$J$104,10,FALSE))</f>
        <v/>
      </c>
      <c r="I243" s="35">
        <f>IF(G243="","",G243-F243-H243)</f>
        <v/>
      </c>
      <c r="J243" s="22" t="inlineStr"/>
    </row>
    <row r="244">
      <c r="A244" s="34" t="inlineStr"/>
      <c r="B244" s="22" t="inlineStr"/>
      <c r="C244" s="22" t="inlineStr"/>
      <c r="D244" s="23" t="inlineStr"/>
      <c r="E244" s="25" t="inlineStr"/>
      <c r="F244" s="25" t="inlineStr"/>
      <c r="G244" s="35">
        <f>IF(OR(B244="",D244=""),"",D244*E244)</f>
        <v/>
      </c>
      <c r="H244" s="35">
        <f>IF(OR(B244="",D244=""),"",D244*VLOOKUP(B244,Inventory!$A$5:$J$104,10,FALSE))</f>
        <v/>
      </c>
      <c r="I244" s="35">
        <f>IF(G244="","",G244-F244-H244)</f>
        <v/>
      </c>
      <c r="J244" s="22" t="inlineStr"/>
    </row>
    <row r="245">
      <c r="A245" s="34" t="inlineStr"/>
      <c r="B245" s="22" t="inlineStr"/>
      <c r="C245" s="22" t="inlineStr"/>
      <c r="D245" s="23" t="inlineStr"/>
      <c r="E245" s="25" t="inlineStr"/>
      <c r="F245" s="25" t="inlineStr"/>
      <c r="G245" s="35">
        <f>IF(OR(B245="",D245=""),"",D245*E245)</f>
        <v/>
      </c>
      <c r="H245" s="35">
        <f>IF(OR(B245="",D245=""),"",D245*VLOOKUP(B245,Inventory!$A$5:$J$104,10,FALSE))</f>
        <v/>
      </c>
      <c r="I245" s="35">
        <f>IF(G245="","",G245-F245-H245)</f>
        <v/>
      </c>
      <c r="J245" s="22" t="inlineStr"/>
    </row>
    <row r="246">
      <c r="A246" s="34" t="inlineStr"/>
      <c r="B246" s="22" t="inlineStr"/>
      <c r="C246" s="22" t="inlineStr"/>
      <c r="D246" s="23" t="inlineStr"/>
      <c r="E246" s="25" t="inlineStr"/>
      <c r="F246" s="25" t="inlineStr"/>
      <c r="G246" s="35">
        <f>IF(OR(B246="",D246=""),"",D246*E246)</f>
        <v/>
      </c>
      <c r="H246" s="35">
        <f>IF(OR(B246="",D246=""),"",D246*VLOOKUP(B246,Inventory!$A$5:$J$104,10,FALSE))</f>
        <v/>
      </c>
      <c r="I246" s="35">
        <f>IF(G246="","",G246-F246-H246)</f>
        <v/>
      </c>
      <c r="J246" s="22" t="inlineStr"/>
    </row>
    <row r="247">
      <c r="A247" s="34" t="inlineStr"/>
      <c r="B247" s="22" t="inlineStr"/>
      <c r="C247" s="22" t="inlineStr"/>
      <c r="D247" s="23" t="inlineStr"/>
      <c r="E247" s="25" t="inlineStr"/>
      <c r="F247" s="25" t="inlineStr"/>
      <c r="G247" s="35">
        <f>IF(OR(B247="",D247=""),"",D247*E247)</f>
        <v/>
      </c>
      <c r="H247" s="35">
        <f>IF(OR(B247="",D247=""),"",D247*VLOOKUP(B247,Inventory!$A$5:$J$104,10,FALSE))</f>
        <v/>
      </c>
      <c r="I247" s="35">
        <f>IF(G247="","",G247-F247-H247)</f>
        <v/>
      </c>
      <c r="J247" s="22" t="inlineStr"/>
    </row>
    <row r="248">
      <c r="A248" s="34" t="inlineStr"/>
      <c r="B248" s="22" t="inlineStr"/>
      <c r="C248" s="22" t="inlineStr"/>
      <c r="D248" s="23" t="inlineStr"/>
      <c r="E248" s="25" t="inlineStr"/>
      <c r="F248" s="25" t="inlineStr"/>
      <c r="G248" s="35">
        <f>IF(OR(B248="",D248=""),"",D248*E248)</f>
        <v/>
      </c>
      <c r="H248" s="35">
        <f>IF(OR(B248="",D248=""),"",D248*VLOOKUP(B248,Inventory!$A$5:$J$104,10,FALSE))</f>
        <v/>
      </c>
      <c r="I248" s="35">
        <f>IF(G248="","",G248-F248-H248)</f>
        <v/>
      </c>
      <c r="J248" s="22" t="inlineStr"/>
    </row>
    <row r="249">
      <c r="A249" s="34" t="inlineStr"/>
      <c r="B249" s="22" t="inlineStr"/>
      <c r="C249" s="22" t="inlineStr"/>
      <c r="D249" s="23" t="inlineStr"/>
      <c r="E249" s="25" t="inlineStr"/>
      <c r="F249" s="25" t="inlineStr"/>
      <c r="G249" s="35">
        <f>IF(OR(B249="",D249=""),"",D249*E249)</f>
        <v/>
      </c>
      <c r="H249" s="35">
        <f>IF(OR(B249="",D249=""),"",D249*VLOOKUP(B249,Inventory!$A$5:$J$104,10,FALSE))</f>
        <v/>
      </c>
      <c r="I249" s="35">
        <f>IF(G249="","",G249-F249-H249)</f>
        <v/>
      </c>
      <c r="J249" s="22" t="inlineStr"/>
    </row>
    <row r="250">
      <c r="A250" s="34" t="inlineStr"/>
      <c r="B250" s="22" t="inlineStr"/>
      <c r="C250" s="22" t="inlineStr"/>
      <c r="D250" s="23" t="inlineStr"/>
      <c r="E250" s="25" t="inlineStr"/>
      <c r="F250" s="25" t="inlineStr"/>
      <c r="G250" s="35">
        <f>IF(OR(B250="",D250=""),"",D250*E250)</f>
        <v/>
      </c>
      <c r="H250" s="35">
        <f>IF(OR(B250="",D250=""),"",D250*VLOOKUP(B250,Inventory!$A$5:$J$104,10,FALSE))</f>
        <v/>
      </c>
      <c r="I250" s="35">
        <f>IF(G250="","",G250-F250-H250)</f>
        <v/>
      </c>
      <c r="J250" s="22" t="inlineStr"/>
    </row>
    <row r="251">
      <c r="A251" s="34" t="inlineStr"/>
      <c r="B251" s="22" t="inlineStr"/>
      <c r="C251" s="22" t="inlineStr"/>
      <c r="D251" s="23" t="inlineStr"/>
      <c r="E251" s="25" t="inlineStr"/>
      <c r="F251" s="25" t="inlineStr"/>
      <c r="G251" s="35">
        <f>IF(OR(B251="",D251=""),"",D251*E251)</f>
        <v/>
      </c>
      <c r="H251" s="35">
        <f>IF(OR(B251="",D251=""),"",D251*VLOOKUP(B251,Inventory!$A$5:$J$104,10,FALSE))</f>
        <v/>
      </c>
      <c r="I251" s="35">
        <f>IF(G251="","",G251-F251-H251)</f>
        <v/>
      </c>
      <c r="J251" s="22" t="inlineStr"/>
    </row>
    <row r="252">
      <c r="A252" s="34" t="inlineStr"/>
      <c r="B252" s="22" t="inlineStr"/>
      <c r="C252" s="22" t="inlineStr"/>
      <c r="D252" s="23" t="inlineStr"/>
      <c r="E252" s="25" t="inlineStr"/>
      <c r="F252" s="25" t="inlineStr"/>
      <c r="G252" s="35">
        <f>IF(OR(B252="",D252=""),"",D252*E252)</f>
        <v/>
      </c>
      <c r="H252" s="35">
        <f>IF(OR(B252="",D252=""),"",D252*VLOOKUP(B252,Inventory!$A$5:$J$104,10,FALSE))</f>
        <v/>
      </c>
      <c r="I252" s="35">
        <f>IF(G252="","",G252-F252-H252)</f>
        <v/>
      </c>
      <c r="J252" s="22" t="inlineStr"/>
    </row>
    <row r="253">
      <c r="A253" s="34" t="inlineStr"/>
      <c r="B253" s="22" t="inlineStr"/>
      <c r="C253" s="22" t="inlineStr"/>
      <c r="D253" s="23" t="inlineStr"/>
      <c r="E253" s="25" t="inlineStr"/>
      <c r="F253" s="25" t="inlineStr"/>
      <c r="G253" s="35">
        <f>IF(OR(B253="",D253=""),"",D253*E253)</f>
        <v/>
      </c>
      <c r="H253" s="35">
        <f>IF(OR(B253="",D253=""),"",D253*VLOOKUP(B253,Inventory!$A$5:$J$104,10,FALSE))</f>
        <v/>
      </c>
      <c r="I253" s="35">
        <f>IF(G253="","",G253-F253-H253)</f>
        <v/>
      </c>
      <c r="J253" s="22" t="inlineStr"/>
    </row>
    <row r="254">
      <c r="A254" s="34" t="inlineStr"/>
      <c r="B254" s="22" t="inlineStr"/>
      <c r="C254" s="22" t="inlineStr"/>
      <c r="D254" s="23" t="inlineStr"/>
      <c r="E254" s="25" t="inlineStr"/>
      <c r="F254" s="25" t="inlineStr"/>
      <c r="G254" s="35">
        <f>IF(OR(B254="",D254=""),"",D254*E254)</f>
        <v/>
      </c>
      <c r="H254" s="35">
        <f>IF(OR(B254="",D254=""),"",D254*VLOOKUP(B254,Inventory!$A$5:$J$104,10,FALSE))</f>
        <v/>
      </c>
      <c r="I254" s="35">
        <f>IF(G254="","",G254-F254-H254)</f>
        <v/>
      </c>
      <c r="J254" s="22" t="inlineStr"/>
    </row>
    <row r="255">
      <c r="A255" s="34" t="inlineStr"/>
      <c r="B255" s="22" t="inlineStr"/>
      <c r="C255" s="22" t="inlineStr"/>
      <c r="D255" s="23" t="inlineStr"/>
      <c r="E255" s="25" t="inlineStr"/>
      <c r="F255" s="25" t="inlineStr"/>
      <c r="G255" s="35">
        <f>IF(OR(B255="",D255=""),"",D255*E255)</f>
        <v/>
      </c>
      <c r="H255" s="35">
        <f>IF(OR(B255="",D255=""),"",D255*VLOOKUP(B255,Inventory!$A$5:$J$104,10,FALSE))</f>
        <v/>
      </c>
      <c r="I255" s="35">
        <f>IF(G255="","",G255-F255-H255)</f>
        <v/>
      </c>
      <c r="J255" s="22" t="inlineStr"/>
    </row>
    <row r="256">
      <c r="A256" s="34" t="inlineStr"/>
      <c r="B256" s="22" t="inlineStr"/>
      <c r="C256" s="22" t="inlineStr"/>
      <c r="D256" s="23" t="inlineStr"/>
      <c r="E256" s="25" t="inlineStr"/>
      <c r="F256" s="25" t="inlineStr"/>
      <c r="G256" s="35">
        <f>IF(OR(B256="",D256=""),"",D256*E256)</f>
        <v/>
      </c>
      <c r="H256" s="35">
        <f>IF(OR(B256="",D256=""),"",D256*VLOOKUP(B256,Inventory!$A$5:$J$104,10,FALSE))</f>
        <v/>
      </c>
      <c r="I256" s="35">
        <f>IF(G256="","",G256-F256-H256)</f>
        <v/>
      </c>
      <c r="J256" s="22" t="inlineStr"/>
    </row>
    <row r="257">
      <c r="A257" s="34" t="inlineStr"/>
      <c r="B257" s="22" t="inlineStr"/>
      <c r="C257" s="22" t="inlineStr"/>
      <c r="D257" s="23" t="inlineStr"/>
      <c r="E257" s="25" t="inlineStr"/>
      <c r="F257" s="25" t="inlineStr"/>
      <c r="G257" s="35">
        <f>IF(OR(B257="",D257=""),"",D257*E257)</f>
        <v/>
      </c>
      <c r="H257" s="35">
        <f>IF(OR(B257="",D257=""),"",D257*VLOOKUP(B257,Inventory!$A$5:$J$104,10,FALSE))</f>
        <v/>
      </c>
      <c r="I257" s="35">
        <f>IF(G257="","",G257-F257-H257)</f>
        <v/>
      </c>
      <c r="J257" s="22" t="inlineStr"/>
    </row>
    <row r="258">
      <c r="A258" s="34" t="inlineStr"/>
      <c r="B258" s="22" t="inlineStr"/>
      <c r="C258" s="22" t="inlineStr"/>
      <c r="D258" s="23" t="inlineStr"/>
      <c r="E258" s="25" t="inlineStr"/>
      <c r="F258" s="25" t="inlineStr"/>
      <c r="G258" s="35">
        <f>IF(OR(B258="",D258=""),"",D258*E258)</f>
        <v/>
      </c>
      <c r="H258" s="35">
        <f>IF(OR(B258="",D258=""),"",D258*VLOOKUP(B258,Inventory!$A$5:$J$104,10,FALSE))</f>
        <v/>
      </c>
      <c r="I258" s="35">
        <f>IF(G258="","",G258-F258-H258)</f>
        <v/>
      </c>
      <c r="J258" s="22" t="inlineStr"/>
    </row>
    <row r="259">
      <c r="A259" s="34" t="inlineStr"/>
      <c r="B259" s="22" t="inlineStr"/>
      <c r="C259" s="22" t="inlineStr"/>
      <c r="D259" s="23" t="inlineStr"/>
      <c r="E259" s="25" t="inlineStr"/>
      <c r="F259" s="25" t="inlineStr"/>
      <c r="G259" s="35">
        <f>IF(OR(B259="",D259=""),"",D259*E259)</f>
        <v/>
      </c>
      <c r="H259" s="35">
        <f>IF(OR(B259="",D259=""),"",D259*VLOOKUP(B259,Inventory!$A$5:$J$104,10,FALSE))</f>
        <v/>
      </c>
      <c r="I259" s="35">
        <f>IF(G259="","",G259-F259-H259)</f>
        <v/>
      </c>
      <c r="J259" s="22" t="inlineStr"/>
    </row>
    <row r="260">
      <c r="A260" s="34" t="inlineStr"/>
      <c r="B260" s="22" t="inlineStr"/>
      <c r="C260" s="22" t="inlineStr"/>
      <c r="D260" s="23" t="inlineStr"/>
      <c r="E260" s="25" t="inlineStr"/>
      <c r="F260" s="25" t="inlineStr"/>
      <c r="G260" s="35">
        <f>IF(OR(B260="",D260=""),"",D260*E260)</f>
        <v/>
      </c>
      <c r="H260" s="35">
        <f>IF(OR(B260="",D260=""),"",D260*VLOOKUP(B260,Inventory!$A$5:$J$104,10,FALSE))</f>
        <v/>
      </c>
      <c r="I260" s="35">
        <f>IF(G260="","",G260-F260-H260)</f>
        <v/>
      </c>
      <c r="J260" s="22" t="inlineStr"/>
    </row>
    <row r="261">
      <c r="A261" s="34" t="inlineStr"/>
      <c r="B261" s="22" t="inlineStr"/>
      <c r="C261" s="22" t="inlineStr"/>
      <c r="D261" s="23" t="inlineStr"/>
      <c r="E261" s="25" t="inlineStr"/>
      <c r="F261" s="25" t="inlineStr"/>
      <c r="G261" s="35">
        <f>IF(OR(B261="",D261=""),"",D261*E261)</f>
        <v/>
      </c>
      <c r="H261" s="35">
        <f>IF(OR(B261="",D261=""),"",D261*VLOOKUP(B261,Inventory!$A$5:$J$104,10,FALSE))</f>
        <v/>
      </c>
      <c r="I261" s="35">
        <f>IF(G261="","",G261-F261-H261)</f>
        <v/>
      </c>
      <c r="J261" s="22" t="inlineStr"/>
    </row>
    <row r="262">
      <c r="A262" s="34" t="inlineStr"/>
      <c r="B262" s="22" t="inlineStr"/>
      <c r="C262" s="22" t="inlineStr"/>
      <c r="D262" s="23" t="inlineStr"/>
      <c r="E262" s="25" t="inlineStr"/>
      <c r="F262" s="25" t="inlineStr"/>
      <c r="G262" s="35">
        <f>IF(OR(B262="",D262=""),"",D262*E262)</f>
        <v/>
      </c>
      <c r="H262" s="35">
        <f>IF(OR(B262="",D262=""),"",D262*VLOOKUP(B262,Inventory!$A$5:$J$104,10,FALSE))</f>
        <v/>
      </c>
      <c r="I262" s="35">
        <f>IF(G262="","",G262-F262-H262)</f>
        <v/>
      </c>
      <c r="J262" s="22" t="inlineStr"/>
    </row>
    <row r="263">
      <c r="A263" s="34" t="inlineStr"/>
      <c r="B263" s="22" t="inlineStr"/>
      <c r="C263" s="22" t="inlineStr"/>
      <c r="D263" s="23" t="inlineStr"/>
      <c r="E263" s="25" t="inlineStr"/>
      <c r="F263" s="25" t="inlineStr"/>
      <c r="G263" s="35">
        <f>IF(OR(B263="",D263=""),"",D263*E263)</f>
        <v/>
      </c>
      <c r="H263" s="35">
        <f>IF(OR(B263="",D263=""),"",D263*VLOOKUP(B263,Inventory!$A$5:$J$104,10,FALSE))</f>
        <v/>
      </c>
      <c r="I263" s="35">
        <f>IF(G263="","",G263-F263-H263)</f>
        <v/>
      </c>
      <c r="J263" s="22" t="inlineStr"/>
    </row>
    <row r="264">
      <c r="A264" s="34" t="inlineStr"/>
      <c r="B264" s="22" t="inlineStr"/>
      <c r="C264" s="22" t="inlineStr"/>
      <c r="D264" s="23" t="inlineStr"/>
      <c r="E264" s="25" t="inlineStr"/>
      <c r="F264" s="25" t="inlineStr"/>
      <c r="G264" s="35">
        <f>IF(OR(B264="",D264=""),"",D264*E264)</f>
        <v/>
      </c>
      <c r="H264" s="35">
        <f>IF(OR(B264="",D264=""),"",D264*VLOOKUP(B264,Inventory!$A$5:$J$104,10,FALSE))</f>
        <v/>
      </c>
      <c r="I264" s="35">
        <f>IF(G264="","",G264-F264-H264)</f>
        <v/>
      </c>
      <c r="J264" s="22" t="inlineStr"/>
    </row>
    <row r="265">
      <c r="A265" s="34" t="inlineStr"/>
      <c r="B265" s="22" t="inlineStr"/>
      <c r="C265" s="22" t="inlineStr"/>
      <c r="D265" s="23" t="inlineStr"/>
      <c r="E265" s="25" t="inlineStr"/>
      <c r="F265" s="25" t="inlineStr"/>
      <c r="G265" s="35">
        <f>IF(OR(B265="",D265=""),"",D265*E265)</f>
        <v/>
      </c>
      <c r="H265" s="35">
        <f>IF(OR(B265="",D265=""),"",D265*VLOOKUP(B265,Inventory!$A$5:$J$104,10,FALSE))</f>
        <v/>
      </c>
      <c r="I265" s="35">
        <f>IF(G265="","",G265-F265-H265)</f>
        <v/>
      </c>
      <c r="J265" s="22" t="inlineStr"/>
    </row>
    <row r="266">
      <c r="A266" s="34" t="inlineStr"/>
      <c r="B266" s="22" t="inlineStr"/>
      <c r="C266" s="22" t="inlineStr"/>
      <c r="D266" s="23" t="inlineStr"/>
      <c r="E266" s="25" t="inlineStr"/>
      <c r="F266" s="25" t="inlineStr"/>
      <c r="G266" s="35">
        <f>IF(OR(B266="",D266=""),"",D266*E266)</f>
        <v/>
      </c>
      <c r="H266" s="35">
        <f>IF(OR(B266="",D266=""),"",D266*VLOOKUP(B266,Inventory!$A$5:$J$104,10,FALSE))</f>
        <v/>
      </c>
      <c r="I266" s="35">
        <f>IF(G266="","",G266-F266-H266)</f>
        <v/>
      </c>
      <c r="J266" s="22" t="inlineStr"/>
    </row>
    <row r="267">
      <c r="A267" s="34" t="inlineStr"/>
      <c r="B267" s="22" t="inlineStr"/>
      <c r="C267" s="22" t="inlineStr"/>
      <c r="D267" s="23" t="inlineStr"/>
      <c r="E267" s="25" t="inlineStr"/>
      <c r="F267" s="25" t="inlineStr"/>
      <c r="G267" s="35">
        <f>IF(OR(B267="",D267=""),"",D267*E267)</f>
        <v/>
      </c>
      <c r="H267" s="35">
        <f>IF(OR(B267="",D267=""),"",D267*VLOOKUP(B267,Inventory!$A$5:$J$104,10,FALSE))</f>
        <v/>
      </c>
      <c r="I267" s="35">
        <f>IF(G267="","",G267-F267-H267)</f>
        <v/>
      </c>
      <c r="J267" s="22" t="inlineStr"/>
    </row>
    <row r="268">
      <c r="A268" s="34" t="inlineStr"/>
      <c r="B268" s="22" t="inlineStr"/>
      <c r="C268" s="22" t="inlineStr"/>
      <c r="D268" s="23" t="inlineStr"/>
      <c r="E268" s="25" t="inlineStr"/>
      <c r="F268" s="25" t="inlineStr"/>
      <c r="G268" s="35">
        <f>IF(OR(B268="",D268=""),"",D268*E268)</f>
        <v/>
      </c>
      <c r="H268" s="35">
        <f>IF(OR(B268="",D268=""),"",D268*VLOOKUP(B268,Inventory!$A$5:$J$104,10,FALSE))</f>
        <v/>
      </c>
      <c r="I268" s="35">
        <f>IF(G268="","",G268-F268-H268)</f>
        <v/>
      </c>
      <c r="J268" s="22" t="inlineStr"/>
    </row>
    <row r="269">
      <c r="A269" s="34" t="inlineStr"/>
      <c r="B269" s="22" t="inlineStr"/>
      <c r="C269" s="22" t="inlineStr"/>
      <c r="D269" s="23" t="inlineStr"/>
      <c r="E269" s="25" t="inlineStr"/>
      <c r="F269" s="25" t="inlineStr"/>
      <c r="G269" s="35">
        <f>IF(OR(B269="",D269=""),"",D269*E269)</f>
        <v/>
      </c>
      <c r="H269" s="35">
        <f>IF(OR(B269="",D269=""),"",D269*VLOOKUP(B269,Inventory!$A$5:$J$104,10,FALSE))</f>
        <v/>
      </c>
      <c r="I269" s="35">
        <f>IF(G269="","",G269-F269-H269)</f>
        <v/>
      </c>
      <c r="J269" s="22" t="inlineStr"/>
    </row>
    <row r="270">
      <c r="A270" s="34" t="inlineStr"/>
      <c r="B270" s="22" t="inlineStr"/>
      <c r="C270" s="22" t="inlineStr"/>
      <c r="D270" s="23" t="inlineStr"/>
      <c r="E270" s="25" t="inlineStr"/>
      <c r="F270" s="25" t="inlineStr"/>
      <c r="G270" s="35">
        <f>IF(OR(B270="",D270=""),"",D270*E270)</f>
        <v/>
      </c>
      <c r="H270" s="35">
        <f>IF(OR(B270="",D270=""),"",D270*VLOOKUP(B270,Inventory!$A$5:$J$104,10,FALSE))</f>
        <v/>
      </c>
      <c r="I270" s="35">
        <f>IF(G270="","",G270-F270-H270)</f>
        <v/>
      </c>
      <c r="J270" s="22" t="inlineStr"/>
    </row>
    <row r="271">
      <c r="A271" s="34" t="inlineStr"/>
      <c r="B271" s="22" t="inlineStr"/>
      <c r="C271" s="22" t="inlineStr"/>
      <c r="D271" s="23" t="inlineStr"/>
      <c r="E271" s="25" t="inlineStr"/>
      <c r="F271" s="25" t="inlineStr"/>
      <c r="G271" s="35">
        <f>IF(OR(B271="",D271=""),"",D271*E271)</f>
        <v/>
      </c>
      <c r="H271" s="35">
        <f>IF(OR(B271="",D271=""),"",D271*VLOOKUP(B271,Inventory!$A$5:$J$104,10,FALSE))</f>
        <v/>
      </c>
      <c r="I271" s="35">
        <f>IF(G271="","",G271-F271-H271)</f>
        <v/>
      </c>
      <c r="J271" s="22" t="inlineStr"/>
    </row>
    <row r="272">
      <c r="A272" s="34" t="inlineStr"/>
      <c r="B272" s="22" t="inlineStr"/>
      <c r="C272" s="22" t="inlineStr"/>
      <c r="D272" s="23" t="inlineStr"/>
      <c r="E272" s="25" t="inlineStr"/>
      <c r="F272" s="25" t="inlineStr"/>
      <c r="G272" s="35">
        <f>IF(OR(B272="",D272=""),"",D272*E272)</f>
        <v/>
      </c>
      <c r="H272" s="35">
        <f>IF(OR(B272="",D272=""),"",D272*VLOOKUP(B272,Inventory!$A$5:$J$104,10,FALSE))</f>
        <v/>
      </c>
      <c r="I272" s="35">
        <f>IF(G272="","",G272-F272-H272)</f>
        <v/>
      </c>
      <c r="J272" s="22" t="inlineStr"/>
    </row>
    <row r="273">
      <c r="A273" s="34" t="inlineStr"/>
      <c r="B273" s="22" t="inlineStr"/>
      <c r="C273" s="22" t="inlineStr"/>
      <c r="D273" s="23" t="inlineStr"/>
      <c r="E273" s="25" t="inlineStr"/>
      <c r="F273" s="25" t="inlineStr"/>
      <c r="G273" s="35">
        <f>IF(OR(B273="",D273=""),"",D273*E273)</f>
        <v/>
      </c>
      <c r="H273" s="35">
        <f>IF(OR(B273="",D273=""),"",D273*VLOOKUP(B273,Inventory!$A$5:$J$104,10,FALSE))</f>
        <v/>
      </c>
      <c r="I273" s="35">
        <f>IF(G273="","",G273-F273-H273)</f>
        <v/>
      </c>
      <c r="J273" s="22" t="inlineStr"/>
    </row>
    <row r="274">
      <c r="A274" s="34" t="inlineStr"/>
      <c r="B274" s="22" t="inlineStr"/>
      <c r="C274" s="22" t="inlineStr"/>
      <c r="D274" s="23" t="inlineStr"/>
      <c r="E274" s="25" t="inlineStr"/>
      <c r="F274" s="25" t="inlineStr"/>
      <c r="G274" s="35">
        <f>IF(OR(B274="",D274=""),"",D274*E274)</f>
        <v/>
      </c>
      <c r="H274" s="35">
        <f>IF(OR(B274="",D274=""),"",D274*VLOOKUP(B274,Inventory!$A$5:$J$104,10,FALSE))</f>
        <v/>
      </c>
      <c r="I274" s="35">
        <f>IF(G274="","",G274-F274-H274)</f>
        <v/>
      </c>
      <c r="J274" s="22" t="inlineStr"/>
    </row>
    <row r="275">
      <c r="A275" s="34" t="inlineStr"/>
      <c r="B275" s="22" t="inlineStr"/>
      <c r="C275" s="22" t="inlineStr"/>
      <c r="D275" s="23" t="inlineStr"/>
      <c r="E275" s="25" t="inlineStr"/>
      <c r="F275" s="25" t="inlineStr"/>
      <c r="G275" s="35">
        <f>IF(OR(B275="",D275=""),"",D275*E275)</f>
        <v/>
      </c>
      <c r="H275" s="35">
        <f>IF(OR(B275="",D275=""),"",D275*VLOOKUP(B275,Inventory!$A$5:$J$104,10,FALSE))</f>
        <v/>
      </c>
      <c r="I275" s="35">
        <f>IF(G275="","",G275-F275-H275)</f>
        <v/>
      </c>
      <c r="J275" s="22" t="inlineStr"/>
    </row>
    <row r="276">
      <c r="A276" s="34" t="inlineStr"/>
      <c r="B276" s="22" t="inlineStr"/>
      <c r="C276" s="22" t="inlineStr"/>
      <c r="D276" s="23" t="inlineStr"/>
      <c r="E276" s="25" t="inlineStr"/>
      <c r="F276" s="25" t="inlineStr"/>
      <c r="G276" s="35">
        <f>IF(OR(B276="",D276=""),"",D276*E276)</f>
        <v/>
      </c>
      <c r="H276" s="35">
        <f>IF(OR(B276="",D276=""),"",D276*VLOOKUP(B276,Inventory!$A$5:$J$104,10,FALSE))</f>
        <v/>
      </c>
      <c r="I276" s="35">
        <f>IF(G276="","",G276-F276-H276)</f>
        <v/>
      </c>
      <c r="J276" s="22" t="inlineStr"/>
    </row>
    <row r="277">
      <c r="A277" s="34" t="inlineStr"/>
      <c r="B277" s="22" t="inlineStr"/>
      <c r="C277" s="22" t="inlineStr"/>
      <c r="D277" s="23" t="inlineStr"/>
      <c r="E277" s="25" t="inlineStr"/>
      <c r="F277" s="25" t="inlineStr"/>
      <c r="G277" s="35">
        <f>IF(OR(B277="",D277=""),"",D277*E277)</f>
        <v/>
      </c>
      <c r="H277" s="35">
        <f>IF(OR(B277="",D277=""),"",D277*VLOOKUP(B277,Inventory!$A$5:$J$104,10,FALSE))</f>
        <v/>
      </c>
      <c r="I277" s="35">
        <f>IF(G277="","",G277-F277-H277)</f>
        <v/>
      </c>
      <c r="J277" s="22" t="inlineStr"/>
    </row>
    <row r="278">
      <c r="A278" s="34" t="inlineStr"/>
      <c r="B278" s="22" t="inlineStr"/>
      <c r="C278" s="22" t="inlineStr"/>
      <c r="D278" s="23" t="inlineStr"/>
      <c r="E278" s="25" t="inlineStr"/>
      <c r="F278" s="25" t="inlineStr"/>
      <c r="G278" s="35">
        <f>IF(OR(B278="",D278=""),"",D278*E278)</f>
        <v/>
      </c>
      <c r="H278" s="35">
        <f>IF(OR(B278="",D278=""),"",D278*VLOOKUP(B278,Inventory!$A$5:$J$104,10,FALSE))</f>
        <v/>
      </c>
      <c r="I278" s="35">
        <f>IF(G278="","",G278-F278-H278)</f>
        <v/>
      </c>
      <c r="J278" s="22" t="inlineStr"/>
    </row>
    <row r="279">
      <c r="A279" s="34" t="inlineStr"/>
      <c r="B279" s="22" t="inlineStr"/>
      <c r="C279" s="22" t="inlineStr"/>
      <c r="D279" s="23" t="inlineStr"/>
      <c r="E279" s="25" t="inlineStr"/>
      <c r="F279" s="25" t="inlineStr"/>
      <c r="G279" s="35">
        <f>IF(OR(B279="",D279=""),"",D279*E279)</f>
        <v/>
      </c>
      <c r="H279" s="35">
        <f>IF(OR(B279="",D279=""),"",D279*VLOOKUP(B279,Inventory!$A$5:$J$104,10,FALSE))</f>
        <v/>
      </c>
      <c r="I279" s="35">
        <f>IF(G279="","",G279-F279-H279)</f>
        <v/>
      </c>
      <c r="J279" s="22" t="inlineStr"/>
    </row>
    <row r="280">
      <c r="A280" s="34" t="inlineStr"/>
      <c r="B280" s="22" t="inlineStr"/>
      <c r="C280" s="22" t="inlineStr"/>
      <c r="D280" s="23" t="inlineStr"/>
      <c r="E280" s="25" t="inlineStr"/>
      <c r="F280" s="25" t="inlineStr"/>
      <c r="G280" s="35">
        <f>IF(OR(B280="",D280=""),"",D280*E280)</f>
        <v/>
      </c>
      <c r="H280" s="35">
        <f>IF(OR(B280="",D280=""),"",D280*VLOOKUP(B280,Inventory!$A$5:$J$104,10,FALSE))</f>
        <v/>
      </c>
      <c r="I280" s="35">
        <f>IF(G280="","",G280-F280-H280)</f>
        <v/>
      </c>
      <c r="J280" s="22" t="inlineStr"/>
    </row>
    <row r="281">
      <c r="A281" s="34" t="inlineStr"/>
      <c r="B281" s="22" t="inlineStr"/>
      <c r="C281" s="22" t="inlineStr"/>
      <c r="D281" s="23" t="inlineStr"/>
      <c r="E281" s="25" t="inlineStr"/>
      <c r="F281" s="25" t="inlineStr"/>
      <c r="G281" s="35">
        <f>IF(OR(B281="",D281=""),"",D281*E281)</f>
        <v/>
      </c>
      <c r="H281" s="35">
        <f>IF(OR(B281="",D281=""),"",D281*VLOOKUP(B281,Inventory!$A$5:$J$104,10,FALSE))</f>
        <v/>
      </c>
      <c r="I281" s="35">
        <f>IF(G281="","",G281-F281-H281)</f>
        <v/>
      </c>
      <c r="J281" s="22" t="inlineStr"/>
    </row>
    <row r="282">
      <c r="A282" s="34" t="inlineStr"/>
      <c r="B282" s="22" t="inlineStr"/>
      <c r="C282" s="22" t="inlineStr"/>
      <c r="D282" s="23" t="inlineStr"/>
      <c r="E282" s="25" t="inlineStr"/>
      <c r="F282" s="25" t="inlineStr"/>
      <c r="G282" s="35">
        <f>IF(OR(B282="",D282=""),"",D282*E282)</f>
        <v/>
      </c>
      <c r="H282" s="35">
        <f>IF(OR(B282="",D282=""),"",D282*VLOOKUP(B282,Inventory!$A$5:$J$104,10,FALSE))</f>
        <v/>
      </c>
      <c r="I282" s="35">
        <f>IF(G282="","",G282-F282-H282)</f>
        <v/>
      </c>
      <c r="J282" s="22" t="inlineStr"/>
    </row>
    <row r="283">
      <c r="A283" s="34" t="inlineStr"/>
      <c r="B283" s="22" t="inlineStr"/>
      <c r="C283" s="22" t="inlineStr"/>
      <c r="D283" s="23" t="inlineStr"/>
      <c r="E283" s="25" t="inlineStr"/>
      <c r="F283" s="25" t="inlineStr"/>
      <c r="G283" s="35">
        <f>IF(OR(B283="",D283=""),"",D283*E283)</f>
        <v/>
      </c>
      <c r="H283" s="35">
        <f>IF(OR(B283="",D283=""),"",D283*VLOOKUP(B283,Inventory!$A$5:$J$104,10,FALSE))</f>
        <v/>
      </c>
      <c r="I283" s="35">
        <f>IF(G283="","",G283-F283-H283)</f>
        <v/>
      </c>
      <c r="J283" s="22" t="inlineStr"/>
    </row>
    <row r="284">
      <c r="A284" s="34" t="inlineStr"/>
      <c r="B284" s="22" t="inlineStr"/>
      <c r="C284" s="22" t="inlineStr"/>
      <c r="D284" s="23" t="inlineStr"/>
      <c r="E284" s="25" t="inlineStr"/>
      <c r="F284" s="25" t="inlineStr"/>
      <c r="G284" s="35">
        <f>IF(OR(B284="",D284=""),"",D284*E284)</f>
        <v/>
      </c>
      <c r="H284" s="35">
        <f>IF(OR(B284="",D284=""),"",D284*VLOOKUP(B284,Inventory!$A$5:$J$104,10,FALSE))</f>
        <v/>
      </c>
      <c r="I284" s="35">
        <f>IF(G284="","",G284-F284-H284)</f>
        <v/>
      </c>
      <c r="J284" s="22" t="inlineStr"/>
    </row>
    <row r="285">
      <c r="A285" s="34" t="inlineStr"/>
      <c r="B285" s="22" t="inlineStr"/>
      <c r="C285" s="22" t="inlineStr"/>
      <c r="D285" s="23" t="inlineStr"/>
      <c r="E285" s="25" t="inlineStr"/>
      <c r="F285" s="25" t="inlineStr"/>
      <c r="G285" s="35">
        <f>IF(OR(B285="",D285=""),"",D285*E285)</f>
        <v/>
      </c>
      <c r="H285" s="35">
        <f>IF(OR(B285="",D285=""),"",D285*VLOOKUP(B285,Inventory!$A$5:$J$104,10,FALSE))</f>
        <v/>
      </c>
      <c r="I285" s="35">
        <f>IF(G285="","",G285-F285-H285)</f>
        <v/>
      </c>
      <c r="J285" s="22" t="inlineStr"/>
    </row>
    <row r="286">
      <c r="A286" s="34" t="inlineStr"/>
      <c r="B286" s="22" t="inlineStr"/>
      <c r="C286" s="22" t="inlineStr"/>
      <c r="D286" s="23" t="inlineStr"/>
      <c r="E286" s="25" t="inlineStr"/>
      <c r="F286" s="25" t="inlineStr"/>
      <c r="G286" s="35">
        <f>IF(OR(B286="",D286=""),"",D286*E286)</f>
        <v/>
      </c>
      <c r="H286" s="35">
        <f>IF(OR(B286="",D286=""),"",D286*VLOOKUP(B286,Inventory!$A$5:$J$104,10,FALSE))</f>
        <v/>
      </c>
      <c r="I286" s="35">
        <f>IF(G286="","",G286-F286-H286)</f>
        <v/>
      </c>
      <c r="J286" s="22" t="inlineStr"/>
    </row>
    <row r="287">
      <c r="A287" s="34" t="inlineStr"/>
      <c r="B287" s="22" t="inlineStr"/>
      <c r="C287" s="22" t="inlineStr"/>
      <c r="D287" s="23" t="inlineStr"/>
      <c r="E287" s="25" t="inlineStr"/>
      <c r="F287" s="25" t="inlineStr"/>
      <c r="G287" s="35">
        <f>IF(OR(B287="",D287=""),"",D287*E287)</f>
        <v/>
      </c>
      <c r="H287" s="35">
        <f>IF(OR(B287="",D287=""),"",D287*VLOOKUP(B287,Inventory!$A$5:$J$104,10,FALSE))</f>
        <v/>
      </c>
      <c r="I287" s="35">
        <f>IF(G287="","",G287-F287-H287)</f>
        <v/>
      </c>
      <c r="J287" s="22" t="inlineStr"/>
    </row>
    <row r="288">
      <c r="A288" s="34" t="inlineStr"/>
      <c r="B288" s="22" t="inlineStr"/>
      <c r="C288" s="22" t="inlineStr"/>
      <c r="D288" s="23" t="inlineStr"/>
      <c r="E288" s="25" t="inlineStr"/>
      <c r="F288" s="25" t="inlineStr"/>
      <c r="G288" s="35">
        <f>IF(OR(B288="",D288=""),"",D288*E288)</f>
        <v/>
      </c>
      <c r="H288" s="35">
        <f>IF(OR(B288="",D288=""),"",D288*VLOOKUP(B288,Inventory!$A$5:$J$104,10,FALSE))</f>
        <v/>
      </c>
      <c r="I288" s="35">
        <f>IF(G288="","",G288-F288-H288)</f>
        <v/>
      </c>
      <c r="J288" s="22" t="inlineStr"/>
    </row>
    <row r="289">
      <c r="A289" s="34" t="inlineStr"/>
      <c r="B289" s="22" t="inlineStr"/>
      <c r="C289" s="22" t="inlineStr"/>
      <c r="D289" s="23" t="inlineStr"/>
      <c r="E289" s="25" t="inlineStr"/>
      <c r="F289" s="25" t="inlineStr"/>
      <c r="G289" s="35">
        <f>IF(OR(B289="",D289=""),"",D289*E289)</f>
        <v/>
      </c>
      <c r="H289" s="35">
        <f>IF(OR(B289="",D289=""),"",D289*VLOOKUP(B289,Inventory!$A$5:$J$104,10,FALSE))</f>
        <v/>
      </c>
      <c r="I289" s="35">
        <f>IF(G289="","",G289-F289-H289)</f>
        <v/>
      </c>
      <c r="J289" s="22" t="inlineStr"/>
    </row>
    <row r="290">
      <c r="A290" s="34" t="inlineStr"/>
      <c r="B290" s="22" t="inlineStr"/>
      <c r="C290" s="22" t="inlineStr"/>
      <c r="D290" s="23" t="inlineStr"/>
      <c r="E290" s="25" t="inlineStr"/>
      <c r="F290" s="25" t="inlineStr"/>
      <c r="G290" s="35">
        <f>IF(OR(B290="",D290=""),"",D290*E290)</f>
        <v/>
      </c>
      <c r="H290" s="35">
        <f>IF(OR(B290="",D290=""),"",D290*VLOOKUP(B290,Inventory!$A$5:$J$104,10,FALSE))</f>
        <v/>
      </c>
      <c r="I290" s="35">
        <f>IF(G290="","",G290-F290-H290)</f>
        <v/>
      </c>
      <c r="J290" s="22" t="inlineStr"/>
    </row>
    <row r="291">
      <c r="A291" s="34" t="inlineStr"/>
      <c r="B291" s="22" t="inlineStr"/>
      <c r="C291" s="22" t="inlineStr"/>
      <c r="D291" s="23" t="inlineStr"/>
      <c r="E291" s="25" t="inlineStr"/>
      <c r="F291" s="25" t="inlineStr"/>
      <c r="G291" s="35">
        <f>IF(OR(B291="",D291=""),"",D291*E291)</f>
        <v/>
      </c>
      <c r="H291" s="35">
        <f>IF(OR(B291="",D291=""),"",D291*VLOOKUP(B291,Inventory!$A$5:$J$104,10,FALSE))</f>
        <v/>
      </c>
      <c r="I291" s="35">
        <f>IF(G291="","",G291-F291-H291)</f>
        <v/>
      </c>
      <c r="J291" s="22" t="inlineStr"/>
    </row>
    <row r="292">
      <c r="A292" s="34" t="inlineStr"/>
      <c r="B292" s="22" t="inlineStr"/>
      <c r="C292" s="22" t="inlineStr"/>
      <c r="D292" s="23" t="inlineStr"/>
      <c r="E292" s="25" t="inlineStr"/>
      <c r="F292" s="25" t="inlineStr"/>
      <c r="G292" s="35">
        <f>IF(OR(B292="",D292=""),"",D292*E292)</f>
        <v/>
      </c>
      <c r="H292" s="35">
        <f>IF(OR(B292="",D292=""),"",D292*VLOOKUP(B292,Inventory!$A$5:$J$104,10,FALSE))</f>
        <v/>
      </c>
      <c r="I292" s="35">
        <f>IF(G292="","",G292-F292-H292)</f>
        <v/>
      </c>
      <c r="J292" s="22" t="inlineStr"/>
    </row>
    <row r="293">
      <c r="A293" s="34" t="inlineStr"/>
      <c r="B293" s="22" t="inlineStr"/>
      <c r="C293" s="22" t="inlineStr"/>
      <c r="D293" s="23" t="inlineStr"/>
      <c r="E293" s="25" t="inlineStr"/>
      <c r="F293" s="25" t="inlineStr"/>
      <c r="G293" s="35">
        <f>IF(OR(B293="",D293=""),"",D293*E293)</f>
        <v/>
      </c>
      <c r="H293" s="35">
        <f>IF(OR(B293="",D293=""),"",D293*VLOOKUP(B293,Inventory!$A$5:$J$104,10,FALSE))</f>
        <v/>
      </c>
      <c r="I293" s="35">
        <f>IF(G293="","",G293-F293-H293)</f>
        <v/>
      </c>
      <c r="J293" s="22" t="inlineStr"/>
    </row>
    <row r="294">
      <c r="A294" s="34" t="inlineStr"/>
      <c r="B294" s="22" t="inlineStr"/>
      <c r="C294" s="22" t="inlineStr"/>
      <c r="D294" s="23" t="inlineStr"/>
      <c r="E294" s="25" t="inlineStr"/>
      <c r="F294" s="25" t="inlineStr"/>
      <c r="G294" s="35">
        <f>IF(OR(B294="",D294=""),"",D294*E294)</f>
        <v/>
      </c>
      <c r="H294" s="35">
        <f>IF(OR(B294="",D294=""),"",D294*VLOOKUP(B294,Inventory!$A$5:$J$104,10,FALSE))</f>
        <v/>
      </c>
      <c r="I294" s="35">
        <f>IF(G294="","",G294-F294-H294)</f>
        <v/>
      </c>
      <c r="J294" s="22" t="inlineStr"/>
    </row>
    <row r="295">
      <c r="A295" s="34" t="inlineStr"/>
      <c r="B295" s="22" t="inlineStr"/>
      <c r="C295" s="22" t="inlineStr"/>
      <c r="D295" s="23" t="inlineStr"/>
      <c r="E295" s="25" t="inlineStr"/>
      <c r="F295" s="25" t="inlineStr"/>
      <c r="G295" s="35">
        <f>IF(OR(B295="",D295=""),"",D295*E295)</f>
        <v/>
      </c>
      <c r="H295" s="35">
        <f>IF(OR(B295="",D295=""),"",D295*VLOOKUP(B295,Inventory!$A$5:$J$104,10,FALSE))</f>
        <v/>
      </c>
      <c r="I295" s="35">
        <f>IF(G295="","",G295-F295-H295)</f>
        <v/>
      </c>
      <c r="J295" s="22" t="inlineStr"/>
    </row>
    <row r="296">
      <c r="A296" s="34" t="inlineStr"/>
      <c r="B296" s="22" t="inlineStr"/>
      <c r="C296" s="22" t="inlineStr"/>
      <c r="D296" s="23" t="inlineStr"/>
      <c r="E296" s="25" t="inlineStr"/>
      <c r="F296" s="25" t="inlineStr"/>
      <c r="G296" s="35">
        <f>IF(OR(B296="",D296=""),"",D296*E296)</f>
        <v/>
      </c>
      <c r="H296" s="35">
        <f>IF(OR(B296="",D296=""),"",D296*VLOOKUP(B296,Inventory!$A$5:$J$104,10,FALSE))</f>
        <v/>
      </c>
      <c r="I296" s="35">
        <f>IF(G296="","",G296-F296-H296)</f>
        <v/>
      </c>
      <c r="J296" s="22" t="inlineStr"/>
    </row>
    <row r="297">
      <c r="A297" s="34" t="inlineStr"/>
      <c r="B297" s="22" t="inlineStr"/>
      <c r="C297" s="22" t="inlineStr"/>
      <c r="D297" s="23" t="inlineStr"/>
      <c r="E297" s="25" t="inlineStr"/>
      <c r="F297" s="25" t="inlineStr"/>
      <c r="G297" s="35">
        <f>IF(OR(B297="",D297=""),"",D297*E297)</f>
        <v/>
      </c>
      <c r="H297" s="35">
        <f>IF(OR(B297="",D297=""),"",D297*VLOOKUP(B297,Inventory!$A$5:$J$104,10,FALSE))</f>
        <v/>
      </c>
      <c r="I297" s="35">
        <f>IF(G297="","",G297-F297-H297)</f>
        <v/>
      </c>
      <c r="J297" s="22" t="inlineStr"/>
    </row>
    <row r="298">
      <c r="A298" s="34" t="inlineStr"/>
      <c r="B298" s="22" t="inlineStr"/>
      <c r="C298" s="22" t="inlineStr"/>
      <c r="D298" s="23" t="inlineStr"/>
      <c r="E298" s="25" t="inlineStr"/>
      <c r="F298" s="25" t="inlineStr"/>
      <c r="G298" s="35">
        <f>IF(OR(B298="",D298=""),"",D298*E298)</f>
        <v/>
      </c>
      <c r="H298" s="35">
        <f>IF(OR(B298="",D298=""),"",D298*VLOOKUP(B298,Inventory!$A$5:$J$104,10,FALSE))</f>
        <v/>
      </c>
      <c r="I298" s="35">
        <f>IF(G298="","",G298-F298-H298)</f>
        <v/>
      </c>
      <c r="J298" s="22" t="inlineStr"/>
    </row>
    <row r="299">
      <c r="A299" s="34" t="inlineStr"/>
      <c r="B299" s="22" t="inlineStr"/>
      <c r="C299" s="22" t="inlineStr"/>
      <c r="D299" s="23" t="inlineStr"/>
      <c r="E299" s="25" t="inlineStr"/>
      <c r="F299" s="25" t="inlineStr"/>
      <c r="G299" s="35">
        <f>IF(OR(B299="",D299=""),"",D299*E299)</f>
        <v/>
      </c>
      <c r="H299" s="35">
        <f>IF(OR(B299="",D299=""),"",D299*VLOOKUP(B299,Inventory!$A$5:$J$104,10,FALSE))</f>
        <v/>
      </c>
      <c r="I299" s="35">
        <f>IF(G299="","",G299-F299-H299)</f>
        <v/>
      </c>
      <c r="J299" s="22" t="inlineStr"/>
    </row>
    <row r="300">
      <c r="A300" s="34" t="inlineStr"/>
      <c r="B300" s="22" t="inlineStr"/>
      <c r="C300" s="22" t="inlineStr"/>
      <c r="D300" s="23" t="inlineStr"/>
      <c r="E300" s="25" t="inlineStr"/>
      <c r="F300" s="25" t="inlineStr"/>
      <c r="G300" s="35">
        <f>IF(OR(B300="",D300=""),"",D300*E300)</f>
        <v/>
      </c>
      <c r="H300" s="35">
        <f>IF(OR(B300="",D300=""),"",D300*VLOOKUP(B300,Inventory!$A$5:$J$104,10,FALSE))</f>
        <v/>
      </c>
      <c r="I300" s="35">
        <f>IF(G300="","",G300-F300-H300)</f>
        <v/>
      </c>
      <c r="J300" s="22" t="inlineStr"/>
    </row>
    <row r="301">
      <c r="A301" s="34" t="inlineStr"/>
      <c r="B301" s="22" t="inlineStr"/>
      <c r="C301" s="22" t="inlineStr"/>
      <c r="D301" s="23" t="inlineStr"/>
      <c r="E301" s="25" t="inlineStr"/>
      <c r="F301" s="25" t="inlineStr"/>
      <c r="G301" s="35">
        <f>IF(OR(B301="",D301=""),"",D301*E301)</f>
        <v/>
      </c>
      <c r="H301" s="35">
        <f>IF(OR(B301="",D301=""),"",D301*VLOOKUP(B301,Inventory!$A$5:$J$104,10,FALSE))</f>
        <v/>
      </c>
      <c r="I301" s="35">
        <f>IF(G301="","",G301-F301-H301)</f>
        <v/>
      </c>
      <c r="J301" s="22" t="inlineStr"/>
    </row>
    <row r="302">
      <c r="A302" s="34" t="inlineStr"/>
      <c r="B302" s="22" t="inlineStr"/>
      <c r="C302" s="22" t="inlineStr"/>
      <c r="D302" s="23" t="inlineStr"/>
      <c r="E302" s="25" t="inlineStr"/>
      <c r="F302" s="25" t="inlineStr"/>
      <c r="G302" s="35">
        <f>IF(OR(B302="",D302=""),"",D302*E302)</f>
        <v/>
      </c>
      <c r="H302" s="35">
        <f>IF(OR(B302="",D302=""),"",D302*VLOOKUP(B302,Inventory!$A$5:$J$104,10,FALSE))</f>
        <v/>
      </c>
      <c r="I302" s="35">
        <f>IF(G302="","",G302-F302-H302)</f>
        <v/>
      </c>
      <c r="J302" s="22" t="inlineStr"/>
    </row>
    <row r="303">
      <c r="A303" s="34" t="inlineStr"/>
      <c r="B303" s="22" t="inlineStr"/>
      <c r="C303" s="22" t="inlineStr"/>
      <c r="D303" s="23" t="inlineStr"/>
      <c r="E303" s="25" t="inlineStr"/>
      <c r="F303" s="25" t="inlineStr"/>
      <c r="G303" s="35">
        <f>IF(OR(B303="",D303=""),"",D303*E303)</f>
        <v/>
      </c>
      <c r="H303" s="35">
        <f>IF(OR(B303="",D303=""),"",D303*VLOOKUP(B303,Inventory!$A$5:$J$104,10,FALSE))</f>
        <v/>
      </c>
      <c r="I303" s="35">
        <f>IF(G303="","",G303-F303-H303)</f>
        <v/>
      </c>
      <c r="J303" s="22" t="inlineStr"/>
    </row>
    <row r="304">
      <c r="A304" s="34" t="inlineStr"/>
      <c r="B304" s="22" t="inlineStr"/>
      <c r="C304" s="22" t="inlineStr"/>
      <c r="D304" s="23" t="inlineStr"/>
      <c r="E304" s="25" t="inlineStr"/>
      <c r="F304" s="25" t="inlineStr"/>
      <c r="G304" s="35">
        <f>IF(OR(B304="",D304=""),"",D304*E304)</f>
        <v/>
      </c>
      <c r="H304" s="35">
        <f>IF(OR(B304="",D304=""),"",D304*VLOOKUP(B304,Inventory!$A$5:$J$104,10,FALSE))</f>
        <v/>
      </c>
      <c r="I304" s="35">
        <f>IF(G304="","",G304-F304-H304)</f>
        <v/>
      </c>
      <c r="J304" s="22" t="inlineStr"/>
    </row>
    <row r="305">
      <c r="A305" s="34" t="inlineStr"/>
      <c r="B305" s="22" t="inlineStr"/>
      <c r="C305" s="22" t="inlineStr"/>
      <c r="D305" s="23" t="inlineStr"/>
      <c r="E305" s="25" t="inlineStr"/>
      <c r="F305" s="25" t="inlineStr"/>
      <c r="G305" s="35">
        <f>IF(OR(B305="",D305=""),"",D305*E305)</f>
        <v/>
      </c>
      <c r="H305" s="35">
        <f>IF(OR(B305="",D305=""),"",D305*VLOOKUP(B305,Inventory!$A$5:$J$104,10,FALSE))</f>
        <v/>
      </c>
      <c r="I305" s="35">
        <f>IF(G305="","",G305-F305-H305)</f>
        <v/>
      </c>
      <c r="J305" s="22" t="inlineStr"/>
    </row>
    <row r="306">
      <c r="A306" s="34" t="inlineStr"/>
      <c r="B306" s="22" t="inlineStr"/>
      <c r="C306" s="22" t="inlineStr"/>
      <c r="D306" s="23" t="inlineStr"/>
      <c r="E306" s="25" t="inlineStr"/>
      <c r="F306" s="25" t="inlineStr"/>
      <c r="G306" s="35">
        <f>IF(OR(B306="",D306=""),"",D306*E306)</f>
        <v/>
      </c>
      <c r="H306" s="35">
        <f>IF(OR(B306="",D306=""),"",D306*VLOOKUP(B306,Inventory!$A$5:$J$104,10,FALSE))</f>
        <v/>
      </c>
      <c r="I306" s="35">
        <f>IF(G306="","",G306-F306-H306)</f>
        <v/>
      </c>
      <c r="J306" s="22" t="inlineStr"/>
    </row>
    <row r="307">
      <c r="A307" s="34" t="inlineStr"/>
      <c r="B307" s="22" t="inlineStr"/>
      <c r="C307" s="22" t="inlineStr"/>
      <c r="D307" s="23" t="inlineStr"/>
      <c r="E307" s="25" t="inlineStr"/>
      <c r="F307" s="25" t="inlineStr"/>
      <c r="G307" s="35">
        <f>IF(OR(B307="",D307=""),"",D307*E307)</f>
        <v/>
      </c>
      <c r="H307" s="35">
        <f>IF(OR(B307="",D307=""),"",D307*VLOOKUP(B307,Inventory!$A$5:$J$104,10,FALSE))</f>
        <v/>
      </c>
      <c r="I307" s="35">
        <f>IF(G307="","",G307-F307-H307)</f>
        <v/>
      </c>
      <c r="J307" s="22" t="inlineStr"/>
    </row>
    <row r="308">
      <c r="A308" s="34" t="inlineStr"/>
      <c r="B308" s="22" t="inlineStr"/>
      <c r="C308" s="22" t="inlineStr"/>
      <c r="D308" s="23" t="inlineStr"/>
      <c r="E308" s="25" t="inlineStr"/>
      <c r="F308" s="25" t="inlineStr"/>
      <c r="G308" s="35">
        <f>IF(OR(B308="",D308=""),"",D308*E308)</f>
        <v/>
      </c>
      <c r="H308" s="35">
        <f>IF(OR(B308="",D308=""),"",D308*VLOOKUP(B308,Inventory!$A$5:$J$104,10,FALSE))</f>
        <v/>
      </c>
      <c r="I308" s="35">
        <f>IF(G308="","",G308-F308-H308)</f>
        <v/>
      </c>
      <c r="J308" s="22" t="inlineStr"/>
    </row>
    <row r="309">
      <c r="A309" s="34" t="inlineStr"/>
      <c r="B309" s="22" t="inlineStr"/>
      <c r="C309" s="22" t="inlineStr"/>
      <c r="D309" s="23" t="inlineStr"/>
      <c r="E309" s="25" t="inlineStr"/>
      <c r="F309" s="25" t="inlineStr"/>
      <c r="G309" s="35">
        <f>IF(OR(B309="",D309=""),"",D309*E309)</f>
        <v/>
      </c>
      <c r="H309" s="35">
        <f>IF(OR(B309="",D309=""),"",D309*VLOOKUP(B309,Inventory!$A$5:$J$104,10,FALSE))</f>
        <v/>
      </c>
      <c r="I309" s="35">
        <f>IF(G309="","",G309-F309-H309)</f>
        <v/>
      </c>
      <c r="J309" s="22" t="inlineStr"/>
    </row>
    <row r="310">
      <c r="A310" s="34" t="inlineStr"/>
      <c r="B310" s="22" t="inlineStr"/>
      <c r="C310" s="22" t="inlineStr"/>
      <c r="D310" s="23" t="inlineStr"/>
      <c r="E310" s="25" t="inlineStr"/>
      <c r="F310" s="25" t="inlineStr"/>
      <c r="G310" s="35">
        <f>IF(OR(B310="",D310=""),"",D310*E310)</f>
        <v/>
      </c>
      <c r="H310" s="35">
        <f>IF(OR(B310="",D310=""),"",D310*VLOOKUP(B310,Inventory!$A$5:$J$104,10,FALSE))</f>
        <v/>
      </c>
      <c r="I310" s="35">
        <f>IF(G310="","",G310-F310-H310)</f>
        <v/>
      </c>
      <c r="J310" s="22" t="inlineStr"/>
    </row>
    <row r="311">
      <c r="A311" s="34" t="inlineStr"/>
      <c r="B311" s="22" t="inlineStr"/>
      <c r="C311" s="22" t="inlineStr"/>
      <c r="D311" s="23" t="inlineStr"/>
      <c r="E311" s="25" t="inlineStr"/>
      <c r="F311" s="25" t="inlineStr"/>
      <c r="G311" s="35">
        <f>IF(OR(B311="",D311=""),"",D311*E311)</f>
        <v/>
      </c>
      <c r="H311" s="35">
        <f>IF(OR(B311="",D311=""),"",D311*VLOOKUP(B311,Inventory!$A$5:$J$104,10,FALSE))</f>
        <v/>
      </c>
      <c r="I311" s="35">
        <f>IF(G311="","",G311-F311-H311)</f>
        <v/>
      </c>
      <c r="J311" s="22" t="inlineStr"/>
    </row>
    <row r="312">
      <c r="A312" s="34" t="inlineStr"/>
      <c r="B312" s="22" t="inlineStr"/>
      <c r="C312" s="22" t="inlineStr"/>
      <c r="D312" s="23" t="inlineStr"/>
      <c r="E312" s="25" t="inlineStr"/>
      <c r="F312" s="25" t="inlineStr"/>
      <c r="G312" s="35">
        <f>IF(OR(B312="",D312=""),"",D312*E312)</f>
        <v/>
      </c>
      <c r="H312" s="35">
        <f>IF(OR(B312="",D312=""),"",D312*VLOOKUP(B312,Inventory!$A$5:$J$104,10,FALSE))</f>
        <v/>
      </c>
      <c r="I312" s="35">
        <f>IF(G312="","",G312-F312-H312)</f>
        <v/>
      </c>
      <c r="J312" s="22" t="inlineStr"/>
    </row>
    <row r="313">
      <c r="A313" s="34" t="inlineStr"/>
      <c r="B313" s="22" t="inlineStr"/>
      <c r="C313" s="22" t="inlineStr"/>
      <c r="D313" s="23" t="inlineStr"/>
      <c r="E313" s="25" t="inlineStr"/>
      <c r="F313" s="25" t="inlineStr"/>
      <c r="G313" s="35">
        <f>IF(OR(B313="",D313=""),"",D313*E313)</f>
        <v/>
      </c>
      <c r="H313" s="35">
        <f>IF(OR(B313="",D313=""),"",D313*VLOOKUP(B313,Inventory!$A$5:$J$104,10,FALSE))</f>
        <v/>
      </c>
      <c r="I313" s="35">
        <f>IF(G313="","",G313-F313-H313)</f>
        <v/>
      </c>
      <c r="J313" s="22" t="inlineStr"/>
    </row>
    <row r="314">
      <c r="A314" s="34" t="inlineStr"/>
      <c r="B314" s="22" t="inlineStr"/>
      <c r="C314" s="22" t="inlineStr"/>
      <c r="D314" s="23" t="inlineStr"/>
      <c r="E314" s="25" t="inlineStr"/>
      <c r="F314" s="25" t="inlineStr"/>
      <c r="G314" s="35">
        <f>IF(OR(B314="",D314=""),"",D314*E314)</f>
        <v/>
      </c>
      <c r="H314" s="35">
        <f>IF(OR(B314="",D314=""),"",D314*VLOOKUP(B314,Inventory!$A$5:$J$104,10,FALSE))</f>
        <v/>
      </c>
      <c r="I314" s="35">
        <f>IF(G314="","",G314-F314-H314)</f>
        <v/>
      </c>
      <c r="J314" s="22" t="inlineStr"/>
    </row>
    <row r="315">
      <c r="A315" s="34" t="inlineStr"/>
      <c r="B315" s="22" t="inlineStr"/>
      <c r="C315" s="22" t="inlineStr"/>
      <c r="D315" s="23" t="inlineStr"/>
      <c r="E315" s="25" t="inlineStr"/>
      <c r="F315" s="25" t="inlineStr"/>
      <c r="G315" s="35">
        <f>IF(OR(B315="",D315=""),"",D315*E315)</f>
        <v/>
      </c>
      <c r="H315" s="35">
        <f>IF(OR(B315="",D315=""),"",D315*VLOOKUP(B315,Inventory!$A$5:$J$104,10,FALSE))</f>
        <v/>
      </c>
      <c r="I315" s="35">
        <f>IF(G315="","",G315-F315-H315)</f>
        <v/>
      </c>
      <c r="J315" s="22" t="inlineStr"/>
    </row>
    <row r="316">
      <c r="A316" s="34" t="inlineStr"/>
      <c r="B316" s="22" t="inlineStr"/>
      <c r="C316" s="22" t="inlineStr"/>
      <c r="D316" s="23" t="inlineStr"/>
      <c r="E316" s="25" t="inlineStr"/>
      <c r="F316" s="25" t="inlineStr"/>
      <c r="G316" s="35">
        <f>IF(OR(B316="",D316=""),"",D316*E316)</f>
        <v/>
      </c>
      <c r="H316" s="35">
        <f>IF(OR(B316="",D316=""),"",D316*VLOOKUP(B316,Inventory!$A$5:$J$104,10,FALSE))</f>
        <v/>
      </c>
      <c r="I316" s="35">
        <f>IF(G316="","",G316-F316-H316)</f>
        <v/>
      </c>
      <c r="J316" s="22" t="inlineStr"/>
    </row>
    <row r="317">
      <c r="A317" s="34" t="inlineStr"/>
      <c r="B317" s="22" t="inlineStr"/>
      <c r="C317" s="22" t="inlineStr"/>
      <c r="D317" s="23" t="inlineStr"/>
      <c r="E317" s="25" t="inlineStr"/>
      <c r="F317" s="25" t="inlineStr"/>
      <c r="G317" s="35">
        <f>IF(OR(B317="",D317=""),"",D317*E317)</f>
        <v/>
      </c>
      <c r="H317" s="35">
        <f>IF(OR(B317="",D317=""),"",D317*VLOOKUP(B317,Inventory!$A$5:$J$104,10,FALSE))</f>
        <v/>
      </c>
      <c r="I317" s="35">
        <f>IF(G317="","",G317-F317-H317)</f>
        <v/>
      </c>
      <c r="J317" s="22" t="inlineStr"/>
    </row>
    <row r="318">
      <c r="A318" s="34" t="inlineStr"/>
      <c r="B318" s="22" t="inlineStr"/>
      <c r="C318" s="22" t="inlineStr"/>
      <c r="D318" s="23" t="inlineStr"/>
      <c r="E318" s="25" t="inlineStr"/>
      <c r="F318" s="25" t="inlineStr"/>
      <c r="G318" s="35">
        <f>IF(OR(B318="",D318=""),"",D318*E318)</f>
        <v/>
      </c>
      <c r="H318" s="35">
        <f>IF(OR(B318="",D318=""),"",D318*VLOOKUP(B318,Inventory!$A$5:$J$104,10,FALSE))</f>
        <v/>
      </c>
      <c r="I318" s="35">
        <f>IF(G318="","",G318-F318-H318)</f>
        <v/>
      </c>
      <c r="J318" s="22" t="inlineStr"/>
    </row>
    <row r="319">
      <c r="A319" s="34" t="inlineStr"/>
      <c r="B319" s="22" t="inlineStr"/>
      <c r="C319" s="22" t="inlineStr"/>
      <c r="D319" s="23" t="inlineStr"/>
      <c r="E319" s="25" t="inlineStr"/>
      <c r="F319" s="25" t="inlineStr"/>
      <c r="G319" s="35">
        <f>IF(OR(B319="",D319=""),"",D319*E319)</f>
        <v/>
      </c>
      <c r="H319" s="35">
        <f>IF(OR(B319="",D319=""),"",D319*VLOOKUP(B319,Inventory!$A$5:$J$104,10,FALSE))</f>
        <v/>
      </c>
      <c r="I319" s="35">
        <f>IF(G319="","",G319-F319-H319)</f>
        <v/>
      </c>
      <c r="J319" s="22" t="inlineStr"/>
    </row>
    <row r="320">
      <c r="A320" s="34" t="inlineStr"/>
      <c r="B320" s="22" t="inlineStr"/>
      <c r="C320" s="22" t="inlineStr"/>
      <c r="D320" s="23" t="inlineStr"/>
      <c r="E320" s="25" t="inlineStr"/>
      <c r="F320" s="25" t="inlineStr"/>
      <c r="G320" s="35">
        <f>IF(OR(B320="",D320=""),"",D320*E320)</f>
        <v/>
      </c>
      <c r="H320" s="35">
        <f>IF(OR(B320="",D320=""),"",D320*VLOOKUP(B320,Inventory!$A$5:$J$104,10,FALSE))</f>
        <v/>
      </c>
      <c r="I320" s="35">
        <f>IF(G320="","",G320-F320-H320)</f>
        <v/>
      </c>
      <c r="J320" s="22" t="inlineStr"/>
    </row>
    <row r="321">
      <c r="A321" s="34" t="inlineStr"/>
      <c r="B321" s="22" t="inlineStr"/>
      <c r="C321" s="22" t="inlineStr"/>
      <c r="D321" s="23" t="inlineStr"/>
      <c r="E321" s="25" t="inlineStr"/>
      <c r="F321" s="25" t="inlineStr"/>
      <c r="G321" s="35">
        <f>IF(OR(B321="",D321=""),"",D321*E321)</f>
        <v/>
      </c>
      <c r="H321" s="35">
        <f>IF(OR(B321="",D321=""),"",D321*VLOOKUP(B321,Inventory!$A$5:$J$104,10,FALSE))</f>
        <v/>
      </c>
      <c r="I321" s="35">
        <f>IF(G321="","",G321-F321-H321)</f>
        <v/>
      </c>
      <c r="J321" s="22" t="inlineStr"/>
    </row>
    <row r="322">
      <c r="A322" s="34" t="inlineStr"/>
      <c r="B322" s="22" t="inlineStr"/>
      <c r="C322" s="22" t="inlineStr"/>
      <c r="D322" s="23" t="inlineStr"/>
      <c r="E322" s="25" t="inlineStr"/>
      <c r="F322" s="25" t="inlineStr"/>
      <c r="G322" s="35">
        <f>IF(OR(B322="",D322=""),"",D322*E322)</f>
        <v/>
      </c>
      <c r="H322" s="35">
        <f>IF(OR(B322="",D322=""),"",D322*VLOOKUP(B322,Inventory!$A$5:$J$104,10,FALSE))</f>
        <v/>
      </c>
      <c r="I322" s="35">
        <f>IF(G322="","",G322-F322-H322)</f>
        <v/>
      </c>
      <c r="J322" s="22" t="inlineStr"/>
    </row>
    <row r="323">
      <c r="A323" s="34" t="inlineStr"/>
      <c r="B323" s="22" t="inlineStr"/>
      <c r="C323" s="22" t="inlineStr"/>
      <c r="D323" s="23" t="inlineStr"/>
      <c r="E323" s="25" t="inlineStr"/>
      <c r="F323" s="25" t="inlineStr"/>
      <c r="G323" s="35">
        <f>IF(OR(B323="",D323=""),"",D323*E323)</f>
        <v/>
      </c>
      <c r="H323" s="35">
        <f>IF(OR(B323="",D323=""),"",D323*VLOOKUP(B323,Inventory!$A$5:$J$104,10,FALSE))</f>
        <v/>
      </c>
      <c r="I323" s="35">
        <f>IF(G323="","",G323-F323-H323)</f>
        <v/>
      </c>
      <c r="J323" s="22" t="inlineStr"/>
    </row>
    <row r="324">
      <c r="A324" s="34" t="inlineStr"/>
      <c r="B324" s="22" t="inlineStr"/>
      <c r="C324" s="22" t="inlineStr"/>
      <c r="D324" s="23" t="inlineStr"/>
      <c r="E324" s="25" t="inlineStr"/>
      <c r="F324" s="25" t="inlineStr"/>
      <c r="G324" s="35">
        <f>IF(OR(B324="",D324=""),"",D324*E324)</f>
        <v/>
      </c>
      <c r="H324" s="35">
        <f>IF(OR(B324="",D324=""),"",D324*VLOOKUP(B324,Inventory!$A$5:$J$104,10,FALSE))</f>
        <v/>
      </c>
      <c r="I324" s="35">
        <f>IF(G324="","",G324-F324-H324)</f>
        <v/>
      </c>
      <c r="J324" s="22" t="inlineStr"/>
    </row>
    <row r="325">
      <c r="A325" s="34" t="inlineStr"/>
      <c r="B325" s="22" t="inlineStr"/>
      <c r="C325" s="22" t="inlineStr"/>
      <c r="D325" s="23" t="inlineStr"/>
      <c r="E325" s="25" t="inlineStr"/>
      <c r="F325" s="25" t="inlineStr"/>
      <c r="G325" s="35">
        <f>IF(OR(B325="",D325=""),"",D325*E325)</f>
        <v/>
      </c>
      <c r="H325" s="35">
        <f>IF(OR(B325="",D325=""),"",D325*VLOOKUP(B325,Inventory!$A$5:$J$104,10,FALSE))</f>
        <v/>
      </c>
      <c r="I325" s="35">
        <f>IF(G325="","",G325-F325-H325)</f>
        <v/>
      </c>
      <c r="J325" s="22" t="inlineStr"/>
    </row>
    <row r="326">
      <c r="A326" s="34" t="inlineStr"/>
      <c r="B326" s="22" t="inlineStr"/>
      <c r="C326" s="22" t="inlineStr"/>
      <c r="D326" s="23" t="inlineStr"/>
      <c r="E326" s="25" t="inlineStr"/>
      <c r="F326" s="25" t="inlineStr"/>
      <c r="G326" s="35">
        <f>IF(OR(B326="",D326=""),"",D326*E326)</f>
        <v/>
      </c>
      <c r="H326" s="35">
        <f>IF(OR(B326="",D326=""),"",D326*VLOOKUP(B326,Inventory!$A$5:$J$104,10,FALSE))</f>
        <v/>
      </c>
      <c r="I326" s="35">
        <f>IF(G326="","",G326-F326-H326)</f>
        <v/>
      </c>
      <c r="J326" s="22" t="inlineStr"/>
    </row>
    <row r="327">
      <c r="A327" s="34" t="inlineStr"/>
      <c r="B327" s="22" t="inlineStr"/>
      <c r="C327" s="22" t="inlineStr"/>
      <c r="D327" s="23" t="inlineStr"/>
      <c r="E327" s="25" t="inlineStr"/>
      <c r="F327" s="25" t="inlineStr"/>
      <c r="G327" s="35">
        <f>IF(OR(B327="",D327=""),"",D327*E327)</f>
        <v/>
      </c>
      <c r="H327" s="35">
        <f>IF(OR(B327="",D327=""),"",D327*VLOOKUP(B327,Inventory!$A$5:$J$104,10,FALSE))</f>
        <v/>
      </c>
      <c r="I327" s="35">
        <f>IF(G327="","",G327-F327-H327)</f>
        <v/>
      </c>
      <c r="J327" s="22" t="inlineStr"/>
    </row>
    <row r="328">
      <c r="A328" s="34" t="inlineStr"/>
      <c r="B328" s="22" t="inlineStr"/>
      <c r="C328" s="22" t="inlineStr"/>
      <c r="D328" s="23" t="inlineStr"/>
      <c r="E328" s="25" t="inlineStr"/>
      <c r="F328" s="25" t="inlineStr"/>
      <c r="G328" s="35">
        <f>IF(OR(B328="",D328=""),"",D328*E328)</f>
        <v/>
      </c>
      <c r="H328" s="35">
        <f>IF(OR(B328="",D328=""),"",D328*VLOOKUP(B328,Inventory!$A$5:$J$104,10,FALSE))</f>
        <v/>
      </c>
      <c r="I328" s="35">
        <f>IF(G328="","",G328-F328-H328)</f>
        <v/>
      </c>
      <c r="J328" s="22" t="inlineStr"/>
    </row>
    <row r="329">
      <c r="A329" s="34" t="inlineStr"/>
      <c r="B329" s="22" t="inlineStr"/>
      <c r="C329" s="22" t="inlineStr"/>
      <c r="D329" s="23" t="inlineStr"/>
      <c r="E329" s="25" t="inlineStr"/>
      <c r="F329" s="25" t="inlineStr"/>
      <c r="G329" s="35">
        <f>IF(OR(B329="",D329=""),"",D329*E329)</f>
        <v/>
      </c>
      <c r="H329" s="35">
        <f>IF(OR(B329="",D329=""),"",D329*VLOOKUP(B329,Inventory!$A$5:$J$104,10,FALSE))</f>
        <v/>
      </c>
      <c r="I329" s="35">
        <f>IF(G329="","",G329-F329-H329)</f>
        <v/>
      </c>
      <c r="J329" s="22" t="inlineStr"/>
    </row>
    <row r="330">
      <c r="A330" s="34" t="inlineStr"/>
      <c r="B330" s="22" t="inlineStr"/>
      <c r="C330" s="22" t="inlineStr"/>
      <c r="D330" s="23" t="inlineStr"/>
      <c r="E330" s="25" t="inlineStr"/>
      <c r="F330" s="25" t="inlineStr"/>
      <c r="G330" s="35">
        <f>IF(OR(B330="",D330=""),"",D330*E330)</f>
        <v/>
      </c>
      <c r="H330" s="35">
        <f>IF(OR(B330="",D330=""),"",D330*VLOOKUP(B330,Inventory!$A$5:$J$104,10,FALSE))</f>
        <v/>
      </c>
      <c r="I330" s="35">
        <f>IF(G330="","",G330-F330-H330)</f>
        <v/>
      </c>
      <c r="J330" s="22" t="inlineStr"/>
    </row>
    <row r="331">
      <c r="A331" s="34" t="inlineStr"/>
      <c r="B331" s="22" t="inlineStr"/>
      <c r="C331" s="22" t="inlineStr"/>
      <c r="D331" s="23" t="inlineStr"/>
      <c r="E331" s="25" t="inlineStr"/>
      <c r="F331" s="25" t="inlineStr"/>
      <c r="G331" s="35">
        <f>IF(OR(B331="",D331=""),"",D331*E331)</f>
        <v/>
      </c>
      <c r="H331" s="35">
        <f>IF(OR(B331="",D331=""),"",D331*VLOOKUP(B331,Inventory!$A$5:$J$104,10,FALSE))</f>
        <v/>
      </c>
      <c r="I331" s="35">
        <f>IF(G331="","",G331-F331-H331)</f>
        <v/>
      </c>
      <c r="J331" s="22" t="inlineStr"/>
    </row>
    <row r="332">
      <c r="A332" s="34" t="inlineStr"/>
      <c r="B332" s="22" t="inlineStr"/>
      <c r="C332" s="22" t="inlineStr"/>
      <c r="D332" s="23" t="inlineStr"/>
      <c r="E332" s="25" t="inlineStr"/>
      <c r="F332" s="25" t="inlineStr"/>
      <c r="G332" s="35">
        <f>IF(OR(B332="",D332=""),"",D332*E332)</f>
        <v/>
      </c>
      <c r="H332" s="35">
        <f>IF(OR(B332="",D332=""),"",D332*VLOOKUP(B332,Inventory!$A$5:$J$104,10,FALSE))</f>
        <v/>
      </c>
      <c r="I332" s="35">
        <f>IF(G332="","",G332-F332-H332)</f>
        <v/>
      </c>
      <c r="J332" s="22" t="inlineStr"/>
    </row>
    <row r="333">
      <c r="A333" s="34" t="inlineStr"/>
      <c r="B333" s="22" t="inlineStr"/>
      <c r="C333" s="22" t="inlineStr"/>
      <c r="D333" s="23" t="inlineStr"/>
      <c r="E333" s="25" t="inlineStr"/>
      <c r="F333" s="25" t="inlineStr"/>
      <c r="G333" s="35">
        <f>IF(OR(B333="",D333=""),"",D333*E333)</f>
        <v/>
      </c>
      <c r="H333" s="35">
        <f>IF(OR(B333="",D333=""),"",D333*VLOOKUP(B333,Inventory!$A$5:$J$104,10,FALSE))</f>
        <v/>
      </c>
      <c r="I333" s="35">
        <f>IF(G333="","",G333-F333-H333)</f>
        <v/>
      </c>
      <c r="J333" s="22" t="inlineStr"/>
    </row>
    <row r="334">
      <c r="A334" s="34" t="inlineStr"/>
      <c r="B334" s="22" t="inlineStr"/>
      <c r="C334" s="22" t="inlineStr"/>
      <c r="D334" s="23" t="inlineStr"/>
      <c r="E334" s="25" t="inlineStr"/>
      <c r="F334" s="25" t="inlineStr"/>
      <c r="G334" s="35">
        <f>IF(OR(B334="",D334=""),"",D334*E334)</f>
        <v/>
      </c>
      <c r="H334" s="35">
        <f>IF(OR(B334="",D334=""),"",D334*VLOOKUP(B334,Inventory!$A$5:$J$104,10,FALSE))</f>
        <v/>
      </c>
      <c r="I334" s="35">
        <f>IF(G334="","",G334-F334-H334)</f>
        <v/>
      </c>
      <c r="J334" s="22" t="inlineStr"/>
    </row>
    <row r="335">
      <c r="A335" s="34" t="inlineStr"/>
      <c r="B335" s="22" t="inlineStr"/>
      <c r="C335" s="22" t="inlineStr"/>
      <c r="D335" s="23" t="inlineStr"/>
      <c r="E335" s="25" t="inlineStr"/>
      <c r="F335" s="25" t="inlineStr"/>
      <c r="G335" s="35">
        <f>IF(OR(B335="",D335=""),"",D335*E335)</f>
        <v/>
      </c>
      <c r="H335" s="35">
        <f>IF(OR(B335="",D335=""),"",D335*VLOOKUP(B335,Inventory!$A$5:$J$104,10,FALSE))</f>
        <v/>
      </c>
      <c r="I335" s="35">
        <f>IF(G335="","",G335-F335-H335)</f>
        <v/>
      </c>
      <c r="J335" s="22" t="inlineStr"/>
    </row>
    <row r="336">
      <c r="A336" s="34" t="inlineStr"/>
      <c r="B336" s="22" t="inlineStr"/>
      <c r="C336" s="22" t="inlineStr"/>
      <c r="D336" s="23" t="inlineStr"/>
      <c r="E336" s="25" t="inlineStr"/>
      <c r="F336" s="25" t="inlineStr"/>
      <c r="G336" s="35">
        <f>IF(OR(B336="",D336=""),"",D336*E336)</f>
        <v/>
      </c>
      <c r="H336" s="35">
        <f>IF(OR(B336="",D336=""),"",D336*VLOOKUP(B336,Inventory!$A$5:$J$104,10,FALSE))</f>
        <v/>
      </c>
      <c r="I336" s="35">
        <f>IF(G336="","",G336-F336-H336)</f>
        <v/>
      </c>
      <c r="J336" s="22" t="inlineStr"/>
    </row>
    <row r="337">
      <c r="A337" s="34" t="inlineStr"/>
      <c r="B337" s="22" t="inlineStr"/>
      <c r="C337" s="22" t="inlineStr"/>
      <c r="D337" s="23" t="inlineStr"/>
      <c r="E337" s="25" t="inlineStr"/>
      <c r="F337" s="25" t="inlineStr"/>
      <c r="G337" s="35">
        <f>IF(OR(B337="",D337=""),"",D337*E337)</f>
        <v/>
      </c>
      <c r="H337" s="35">
        <f>IF(OR(B337="",D337=""),"",D337*VLOOKUP(B337,Inventory!$A$5:$J$104,10,FALSE))</f>
        <v/>
      </c>
      <c r="I337" s="35">
        <f>IF(G337="","",G337-F337-H337)</f>
        <v/>
      </c>
      <c r="J337" s="22" t="inlineStr"/>
    </row>
    <row r="338">
      <c r="A338" s="34" t="inlineStr"/>
      <c r="B338" s="22" t="inlineStr"/>
      <c r="C338" s="22" t="inlineStr"/>
      <c r="D338" s="23" t="inlineStr"/>
      <c r="E338" s="25" t="inlineStr"/>
      <c r="F338" s="25" t="inlineStr"/>
      <c r="G338" s="35">
        <f>IF(OR(B338="",D338=""),"",D338*E338)</f>
        <v/>
      </c>
      <c r="H338" s="35">
        <f>IF(OR(B338="",D338=""),"",D338*VLOOKUP(B338,Inventory!$A$5:$J$104,10,FALSE))</f>
        <v/>
      </c>
      <c r="I338" s="35">
        <f>IF(G338="","",G338-F338-H338)</f>
        <v/>
      </c>
      <c r="J338" s="22" t="inlineStr"/>
    </row>
    <row r="339">
      <c r="A339" s="34" t="inlineStr"/>
      <c r="B339" s="22" t="inlineStr"/>
      <c r="C339" s="22" t="inlineStr"/>
      <c r="D339" s="23" t="inlineStr"/>
      <c r="E339" s="25" t="inlineStr"/>
      <c r="F339" s="25" t="inlineStr"/>
      <c r="G339" s="35">
        <f>IF(OR(B339="",D339=""),"",D339*E339)</f>
        <v/>
      </c>
      <c r="H339" s="35">
        <f>IF(OR(B339="",D339=""),"",D339*VLOOKUP(B339,Inventory!$A$5:$J$104,10,FALSE))</f>
        <v/>
      </c>
      <c r="I339" s="35">
        <f>IF(G339="","",G339-F339-H339)</f>
        <v/>
      </c>
      <c r="J339" s="22" t="inlineStr"/>
    </row>
    <row r="340">
      <c r="A340" s="34" t="inlineStr"/>
      <c r="B340" s="22" t="inlineStr"/>
      <c r="C340" s="22" t="inlineStr"/>
      <c r="D340" s="23" t="inlineStr"/>
      <c r="E340" s="25" t="inlineStr"/>
      <c r="F340" s="25" t="inlineStr"/>
      <c r="G340" s="35">
        <f>IF(OR(B340="",D340=""),"",D340*E340)</f>
        <v/>
      </c>
      <c r="H340" s="35">
        <f>IF(OR(B340="",D340=""),"",D340*VLOOKUP(B340,Inventory!$A$5:$J$104,10,FALSE))</f>
        <v/>
      </c>
      <c r="I340" s="35">
        <f>IF(G340="","",G340-F340-H340)</f>
        <v/>
      </c>
      <c r="J340" s="22" t="inlineStr"/>
    </row>
    <row r="341">
      <c r="A341" s="34" t="inlineStr"/>
      <c r="B341" s="22" t="inlineStr"/>
      <c r="C341" s="22" t="inlineStr"/>
      <c r="D341" s="23" t="inlineStr"/>
      <c r="E341" s="25" t="inlineStr"/>
      <c r="F341" s="25" t="inlineStr"/>
      <c r="G341" s="35">
        <f>IF(OR(B341="",D341=""),"",D341*E341)</f>
        <v/>
      </c>
      <c r="H341" s="35">
        <f>IF(OR(B341="",D341=""),"",D341*VLOOKUP(B341,Inventory!$A$5:$J$104,10,FALSE))</f>
        <v/>
      </c>
      <c r="I341" s="35">
        <f>IF(G341="","",G341-F341-H341)</f>
        <v/>
      </c>
      <c r="J341" s="22" t="inlineStr"/>
    </row>
    <row r="342">
      <c r="A342" s="34" t="inlineStr"/>
      <c r="B342" s="22" t="inlineStr"/>
      <c r="C342" s="22" t="inlineStr"/>
      <c r="D342" s="23" t="inlineStr"/>
      <c r="E342" s="25" t="inlineStr"/>
      <c r="F342" s="25" t="inlineStr"/>
      <c r="G342" s="35">
        <f>IF(OR(B342="",D342=""),"",D342*E342)</f>
        <v/>
      </c>
      <c r="H342" s="35">
        <f>IF(OR(B342="",D342=""),"",D342*VLOOKUP(B342,Inventory!$A$5:$J$104,10,FALSE))</f>
        <v/>
      </c>
      <c r="I342" s="35">
        <f>IF(G342="","",G342-F342-H342)</f>
        <v/>
      </c>
      <c r="J342" s="22" t="inlineStr"/>
    </row>
    <row r="343">
      <c r="A343" s="34" t="inlineStr"/>
      <c r="B343" s="22" t="inlineStr"/>
      <c r="C343" s="22" t="inlineStr"/>
      <c r="D343" s="23" t="inlineStr"/>
      <c r="E343" s="25" t="inlineStr"/>
      <c r="F343" s="25" t="inlineStr"/>
      <c r="G343" s="35">
        <f>IF(OR(B343="",D343=""),"",D343*E343)</f>
        <v/>
      </c>
      <c r="H343" s="35">
        <f>IF(OR(B343="",D343=""),"",D343*VLOOKUP(B343,Inventory!$A$5:$J$104,10,FALSE))</f>
        <v/>
      </c>
      <c r="I343" s="35">
        <f>IF(G343="","",G343-F343-H343)</f>
        <v/>
      </c>
      <c r="J343" s="22" t="inlineStr"/>
    </row>
    <row r="344">
      <c r="A344" s="34" t="inlineStr"/>
      <c r="B344" s="22" t="inlineStr"/>
      <c r="C344" s="22" t="inlineStr"/>
      <c r="D344" s="23" t="inlineStr"/>
      <c r="E344" s="25" t="inlineStr"/>
      <c r="F344" s="25" t="inlineStr"/>
      <c r="G344" s="35">
        <f>IF(OR(B344="",D344=""),"",D344*E344)</f>
        <v/>
      </c>
      <c r="H344" s="35">
        <f>IF(OR(B344="",D344=""),"",D344*VLOOKUP(B344,Inventory!$A$5:$J$104,10,FALSE))</f>
        <v/>
      </c>
      <c r="I344" s="35">
        <f>IF(G344="","",G344-F344-H344)</f>
        <v/>
      </c>
      <c r="J344" s="22" t="inlineStr"/>
    </row>
    <row r="345">
      <c r="A345" s="34" t="inlineStr"/>
      <c r="B345" s="22" t="inlineStr"/>
      <c r="C345" s="22" t="inlineStr"/>
      <c r="D345" s="23" t="inlineStr"/>
      <c r="E345" s="25" t="inlineStr"/>
      <c r="F345" s="25" t="inlineStr"/>
      <c r="G345" s="35">
        <f>IF(OR(B345="",D345=""),"",D345*E345)</f>
        <v/>
      </c>
      <c r="H345" s="35">
        <f>IF(OR(B345="",D345=""),"",D345*VLOOKUP(B345,Inventory!$A$5:$J$104,10,FALSE))</f>
        <v/>
      </c>
      <c r="I345" s="35">
        <f>IF(G345="","",G345-F345-H345)</f>
        <v/>
      </c>
      <c r="J345" s="22" t="inlineStr"/>
    </row>
    <row r="346">
      <c r="A346" s="34" t="inlineStr"/>
      <c r="B346" s="22" t="inlineStr"/>
      <c r="C346" s="22" t="inlineStr"/>
      <c r="D346" s="23" t="inlineStr"/>
      <c r="E346" s="25" t="inlineStr"/>
      <c r="F346" s="25" t="inlineStr"/>
      <c r="G346" s="35">
        <f>IF(OR(B346="",D346=""),"",D346*E346)</f>
        <v/>
      </c>
      <c r="H346" s="35">
        <f>IF(OR(B346="",D346=""),"",D346*VLOOKUP(B346,Inventory!$A$5:$J$104,10,FALSE))</f>
        <v/>
      </c>
      <c r="I346" s="35">
        <f>IF(G346="","",G346-F346-H346)</f>
        <v/>
      </c>
      <c r="J346" s="22" t="inlineStr"/>
    </row>
    <row r="347">
      <c r="A347" s="34" t="inlineStr"/>
      <c r="B347" s="22" t="inlineStr"/>
      <c r="C347" s="22" t="inlineStr"/>
      <c r="D347" s="23" t="inlineStr"/>
      <c r="E347" s="25" t="inlineStr"/>
      <c r="F347" s="25" t="inlineStr"/>
      <c r="G347" s="35">
        <f>IF(OR(B347="",D347=""),"",D347*E347)</f>
        <v/>
      </c>
      <c r="H347" s="35">
        <f>IF(OR(B347="",D347=""),"",D347*VLOOKUP(B347,Inventory!$A$5:$J$104,10,FALSE))</f>
        <v/>
      </c>
      <c r="I347" s="35">
        <f>IF(G347="","",G347-F347-H347)</f>
        <v/>
      </c>
      <c r="J347" s="22" t="inlineStr"/>
    </row>
    <row r="348">
      <c r="A348" s="34" t="inlineStr"/>
      <c r="B348" s="22" t="inlineStr"/>
      <c r="C348" s="22" t="inlineStr"/>
      <c r="D348" s="23" t="inlineStr"/>
      <c r="E348" s="25" t="inlineStr"/>
      <c r="F348" s="25" t="inlineStr"/>
      <c r="G348" s="35">
        <f>IF(OR(B348="",D348=""),"",D348*E348)</f>
        <v/>
      </c>
      <c r="H348" s="35">
        <f>IF(OR(B348="",D348=""),"",D348*VLOOKUP(B348,Inventory!$A$5:$J$104,10,FALSE))</f>
        <v/>
      </c>
      <c r="I348" s="35">
        <f>IF(G348="","",G348-F348-H348)</f>
        <v/>
      </c>
      <c r="J348" s="22" t="inlineStr"/>
    </row>
    <row r="349">
      <c r="A349" s="34" t="inlineStr"/>
      <c r="B349" s="22" t="inlineStr"/>
      <c r="C349" s="22" t="inlineStr"/>
      <c r="D349" s="23" t="inlineStr"/>
      <c r="E349" s="25" t="inlineStr"/>
      <c r="F349" s="25" t="inlineStr"/>
      <c r="G349" s="35">
        <f>IF(OR(B349="",D349=""),"",D349*E349)</f>
        <v/>
      </c>
      <c r="H349" s="35">
        <f>IF(OR(B349="",D349=""),"",D349*VLOOKUP(B349,Inventory!$A$5:$J$104,10,FALSE))</f>
        <v/>
      </c>
      <c r="I349" s="35">
        <f>IF(G349="","",G349-F349-H349)</f>
        <v/>
      </c>
      <c r="J349" s="22" t="inlineStr"/>
    </row>
    <row r="350">
      <c r="A350" s="34" t="inlineStr"/>
      <c r="B350" s="22" t="inlineStr"/>
      <c r="C350" s="22" t="inlineStr"/>
      <c r="D350" s="23" t="inlineStr"/>
      <c r="E350" s="25" t="inlineStr"/>
      <c r="F350" s="25" t="inlineStr"/>
      <c r="G350" s="35">
        <f>IF(OR(B350="",D350=""),"",D350*E350)</f>
        <v/>
      </c>
      <c r="H350" s="35">
        <f>IF(OR(B350="",D350=""),"",D350*VLOOKUP(B350,Inventory!$A$5:$J$104,10,FALSE))</f>
        <v/>
      </c>
      <c r="I350" s="35">
        <f>IF(G350="","",G350-F350-H350)</f>
        <v/>
      </c>
      <c r="J350" s="22" t="inlineStr"/>
    </row>
    <row r="351">
      <c r="A351" s="34" t="inlineStr"/>
      <c r="B351" s="22" t="inlineStr"/>
      <c r="C351" s="22" t="inlineStr"/>
      <c r="D351" s="23" t="inlineStr"/>
      <c r="E351" s="25" t="inlineStr"/>
      <c r="F351" s="25" t="inlineStr"/>
      <c r="G351" s="35">
        <f>IF(OR(B351="",D351=""),"",D351*E351)</f>
        <v/>
      </c>
      <c r="H351" s="35">
        <f>IF(OR(B351="",D351=""),"",D351*VLOOKUP(B351,Inventory!$A$5:$J$104,10,FALSE))</f>
        <v/>
      </c>
      <c r="I351" s="35">
        <f>IF(G351="","",G351-F351-H351)</f>
        <v/>
      </c>
      <c r="J351" s="22" t="inlineStr"/>
    </row>
    <row r="352">
      <c r="A352" s="34" t="inlineStr"/>
      <c r="B352" s="22" t="inlineStr"/>
      <c r="C352" s="22" t="inlineStr"/>
      <c r="D352" s="23" t="inlineStr"/>
      <c r="E352" s="25" t="inlineStr"/>
      <c r="F352" s="25" t="inlineStr"/>
      <c r="G352" s="35">
        <f>IF(OR(B352="",D352=""),"",D352*E352)</f>
        <v/>
      </c>
      <c r="H352" s="35">
        <f>IF(OR(B352="",D352=""),"",D352*VLOOKUP(B352,Inventory!$A$5:$J$104,10,FALSE))</f>
        <v/>
      </c>
      <c r="I352" s="35">
        <f>IF(G352="","",G352-F352-H352)</f>
        <v/>
      </c>
      <c r="J352" s="22" t="inlineStr"/>
    </row>
    <row r="353">
      <c r="A353" s="34" t="inlineStr"/>
      <c r="B353" s="22" t="inlineStr"/>
      <c r="C353" s="22" t="inlineStr"/>
      <c r="D353" s="23" t="inlineStr"/>
      <c r="E353" s="25" t="inlineStr"/>
      <c r="F353" s="25" t="inlineStr"/>
      <c r="G353" s="35">
        <f>IF(OR(B353="",D353=""),"",D353*E353)</f>
        <v/>
      </c>
      <c r="H353" s="35">
        <f>IF(OR(B353="",D353=""),"",D353*VLOOKUP(B353,Inventory!$A$5:$J$104,10,FALSE))</f>
        <v/>
      </c>
      <c r="I353" s="35">
        <f>IF(G353="","",G353-F353-H353)</f>
        <v/>
      </c>
      <c r="J353" s="22" t="inlineStr"/>
    </row>
    <row r="354">
      <c r="A354" s="34" t="inlineStr"/>
      <c r="B354" s="22" t="inlineStr"/>
      <c r="C354" s="22" t="inlineStr"/>
      <c r="D354" s="23" t="inlineStr"/>
      <c r="E354" s="25" t="inlineStr"/>
      <c r="F354" s="25" t="inlineStr"/>
      <c r="G354" s="35">
        <f>IF(OR(B354="",D354=""),"",D354*E354)</f>
        <v/>
      </c>
      <c r="H354" s="35">
        <f>IF(OR(B354="",D354=""),"",D354*VLOOKUP(B354,Inventory!$A$5:$J$104,10,FALSE))</f>
        <v/>
      </c>
      <c r="I354" s="35">
        <f>IF(G354="","",G354-F354-H354)</f>
        <v/>
      </c>
      <c r="J354" s="22" t="inlineStr"/>
    </row>
    <row r="355">
      <c r="A355" s="34" t="inlineStr"/>
      <c r="B355" s="22" t="inlineStr"/>
      <c r="C355" s="22" t="inlineStr"/>
      <c r="D355" s="23" t="inlineStr"/>
      <c r="E355" s="25" t="inlineStr"/>
      <c r="F355" s="25" t="inlineStr"/>
      <c r="G355" s="35">
        <f>IF(OR(B355="",D355=""),"",D355*E355)</f>
        <v/>
      </c>
      <c r="H355" s="35">
        <f>IF(OR(B355="",D355=""),"",D355*VLOOKUP(B355,Inventory!$A$5:$J$104,10,FALSE))</f>
        <v/>
      </c>
      <c r="I355" s="35">
        <f>IF(G355="","",G355-F355-H355)</f>
        <v/>
      </c>
      <c r="J355" s="22" t="inlineStr"/>
    </row>
    <row r="356">
      <c r="A356" s="34" t="inlineStr"/>
      <c r="B356" s="22" t="inlineStr"/>
      <c r="C356" s="22" t="inlineStr"/>
      <c r="D356" s="23" t="inlineStr"/>
      <c r="E356" s="25" t="inlineStr"/>
      <c r="F356" s="25" t="inlineStr"/>
      <c r="G356" s="35">
        <f>IF(OR(B356="",D356=""),"",D356*E356)</f>
        <v/>
      </c>
      <c r="H356" s="35">
        <f>IF(OR(B356="",D356=""),"",D356*VLOOKUP(B356,Inventory!$A$5:$J$104,10,FALSE))</f>
        <v/>
      </c>
      <c r="I356" s="35">
        <f>IF(G356="","",G356-F356-H356)</f>
        <v/>
      </c>
      <c r="J356" s="22" t="inlineStr"/>
    </row>
    <row r="357">
      <c r="A357" s="34" t="inlineStr"/>
      <c r="B357" s="22" t="inlineStr"/>
      <c r="C357" s="22" t="inlineStr"/>
      <c r="D357" s="23" t="inlineStr"/>
      <c r="E357" s="25" t="inlineStr"/>
      <c r="F357" s="25" t="inlineStr"/>
      <c r="G357" s="35">
        <f>IF(OR(B357="",D357=""),"",D357*E357)</f>
        <v/>
      </c>
      <c r="H357" s="35">
        <f>IF(OR(B357="",D357=""),"",D357*VLOOKUP(B357,Inventory!$A$5:$J$104,10,FALSE))</f>
        <v/>
      </c>
      <c r="I357" s="35">
        <f>IF(G357="","",G357-F357-H357)</f>
        <v/>
      </c>
      <c r="J357" s="22" t="inlineStr"/>
    </row>
    <row r="358">
      <c r="A358" s="34" t="inlineStr"/>
      <c r="B358" s="22" t="inlineStr"/>
      <c r="C358" s="22" t="inlineStr"/>
      <c r="D358" s="23" t="inlineStr"/>
      <c r="E358" s="25" t="inlineStr"/>
      <c r="F358" s="25" t="inlineStr"/>
      <c r="G358" s="35">
        <f>IF(OR(B358="",D358=""),"",D358*E358)</f>
        <v/>
      </c>
      <c r="H358" s="35">
        <f>IF(OR(B358="",D358=""),"",D358*VLOOKUP(B358,Inventory!$A$5:$J$104,10,FALSE))</f>
        <v/>
      </c>
      <c r="I358" s="35">
        <f>IF(G358="","",G358-F358-H358)</f>
        <v/>
      </c>
      <c r="J358" s="22" t="inlineStr"/>
    </row>
    <row r="359">
      <c r="A359" s="34" t="inlineStr"/>
      <c r="B359" s="22" t="inlineStr"/>
      <c r="C359" s="22" t="inlineStr"/>
      <c r="D359" s="23" t="inlineStr"/>
      <c r="E359" s="25" t="inlineStr"/>
      <c r="F359" s="25" t="inlineStr"/>
      <c r="G359" s="35">
        <f>IF(OR(B359="",D359=""),"",D359*E359)</f>
        <v/>
      </c>
      <c r="H359" s="35">
        <f>IF(OR(B359="",D359=""),"",D359*VLOOKUP(B359,Inventory!$A$5:$J$104,10,FALSE))</f>
        <v/>
      </c>
      <c r="I359" s="35">
        <f>IF(G359="","",G359-F359-H359)</f>
        <v/>
      </c>
      <c r="J359" s="22" t="inlineStr"/>
    </row>
    <row r="360">
      <c r="A360" s="34" t="inlineStr"/>
      <c r="B360" s="22" t="inlineStr"/>
      <c r="C360" s="22" t="inlineStr"/>
      <c r="D360" s="23" t="inlineStr"/>
      <c r="E360" s="25" t="inlineStr"/>
      <c r="F360" s="25" t="inlineStr"/>
      <c r="G360" s="35">
        <f>IF(OR(B360="",D360=""),"",D360*E360)</f>
        <v/>
      </c>
      <c r="H360" s="35">
        <f>IF(OR(B360="",D360=""),"",D360*VLOOKUP(B360,Inventory!$A$5:$J$104,10,FALSE))</f>
        <v/>
      </c>
      <c r="I360" s="35">
        <f>IF(G360="","",G360-F360-H360)</f>
        <v/>
      </c>
      <c r="J360" s="22" t="inlineStr"/>
    </row>
    <row r="361">
      <c r="A361" s="34" t="inlineStr"/>
      <c r="B361" s="22" t="inlineStr"/>
      <c r="C361" s="22" t="inlineStr"/>
      <c r="D361" s="23" t="inlineStr"/>
      <c r="E361" s="25" t="inlineStr"/>
      <c r="F361" s="25" t="inlineStr"/>
      <c r="G361" s="35">
        <f>IF(OR(B361="",D361=""),"",D361*E361)</f>
        <v/>
      </c>
      <c r="H361" s="35">
        <f>IF(OR(B361="",D361=""),"",D361*VLOOKUP(B361,Inventory!$A$5:$J$104,10,FALSE))</f>
        <v/>
      </c>
      <c r="I361" s="35">
        <f>IF(G361="","",G361-F361-H361)</f>
        <v/>
      </c>
      <c r="J361" s="22" t="inlineStr"/>
    </row>
    <row r="362">
      <c r="A362" s="34" t="inlineStr"/>
      <c r="B362" s="22" t="inlineStr"/>
      <c r="C362" s="22" t="inlineStr"/>
      <c r="D362" s="23" t="inlineStr"/>
      <c r="E362" s="25" t="inlineStr"/>
      <c r="F362" s="25" t="inlineStr"/>
      <c r="G362" s="35">
        <f>IF(OR(B362="",D362=""),"",D362*E362)</f>
        <v/>
      </c>
      <c r="H362" s="35">
        <f>IF(OR(B362="",D362=""),"",D362*VLOOKUP(B362,Inventory!$A$5:$J$104,10,FALSE))</f>
        <v/>
      </c>
      <c r="I362" s="35">
        <f>IF(G362="","",G362-F362-H362)</f>
        <v/>
      </c>
      <c r="J362" s="22" t="inlineStr"/>
    </row>
    <row r="363">
      <c r="A363" s="34" t="inlineStr"/>
      <c r="B363" s="22" t="inlineStr"/>
      <c r="C363" s="22" t="inlineStr"/>
      <c r="D363" s="23" t="inlineStr"/>
      <c r="E363" s="25" t="inlineStr"/>
      <c r="F363" s="25" t="inlineStr"/>
      <c r="G363" s="35">
        <f>IF(OR(B363="",D363=""),"",D363*E363)</f>
        <v/>
      </c>
      <c r="H363" s="35">
        <f>IF(OR(B363="",D363=""),"",D363*VLOOKUP(B363,Inventory!$A$5:$J$104,10,FALSE))</f>
        <v/>
      </c>
      <c r="I363" s="35">
        <f>IF(G363="","",G363-F363-H363)</f>
        <v/>
      </c>
      <c r="J363" s="22" t="inlineStr"/>
    </row>
    <row r="364">
      <c r="A364" s="34" t="inlineStr"/>
      <c r="B364" s="22" t="inlineStr"/>
      <c r="C364" s="22" t="inlineStr"/>
      <c r="D364" s="23" t="inlineStr"/>
      <c r="E364" s="25" t="inlineStr"/>
      <c r="F364" s="25" t="inlineStr"/>
      <c r="G364" s="35">
        <f>IF(OR(B364="",D364=""),"",D364*E364)</f>
        <v/>
      </c>
      <c r="H364" s="35">
        <f>IF(OR(B364="",D364=""),"",D364*VLOOKUP(B364,Inventory!$A$5:$J$104,10,FALSE))</f>
        <v/>
      </c>
      <c r="I364" s="35">
        <f>IF(G364="","",G364-F364-H364)</f>
        <v/>
      </c>
      <c r="J364" s="22" t="inlineStr"/>
    </row>
    <row r="365">
      <c r="A365" s="34" t="inlineStr"/>
      <c r="B365" s="22" t="inlineStr"/>
      <c r="C365" s="22" t="inlineStr"/>
      <c r="D365" s="23" t="inlineStr"/>
      <c r="E365" s="25" t="inlineStr"/>
      <c r="F365" s="25" t="inlineStr"/>
      <c r="G365" s="35">
        <f>IF(OR(B365="",D365=""),"",D365*E365)</f>
        <v/>
      </c>
      <c r="H365" s="35">
        <f>IF(OR(B365="",D365=""),"",D365*VLOOKUP(B365,Inventory!$A$5:$J$104,10,FALSE))</f>
        <v/>
      </c>
      <c r="I365" s="35">
        <f>IF(G365="","",G365-F365-H365)</f>
        <v/>
      </c>
      <c r="J365" s="22" t="inlineStr"/>
    </row>
    <row r="366">
      <c r="A366" s="34" t="inlineStr"/>
      <c r="B366" s="22" t="inlineStr"/>
      <c r="C366" s="22" t="inlineStr"/>
      <c r="D366" s="23" t="inlineStr"/>
      <c r="E366" s="25" t="inlineStr"/>
      <c r="F366" s="25" t="inlineStr"/>
      <c r="G366" s="35">
        <f>IF(OR(B366="",D366=""),"",D366*E366)</f>
        <v/>
      </c>
      <c r="H366" s="35">
        <f>IF(OR(B366="",D366=""),"",D366*VLOOKUP(B366,Inventory!$A$5:$J$104,10,FALSE))</f>
        <v/>
      </c>
      <c r="I366" s="35">
        <f>IF(G366="","",G366-F366-H366)</f>
        <v/>
      </c>
      <c r="J366" s="22" t="inlineStr"/>
    </row>
    <row r="367">
      <c r="A367" s="34" t="inlineStr"/>
      <c r="B367" s="22" t="inlineStr"/>
      <c r="C367" s="22" t="inlineStr"/>
      <c r="D367" s="23" t="inlineStr"/>
      <c r="E367" s="25" t="inlineStr"/>
      <c r="F367" s="25" t="inlineStr"/>
      <c r="G367" s="35">
        <f>IF(OR(B367="",D367=""),"",D367*E367)</f>
        <v/>
      </c>
      <c r="H367" s="35">
        <f>IF(OR(B367="",D367=""),"",D367*VLOOKUP(B367,Inventory!$A$5:$J$104,10,FALSE))</f>
        <v/>
      </c>
      <c r="I367" s="35">
        <f>IF(G367="","",G367-F367-H367)</f>
        <v/>
      </c>
      <c r="J367" s="22" t="inlineStr"/>
    </row>
    <row r="368">
      <c r="A368" s="34" t="inlineStr"/>
      <c r="B368" s="22" t="inlineStr"/>
      <c r="C368" s="22" t="inlineStr"/>
      <c r="D368" s="23" t="inlineStr"/>
      <c r="E368" s="25" t="inlineStr"/>
      <c r="F368" s="25" t="inlineStr"/>
      <c r="G368" s="35">
        <f>IF(OR(B368="",D368=""),"",D368*E368)</f>
        <v/>
      </c>
      <c r="H368" s="35">
        <f>IF(OR(B368="",D368=""),"",D368*VLOOKUP(B368,Inventory!$A$5:$J$104,10,FALSE))</f>
        <v/>
      </c>
      <c r="I368" s="35">
        <f>IF(G368="","",G368-F368-H368)</f>
        <v/>
      </c>
      <c r="J368" s="22" t="inlineStr"/>
    </row>
    <row r="369">
      <c r="A369" s="34" t="inlineStr"/>
      <c r="B369" s="22" t="inlineStr"/>
      <c r="C369" s="22" t="inlineStr"/>
      <c r="D369" s="23" t="inlineStr"/>
      <c r="E369" s="25" t="inlineStr"/>
      <c r="F369" s="25" t="inlineStr"/>
      <c r="G369" s="35">
        <f>IF(OR(B369="",D369=""),"",D369*E369)</f>
        <v/>
      </c>
      <c r="H369" s="35">
        <f>IF(OR(B369="",D369=""),"",D369*VLOOKUP(B369,Inventory!$A$5:$J$104,10,FALSE))</f>
        <v/>
      </c>
      <c r="I369" s="35">
        <f>IF(G369="","",G369-F369-H369)</f>
        <v/>
      </c>
      <c r="J369" s="22" t="inlineStr"/>
    </row>
    <row r="370">
      <c r="A370" s="34" t="inlineStr"/>
      <c r="B370" s="22" t="inlineStr"/>
      <c r="C370" s="22" t="inlineStr"/>
      <c r="D370" s="23" t="inlineStr"/>
      <c r="E370" s="25" t="inlineStr"/>
      <c r="F370" s="25" t="inlineStr"/>
      <c r="G370" s="35">
        <f>IF(OR(B370="",D370=""),"",D370*E370)</f>
        <v/>
      </c>
      <c r="H370" s="35">
        <f>IF(OR(B370="",D370=""),"",D370*VLOOKUP(B370,Inventory!$A$5:$J$104,10,FALSE))</f>
        <v/>
      </c>
      <c r="I370" s="35">
        <f>IF(G370="","",G370-F370-H370)</f>
        <v/>
      </c>
      <c r="J370" s="22" t="inlineStr"/>
    </row>
    <row r="371">
      <c r="A371" s="34" t="inlineStr"/>
      <c r="B371" s="22" t="inlineStr"/>
      <c r="C371" s="22" t="inlineStr"/>
      <c r="D371" s="23" t="inlineStr"/>
      <c r="E371" s="25" t="inlineStr"/>
      <c r="F371" s="25" t="inlineStr"/>
      <c r="G371" s="35">
        <f>IF(OR(B371="",D371=""),"",D371*E371)</f>
        <v/>
      </c>
      <c r="H371" s="35">
        <f>IF(OR(B371="",D371=""),"",D371*VLOOKUP(B371,Inventory!$A$5:$J$104,10,FALSE))</f>
        <v/>
      </c>
      <c r="I371" s="35">
        <f>IF(G371="","",G371-F371-H371)</f>
        <v/>
      </c>
      <c r="J371" s="22" t="inlineStr"/>
    </row>
    <row r="372">
      <c r="A372" s="34" t="inlineStr"/>
      <c r="B372" s="22" t="inlineStr"/>
      <c r="C372" s="22" t="inlineStr"/>
      <c r="D372" s="23" t="inlineStr"/>
      <c r="E372" s="25" t="inlineStr"/>
      <c r="F372" s="25" t="inlineStr"/>
      <c r="G372" s="35">
        <f>IF(OR(B372="",D372=""),"",D372*E372)</f>
        <v/>
      </c>
      <c r="H372" s="35">
        <f>IF(OR(B372="",D372=""),"",D372*VLOOKUP(B372,Inventory!$A$5:$J$104,10,FALSE))</f>
        <v/>
      </c>
      <c r="I372" s="35">
        <f>IF(G372="","",G372-F372-H372)</f>
        <v/>
      </c>
      <c r="J372" s="22" t="inlineStr"/>
    </row>
    <row r="373">
      <c r="A373" s="34" t="inlineStr"/>
      <c r="B373" s="22" t="inlineStr"/>
      <c r="C373" s="22" t="inlineStr"/>
      <c r="D373" s="23" t="inlineStr"/>
      <c r="E373" s="25" t="inlineStr"/>
      <c r="F373" s="25" t="inlineStr"/>
      <c r="G373" s="35">
        <f>IF(OR(B373="",D373=""),"",D373*E373)</f>
        <v/>
      </c>
      <c r="H373" s="35">
        <f>IF(OR(B373="",D373=""),"",D373*VLOOKUP(B373,Inventory!$A$5:$J$104,10,FALSE))</f>
        <v/>
      </c>
      <c r="I373" s="35">
        <f>IF(G373="","",G373-F373-H373)</f>
        <v/>
      </c>
      <c r="J373" s="22" t="inlineStr"/>
    </row>
    <row r="374">
      <c r="A374" s="34" t="inlineStr"/>
      <c r="B374" s="22" t="inlineStr"/>
      <c r="C374" s="22" t="inlineStr"/>
      <c r="D374" s="23" t="inlineStr"/>
      <c r="E374" s="25" t="inlineStr"/>
      <c r="F374" s="25" t="inlineStr"/>
      <c r="G374" s="35">
        <f>IF(OR(B374="",D374=""),"",D374*E374)</f>
        <v/>
      </c>
      <c r="H374" s="35">
        <f>IF(OR(B374="",D374=""),"",D374*VLOOKUP(B374,Inventory!$A$5:$J$104,10,FALSE))</f>
        <v/>
      </c>
      <c r="I374" s="35">
        <f>IF(G374="","",G374-F374-H374)</f>
        <v/>
      </c>
      <c r="J374" s="22" t="inlineStr"/>
    </row>
    <row r="375">
      <c r="A375" s="34" t="inlineStr"/>
      <c r="B375" s="22" t="inlineStr"/>
      <c r="C375" s="22" t="inlineStr"/>
      <c r="D375" s="23" t="inlineStr"/>
      <c r="E375" s="25" t="inlineStr"/>
      <c r="F375" s="25" t="inlineStr"/>
      <c r="G375" s="35">
        <f>IF(OR(B375="",D375=""),"",D375*E375)</f>
        <v/>
      </c>
      <c r="H375" s="35">
        <f>IF(OR(B375="",D375=""),"",D375*VLOOKUP(B375,Inventory!$A$5:$J$104,10,FALSE))</f>
        <v/>
      </c>
      <c r="I375" s="35">
        <f>IF(G375="","",G375-F375-H375)</f>
        <v/>
      </c>
      <c r="J375" s="22" t="inlineStr"/>
    </row>
    <row r="376">
      <c r="A376" s="34" t="inlineStr"/>
      <c r="B376" s="22" t="inlineStr"/>
      <c r="C376" s="22" t="inlineStr"/>
      <c r="D376" s="23" t="inlineStr"/>
      <c r="E376" s="25" t="inlineStr"/>
      <c r="F376" s="25" t="inlineStr"/>
      <c r="G376" s="35">
        <f>IF(OR(B376="",D376=""),"",D376*E376)</f>
        <v/>
      </c>
      <c r="H376" s="35">
        <f>IF(OR(B376="",D376=""),"",D376*VLOOKUP(B376,Inventory!$A$5:$J$104,10,FALSE))</f>
        <v/>
      </c>
      <c r="I376" s="35">
        <f>IF(G376="","",G376-F376-H376)</f>
        <v/>
      </c>
      <c r="J376" s="22" t="inlineStr"/>
    </row>
    <row r="377">
      <c r="A377" s="34" t="inlineStr"/>
      <c r="B377" s="22" t="inlineStr"/>
      <c r="C377" s="22" t="inlineStr"/>
      <c r="D377" s="23" t="inlineStr"/>
      <c r="E377" s="25" t="inlineStr"/>
      <c r="F377" s="25" t="inlineStr"/>
      <c r="G377" s="35">
        <f>IF(OR(B377="",D377=""),"",D377*E377)</f>
        <v/>
      </c>
      <c r="H377" s="35">
        <f>IF(OR(B377="",D377=""),"",D377*VLOOKUP(B377,Inventory!$A$5:$J$104,10,FALSE))</f>
        <v/>
      </c>
      <c r="I377" s="35">
        <f>IF(G377="","",G377-F377-H377)</f>
        <v/>
      </c>
      <c r="J377" s="22" t="inlineStr"/>
    </row>
    <row r="378">
      <c r="A378" s="34" t="inlineStr"/>
      <c r="B378" s="22" t="inlineStr"/>
      <c r="C378" s="22" t="inlineStr"/>
      <c r="D378" s="23" t="inlineStr"/>
      <c r="E378" s="25" t="inlineStr"/>
      <c r="F378" s="25" t="inlineStr"/>
      <c r="G378" s="35">
        <f>IF(OR(B378="",D378=""),"",D378*E378)</f>
        <v/>
      </c>
      <c r="H378" s="35">
        <f>IF(OR(B378="",D378=""),"",D378*VLOOKUP(B378,Inventory!$A$5:$J$104,10,FALSE))</f>
        <v/>
      </c>
      <c r="I378" s="35">
        <f>IF(G378="","",G378-F378-H378)</f>
        <v/>
      </c>
      <c r="J378" s="22" t="inlineStr"/>
    </row>
    <row r="379">
      <c r="A379" s="34" t="inlineStr"/>
      <c r="B379" s="22" t="inlineStr"/>
      <c r="C379" s="22" t="inlineStr"/>
      <c r="D379" s="23" t="inlineStr"/>
      <c r="E379" s="25" t="inlineStr"/>
      <c r="F379" s="25" t="inlineStr"/>
      <c r="G379" s="35">
        <f>IF(OR(B379="",D379=""),"",D379*E379)</f>
        <v/>
      </c>
      <c r="H379" s="35">
        <f>IF(OR(B379="",D379=""),"",D379*VLOOKUP(B379,Inventory!$A$5:$J$104,10,FALSE))</f>
        <v/>
      </c>
      <c r="I379" s="35">
        <f>IF(G379="","",G379-F379-H379)</f>
        <v/>
      </c>
      <c r="J379" s="22" t="inlineStr"/>
    </row>
    <row r="380">
      <c r="A380" s="34" t="inlineStr"/>
      <c r="B380" s="22" t="inlineStr"/>
      <c r="C380" s="22" t="inlineStr"/>
      <c r="D380" s="23" t="inlineStr"/>
      <c r="E380" s="25" t="inlineStr"/>
      <c r="F380" s="25" t="inlineStr"/>
      <c r="G380" s="35">
        <f>IF(OR(B380="",D380=""),"",D380*E380)</f>
        <v/>
      </c>
      <c r="H380" s="35">
        <f>IF(OR(B380="",D380=""),"",D380*VLOOKUP(B380,Inventory!$A$5:$J$104,10,FALSE))</f>
        <v/>
      </c>
      <c r="I380" s="35">
        <f>IF(G380="","",G380-F380-H380)</f>
        <v/>
      </c>
      <c r="J380" s="22" t="inlineStr"/>
    </row>
    <row r="381">
      <c r="A381" s="34" t="inlineStr"/>
      <c r="B381" s="22" t="inlineStr"/>
      <c r="C381" s="22" t="inlineStr"/>
      <c r="D381" s="23" t="inlineStr"/>
      <c r="E381" s="25" t="inlineStr"/>
      <c r="F381" s="25" t="inlineStr"/>
      <c r="G381" s="35">
        <f>IF(OR(B381="",D381=""),"",D381*E381)</f>
        <v/>
      </c>
      <c r="H381" s="35">
        <f>IF(OR(B381="",D381=""),"",D381*VLOOKUP(B381,Inventory!$A$5:$J$104,10,FALSE))</f>
        <v/>
      </c>
      <c r="I381" s="35">
        <f>IF(G381="","",G381-F381-H381)</f>
        <v/>
      </c>
      <c r="J381" s="22" t="inlineStr"/>
    </row>
    <row r="382">
      <c r="A382" s="34" t="inlineStr"/>
      <c r="B382" s="22" t="inlineStr"/>
      <c r="C382" s="22" t="inlineStr"/>
      <c r="D382" s="23" t="inlineStr"/>
      <c r="E382" s="25" t="inlineStr"/>
      <c r="F382" s="25" t="inlineStr"/>
      <c r="G382" s="35">
        <f>IF(OR(B382="",D382=""),"",D382*E382)</f>
        <v/>
      </c>
      <c r="H382" s="35">
        <f>IF(OR(B382="",D382=""),"",D382*VLOOKUP(B382,Inventory!$A$5:$J$104,10,FALSE))</f>
        <v/>
      </c>
      <c r="I382" s="35">
        <f>IF(G382="","",G382-F382-H382)</f>
        <v/>
      </c>
      <c r="J382" s="22" t="inlineStr"/>
    </row>
    <row r="383">
      <c r="A383" s="34" t="inlineStr"/>
      <c r="B383" s="22" t="inlineStr"/>
      <c r="C383" s="22" t="inlineStr"/>
      <c r="D383" s="23" t="inlineStr"/>
      <c r="E383" s="25" t="inlineStr"/>
      <c r="F383" s="25" t="inlineStr"/>
      <c r="G383" s="35">
        <f>IF(OR(B383="",D383=""),"",D383*E383)</f>
        <v/>
      </c>
      <c r="H383" s="35">
        <f>IF(OR(B383="",D383=""),"",D383*VLOOKUP(B383,Inventory!$A$5:$J$104,10,FALSE))</f>
        <v/>
      </c>
      <c r="I383" s="35">
        <f>IF(G383="","",G383-F383-H383)</f>
        <v/>
      </c>
      <c r="J383" s="22" t="inlineStr"/>
    </row>
    <row r="384">
      <c r="A384" s="34" t="inlineStr"/>
      <c r="B384" s="22" t="inlineStr"/>
      <c r="C384" s="22" t="inlineStr"/>
      <c r="D384" s="23" t="inlineStr"/>
      <c r="E384" s="25" t="inlineStr"/>
      <c r="F384" s="25" t="inlineStr"/>
      <c r="G384" s="35">
        <f>IF(OR(B384="",D384=""),"",D384*E384)</f>
        <v/>
      </c>
      <c r="H384" s="35">
        <f>IF(OR(B384="",D384=""),"",D384*VLOOKUP(B384,Inventory!$A$5:$J$104,10,FALSE))</f>
        <v/>
      </c>
      <c r="I384" s="35">
        <f>IF(G384="","",G384-F384-H384)</f>
        <v/>
      </c>
      <c r="J384" s="22" t="inlineStr"/>
    </row>
    <row r="385">
      <c r="A385" s="34" t="inlineStr"/>
      <c r="B385" s="22" t="inlineStr"/>
      <c r="C385" s="22" t="inlineStr"/>
      <c r="D385" s="23" t="inlineStr"/>
      <c r="E385" s="25" t="inlineStr"/>
      <c r="F385" s="25" t="inlineStr"/>
      <c r="G385" s="35">
        <f>IF(OR(B385="",D385=""),"",D385*E385)</f>
        <v/>
      </c>
      <c r="H385" s="35">
        <f>IF(OR(B385="",D385=""),"",D385*VLOOKUP(B385,Inventory!$A$5:$J$104,10,FALSE))</f>
        <v/>
      </c>
      <c r="I385" s="35">
        <f>IF(G385="","",G385-F385-H385)</f>
        <v/>
      </c>
      <c r="J385" s="22" t="inlineStr"/>
    </row>
    <row r="386">
      <c r="A386" s="34" t="inlineStr"/>
      <c r="B386" s="22" t="inlineStr"/>
      <c r="C386" s="22" t="inlineStr"/>
      <c r="D386" s="23" t="inlineStr"/>
      <c r="E386" s="25" t="inlineStr"/>
      <c r="F386" s="25" t="inlineStr"/>
      <c r="G386" s="35">
        <f>IF(OR(B386="",D386=""),"",D386*E386)</f>
        <v/>
      </c>
      <c r="H386" s="35">
        <f>IF(OR(B386="",D386=""),"",D386*VLOOKUP(B386,Inventory!$A$5:$J$104,10,FALSE))</f>
        <v/>
      </c>
      <c r="I386" s="35">
        <f>IF(G386="","",G386-F386-H386)</f>
        <v/>
      </c>
      <c r="J386" s="22" t="inlineStr"/>
    </row>
    <row r="387">
      <c r="A387" s="34" t="inlineStr"/>
      <c r="B387" s="22" t="inlineStr"/>
      <c r="C387" s="22" t="inlineStr"/>
      <c r="D387" s="23" t="inlineStr"/>
      <c r="E387" s="25" t="inlineStr"/>
      <c r="F387" s="25" t="inlineStr"/>
      <c r="G387" s="35">
        <f>IF(OR(B387="",D387=""),"",D387*E387)</f>
        <v/>
      </c>
      <c r="H387" s="35">
        <f>IF(OR(B387="",D387=""),"",D387*VLOOKUP(B387,Inventory!$A$5:$J$104,10,FALSE))</f>
        <v/>
      </c>
      <c r="I387" s="35">
        <f>IF(G387="","",G387-F387-H387)</f>
        <v/>
      </c>
      <c r="J387" s="22" t="inlineStr"/>
    </row>
    <row r="388">
      <c r="A388" s="34" t="inlineStr"/>
      <c r="B388" s="22" t="inlineStr"/>
      <c r="C388" s="22" t="inlineStr"/>
      <c r="D388" s="23" t="inlineStr"/>
      <c r="E388" s="25" t="inlineStr"/>
      <c r="F388" s="25" t="inlineStr"/>
      <c r="G388" s="35">
        <f>IF(OR(B388="",D388=""),"",D388*E388)</f>
        <v/>
      </c>
      <c r="H388" s="35">
        <f>IF(OR(B388="",D388=""),"",D388*VLOOKUP(B388,Inventory!$A$5:$J$104,10,FALSE))</f>
        <v/>
      </c>
      <c r="I388" s="35">
        <f>IF(G388="","",G388-F388-H388)</f>
        <v/>
      </c>
      <c r="J388" s="22" t="inlineStr"/>
    </row>
    <row r="389">
      <c r="A389" s="34" t="inlineStr"/>
      <c r="B389" s="22" t="inlineStr"/>
      <c r="C389" s="22" t="inlineStr"/>
      <c r="D389" s="23" t="inlineStr"/>
      <c r="E389" s="25" t="inlineStr"/>
      <c r="F389" s="25" t="inlineStr"/>
      <c r="G389" s="35">
        <f>IF(OR(B389="",D389=""),"",D389*E389)</f>
        <v/>
      </c>
      <c r="H389" s="35">
        <f>IF(OR(B389="",D389=""),"",D389*VLOOKUP(B389,Inventory!$A$5:$J$104,10,FALSE))</f>
        <v/>
      </c>
      <c r="I389" s="35">
        <f>IF(G389="","",G389-F389-H389)</f>
        <v/>
      </c>
      <c r="J389" s="22" t="inlineStr"/>
    </row>
    <row r="390">
      <c r="A390" s="34" t="inlineStr"/>
      <c r="B390" s="22" t="inlineStr"/>
      <c r="C390" s="22" t="inlineStr"/>
      <c r="D390" s="23" t="inlineStr"/>
      <c r="E390" s="25" t="inlineStr"/>
      <c r="F390" s="25" t="inlineStr"/>
      <c r="G390" s="35">
        <f>IF(OR(B390="",D390=""),"",D390*E390)</f>
        <v/>
      </c>
      <c r="H390" s="35">
        <f>IF(OR(B390="",D390=""),"",D390*VLOOKUP(B390,Inventory!$A$5:$J$104,10,FALSE))</f>
        <v/>
      </c>
      <c r="I390" s="35">
        <f>IF(G390="","",G390-F390-H390)</f>
        <v/>
      </c>
      <c r="J390" s="22" t="inlineStr"/>
    </row>
    <row r="391">
      <c r="A391" s="34" t="inlineStr"/>
      <c r="B391" s="22" t="inlineStr"/>
      <c r="C391" s="22" t="inlineStr"/>
      <c r="D391" s="23" t="inlineStr"/>
      <c r="E391" s="25" t="inlineStr"/>
      <c r="F391" s="25" t="inlineStr"/>
      <c r="G391" s="35">
        <f>IF(OR(B391="",D391=""),"",D391*E391)</f>
        <v/>
      </c>
      <c r="H391" s="35">
        <f>IF(OR(B391="",D391=""),"",D391*VLOOKUP(B391,Inventory!$A$5:$J$104,10,FALSE))</f>
        <v/>
      </c>
      <c r="I391" s="35">
        <f>IF(G391="","",G391-F391-H391)</f>
        <v/>
      </c>
      <c r="J391" s="22" t="inlineStr"/>
    </row>
    <row r="392">
      <c r="A392" s="34" t="inlineStr"/>
      <c r="B392" s="22" t="inlineStr"/>
      <c r="C392" s="22" t="inlineStr"/>
      <c r="D392" s="23" t="inlineStr"/>
      <c r="E392" s="25" t="inlineStr"/>
      <c r="F392" s="25" t="inlineStr"/>
      <c r="G392" s="35">
        <f>IF(OR(B392="",D392=""),"",D392*E392)</f>
        <v/>
      </c>
      <c r="H392" s="35">
        <f>IF(OR(B392="",D392=""),"",D392*VLOOKUP(B392,Inventory!$A$5:$J$104,10,FALSE))</f>
        <v/>
      </c>
      <c r="I392" s="35">
        <f>IF(G392="","",G392-F392-H392)</f>
        <v/>
      </c>
      <c r="J392" s="22" t="inlineStr"/>
    </row>
    <row r="393">
      <c r="A393" s="34" t="inlineStr"/>
      <c r="B393" s="22" t="inlineStr"/>
      <c r="C393" s="22" t="inlineStr"/>
      <c r="D393" s="23" t="inlineStr"/>
      <c r="E393" s="25" t="inlineStr"/>
      <c r="F393" s="25" t="inlineStr"/>
      <c r="G393" s="35">
        <f>IF(OR(B393="",D393=""),"",D393*E393)</f>
        <v/>
      </c>
      <c r="H393" s="35">
        <f>IF(OR(B393="",D393=""),"",D393*VLOOKUP(B393,Inventory!$A$5:$J$104,10,FALSE))</f>
        <v/>
      </c>
      <c r="I393" s="35">
        <f>IF(G393="","",G393-F393-H393)</f>
        <v/>
      </c>
      <c r="J393" s="22" t="inlineStr"/>
    </row>
    <row r="394">
      <c r="A394" s="34" t="inlineStr"/>
      <c r="B394" s="22" t="inlineStr"/>
      <c r="C394" s="22" t="inlineStr"/>
      <c r="D394" s="23" t="inlineStr"/>
      <c r="E394" s="25" t="inlineStr"/>
      <c r="F394" s="25" t="inlineStr"/>
      <c r="G394" s="35">
        <f>IF(OR(B394="",D394=""),"",D394*E394)</f>
        <v/>
      </c>
      <c r="H394" s="35">
        <f>IF(OR(B394="",D394=""),"",D394*VLOOKUP(B394,Inventory!$A$5:$J$104,10,FALSE))</f>
        <v/>
      </c>
      <c r="I394" s="35">
        <f>IF(G394="","",G394-F394-H394)</f>
        <v/>
      </c>
      <c r="J394" s="22" t="inlineStr"/>
    </row>
    <row r="395">
      <c r="A395" s="34" t="inlineStr"/>
      <c r="B395" s="22" t="inlineStr"/>
      <c r="C395" s="22" t="inlineStr"/>
      <c r="D395" s="23" t="inlineStr"/>
      <c r="E395" s="25" t="inlineStr"/>
      <c r="F395" s="25" t="inlineStr"/>
      <c r="G395" s="35">
        <f>IF(OR(B395="",D395=""),"",D395*E395)</f>
        <v/>
      </c>
      <c r="H395" s="35">
        <f>IF(OR(B395="",D395=""),"",D395*VLOOKUP(B395,Inventory!$A$5:$J$104,10,FALSE))</f>
        <v/>
      </c>
      <c r="I395" s="35">
        <f>IF(G395="","",G395-F395-H395)</f>
        <v/>
      </c>
      <c r="J395" s="22" t="inlineStr"/>
    </row>
    <row r="396">
      <c r="A396" s="34" t="inlineStr"/>
      <c r="B396" s="22" t="inlineStr"/>
      <c r="C396" s="22" t="inlineStr"/>
      <c r="D396" s="23" t="inlineStr"/>
      <c r="E396" s="25" t="inlineStr"/>
      <c r="F396" s="25" t="inlineStr"/>
      <c r="G396" s="35">
        <f>IF(OR(B396="",D396=""),"",D396*E396)</f>
        <v/>
      </c>
      <c r="H396" s="35">
        <f>IF(OR(B396="",D396=""),"",D396*VLOOKUP(B396,Inventory!$A$5:$J$104,10,FALSE))</f>
        <v/>
      </c>
      <c r="I396" s="35">
        <f>IF(G396="","",G396-F396-H396)</f>
        <v/>
      </c>
      <c r="J396" s="22" t="inlineStr"/>
    </row>
    <row r="397">
      <c r="A397" s="34" t="inlineStr"/>
      <c r="B397" s="22" t="inlineStr"/>
      <c r="C397" s="22" t="inlineStr"/>
      <c r="D397" s="23" t="inlineStr"/>
      <c r="E397" s="25" t="inlineStr"/>
      <c r="F397" s="25" t="inlineStr"/>
      <c r="G397" s="35">
        <f>IF(OR(B397="",D397=""),"",D397*E397)</f>
        <v/>
      </c>
      <c r="H397" s="35">
        <f>IF(OR(B397="",D397=""),"",D397*VLOOKUP(B397,Inventory!$A$5:$J$104,10,FALSE))</f>
        <v/>
      </c>
      <c r="I397" s="35">
        <f>IF(G397="","",G397-F397-H397)</f>
        <v/>
      </c>
      <c r="J397" s="22" t="inlineStr"/>
    </row>
    <row r="398">
      <c r="A398" s="34" t="inlineStr"/>
      <c r="B398" s="22" t="inlineStr"/>
      <c r="C398" s="22" t="inlineStr"/>
      <c r="D398" s="23" t="inlineStr"/>
      <c r="E398" s="25" t="inlineStr"/>
      <c r="F398" s="25" t="inlineStr"/>
      <c r="G398" s="35">
        <f>IF(OR(B398="",D398=""),"",D398*E398)</f>
        <v/>
      </c>
      <c r="H398" s="35">
        <f>IF(OR(B398="",D398=""),"",D398*VLOOKUP(B398,Inventory!$A$5:$J$104,10,FALSE))</f>
        <v/>
      </c>
      <c r="I398" s="35">
        <f>IF(G398="","",G398-F398-H398)</f>
        <v/>
      </c>
      <c r="J398" s="22" t="inlineStr"/>
    </row>
    <row r="399">
      <c r="A399" s="34" t="inlineStr"/>
      <c r="B399" s="22" t="inlineStr"/>
      <c r="C399" s="22" t="inlineStr"/>
      <c r="D399" s="23" t="inlineStr"/>
      <c r="E399" s="25" t="inlineStr"/>
      <c r="F399" s="25" t="inlineStr"/>
      <c r="G399" s="35">
        <f>IF(OR(B399="",D399=""),"",D399*E399)</f>
        <v/>
      </c>
      <c r="H399" s="35">
        <f>IF(OR(B399="",D399=""),"",D399*VLOOKUP(B399,Inventory!$A$5:$J$104,10,FALSE))</f>
        <v/>
      </c>
      <c r="I399" s="35">
        <f>IF(G399="","",G399-F399-H399)</f>
        <v/>
      </c>
      <c r="J399" s="22" t="inlineStr"/>
    </row>
    <row r="400">
      <c r="A400" s="34" t="inlineStr"/>
      <c r="B400" s="22" t="inlineStr"/>
      <c r="C400" s="22" t="inlineStr"/>
      <c r="D400" s="23" t="inlineStr"/>
      <c r="E400" s="25" t="inlineStr"/>
      <c r="F400" s="25" t="inlineStr"/>
      <c r="G400" s="35">
        <f>IF(OR(B400="",D400=""),"",D400*E400)</f>
        <v/>
      </c>
      <c r="H400" s="35">
        <f>IF(OR(B400="",D400=""),"",D400*VLOOKUP(B400,Inventory!$A$5:$J$104,10,FALSE))</f>
        <v/>
      </c>
      <c r="I400" s="35">
        <f>IF(G400="","",G400-F400-H400)</f>
        <v/>
      </c>
      <c r="J400" s="22" t="inlineStr"/>
    </row>
    <row r="401">
      <c r="A401" s="34" t="inlineStr"/>
      <c r="B401" s="22" t="inlineStr"/>
      <c r="C401" s="22" t="inlineStr"/>
      <c r="D401" s="23" t="inlineStr"/>
      <c r="E401" s="25" t="inlineStr"/>
      <c r="F401" s="25" t="inlineStr"/>
      <c r="G401" s="35">
        <f>IF(OR(B401="",D401=""),"",D401*E401)</f>
        <v/>
      </c>
      <c r="H401" s="35">
        <f>IF(OR(B401="",D401=""),"",D401*VLOOKUP(B401,Inventory!$A$5:$J$104,10,FALSE))</f>
        <v/>
      </c>
      <c r="I401" s="35">
        <f>IF(G401="","",G401-F401-H401)</f>
        <v/>
      </c>
      <c r="J401" s="22" t="inlineStr"/>
    </row>
    <row r="402">
      <c r="A402" s="34" t="inlineStr"/>
      <c r="B402" s="22" t="inlineStr"/>
      <c r="C402" s="22" t="inlineStr"/>
      <c r="D402" s="23" t="inlineStr"/>
      <c r="E402" s="25" t="inlineStr"/>
      <c r="F402" s="25" t="inlineStr"/>
      <c r="G402" s="35">
        <f>IF(OR(B402="",D402=""),"",D402*E402)</f>
        <v/>
      </c>
      <c r="H402" s="35">
        <f>IF(OR(B402="",D402=""),"",D402*VLOOKUP(B402,Inventory!$A$5:$J$104,10,FALSE))</f>
        <v/>
      </c>
      <c r="I402" s="35">
        <f>IF(G402="","",G402-F402-H402)</f>
        <v/>
      </c>
      <c r="J402" s="22" t="inlineStr"/>
    </row>
    <row r="403">
      <c r="A403" s="34" t="inlineStr"/>
      <c r="B403" s="22" t="inlineStr"/>
      <c r="C403" s="22" t="inlineStr"/>
      <c r="D403" s="23" t="inlineStr"/>
      <c r="E403" s="25" t="inlineStr"/>
      <c r="F403" s="25" t="inlineStr"/>
      <c r="G403" s="35">
        <f>IF(OR(B403="",D403=""),"",D403*E403)</f>
        <v/>
      </c>
      <c r="H403" s="35">
        <f>IF(OR(B403="",D403=""),"",D403*VLOOKUP(B403,Inventory!$A$5:$J$104,10,FALSE))</f>
        <v/>
      </c>
      <c r="I403" s="35">
        <f>IF(G403="","",G403-F403-H403)</f>
        <v/>
      </c>
      <c r="J403" s="22" t="inlineStr"/>
    </row>
    <row r="404">
      <c r="A404" s="34" t="inlineStr"/>
      <c r="B404" s="22" t="inlineStr"/>
      <c r="C404" s="22" t="inlineStr"/>
      <c r="D404" s="23" t="inlineStr"/>
      <c r="E404" s="25" t="inlineStr"/>
      <c r="F404" s="25" t="inlineStr"/>
      <c r="G404" s="35">
        <f>IF(OR(B404="",D404=""),"",D404*E404)</f>
        <v/>
      </c>
      <c r="H404" s="35">
        <f>IF(OR(B404="",D404=""),"",D404*VLOOKUP(B404,Inventory!$A$5:$J$104,10,FALSE))</f>
        <v/>
      </c>
      <c r="I404" s="35">
        <f>IF(G404="","",G404-F404-H404)</f>
        <v/>
      </c>
      <c r="J404" s="22" t="inlineStr"/>
    </row>
    <row r="405">
      <c r="A405" s="34" t="inlineStr"/>
      <c r="B405" s="22" t="inlineStr"/>
      <c r="C405" s="22" t="inlineStr"/>
      <c r="D405" s="23" t="inlineStr"/>
      <c r="E405" s="25" t="inlineStr"/>
      <c r="F405" s="25" t="inlineStr"/>
      <c r="G405" s="35">
        <f>IF(OR(B405="",D405=""),"",D405*E405)</f>
        <v/>
      </c>
      <c r="H405" s="35">
        <f>IF(OR(B405="",D405=""),"",D405*VLOOKUP(B405,Inventory!$A$5:$J$104,10,FALSE))</f>
        <v/>
      </c>
      <c r="I405" s="35">
        <f>IF(G405="","",G405-F405-H405)</f>
        <v/>
      </c>
      <c r="J405" s="22" t="inlineStr"/>
    </row>
    <row r="406">
      <c r="A406" s="34" t="inlineStr"/>
      <c r="B406" s="22" t="inlineStr"/>
      <c r="C406" s="22" t="inlineStr"/>
      <c r="D406" s="23" t="inlineStr"/>
      <c r="E406" s="25" t="inlineStr"/>
      <c r="F406" s="25" t="inlineStr"/>
      <c r="G406" s="35">
        <f>IF(OR(B406="",D406=""),"",D406*E406)</f>
        <v/>
      </c>
      <c r="H406" s="35">
        <f>IF(OR(B406="",D406=""),"",D406*VLOOKUP(B406,Inventory!$A$5:$J$104,10,FALSE))</f>
        <v/>
      </c>
      <c r="I406" s="35">
        <f>IF(G406="","",G406-F406-H406)</f>
        <v/>
      </c>
      <c r="J406" s="22" t="inlineStr"/>
    </row>
    <row r="407">
      <c r="A407" s="34" t="inlineStr"/>
      <c r="B407" s="22" t="inlineStr"/>
      <c r="C407" s="22" t="inlineStr"/>
      <c r="D407" s="23" t="inlineStr"/>
      <c r="E407" s="25" t="inlineStr"/>
      <c r="F407" s="25" t="inlineStr"/>
      <c r="G407" s="35">
        <f>IF(OR(B407="",D407=""),"",D407*E407)</f>
        <v/>
      </c>
      <c r="H407" s="35">
        <f>IF(OR(B407="",D407=""),"",D407*VLOOKUP(B407,Inventory!$A$5:$J$104,10,FALSE))</f>
        <v/>
      </c>
      <c r="I407" s="35">
        <f>IF(G407="","",G407-F407-H407)</f>
        <v/>
      </c>
      <c r="J407" s="22" t="inlineStr"/>
    </row>
    <row r="408">
      <c r="A408" s="34" t="inlineStr"/>
      <c r="B408" s="22" t="inlineStr"/>
      <c r="C408" s="22" t="inlineStr"/>
      <c r="D408" s="23" t="inlineStr"/>
      <c r="E408" s="25" t="inlineStr"/>
      <c r="F408" s="25" t="inlineStr"/>
      <c r="G408" s="35">
        <f>IF(OR(B408="",D408=""),"",D408*E408)</f>
        <v/>
      </c>
      <c r="H408" s="35">
        <f>IF(OR(B408="",D408=""),"",D408*VLOOKUP(B408,Inventory!$A$5:$J$104,10,FALSE))</f>
        <v/>
      </c>
      <c r="I408" s="35">
        <f>IF(G408="","",G408-F408-H408)</f>
        <v/>
      </c>
      <c r="J408" s="22" t="inlineStr"/>
    </row>
    <row r="409">
      <c r="A409" s="34" t="inlineStr"/>
      <c r="B409" s="22" t="inlineStr"/>
      <c r="C409" s="22" t="inlineStr"/>
      <c r="D409" s="23" t="inlineStr"/>
      <c r="E409" s="25" t="inlineStr"/>
      <c r="F409" s="25" t="inlineStr"/>
      <c r="G409" s="35">
        <f>IF(OR(B409="",D409=""),"",D409*E409)</f>
        <v/>
      </c>
      <c r="H409" s="35">
        <f>IF(OR(B409="",D409=""),"",D409*VLOOKUP(B409,Inventory!$A$5:$J$104,10,FALSE))</f>
        <v/>
      </c>
      <c r="I409" s="35">
        <f>IF(G409="","",G409-F409-H409)</f>
        <v/>
      </c>
      <c r="J409" s="22" t="inlineStr"/>
    </row>
    <row r="410">
      <c r="A410" s="34" t="inlineStr"/>
      <c r="B410" s="22" t="inlineStr"/>
      <c r="C410" s="22" t="inlineStr"/>
      <c r="D410" s="23" t="inlineStr"/>
      <c r="E410" s="25" t="inlineStr"/>
      <c r="F410" s="25" t="inlineStr"/>
      <c r="G410" s="35">
        <f>IF(OR(B410="",D410=""),"",D410*E410)</f>
        <v/>
      </c>
      <c r="H410" s="35">
        <f>IF(OR(B410="",D410=""),"",D410*VLOOKUP(B410,Inventory!$A$5:$J$104,10,FALSE))</f>
        <v/>
      </c>
      <c r="I410" s="35">
        <f>IF(G410="","",G410-F410-H410)</f>
        <v/>
      </c>
      <c r="J410" s="22" t="inlineStr"/>
    </row>
    <row r="411">
      <c r="A411" s="34" t="inlineStr"/>
      <c r="B411" s="22" t="inlineStr"/>
      <c r="C411" s="22" t="inlineStr"/>
      <c r="D411" s="23" t="inlineStr"/>
      <c r="E411" s="25" t="inlineStr"/>
      <c r="F411" s="25" t="inlineStr"/>
      <c r="G411" s="35">
        <f>IF(OR(B411="",D411=""),"",D411*E411)</f>
        <v/>
      </c>
      <c r="H411" s="35">
        <f>IF(OR(B411="",D411=""),"",D411*VLOOKUP(B411,Inventory!$A$5:$J$104,10,FALSE))</f>
        <v/>
      </c>
      <c r="I411" s="35">
        <f>IF(G411="","",G411-F411-H411)</f>
        <v/>
      </c>
      <c r="J411" s="22" t="inlineStr"/>
    </row>
    <row r="412">
      <c r="A412" s="34" t="inlineStr"/>
      <c r="B412" s="22" t="inlineStr"/>
      <c r="C412" s="22" t="inlineStr"/>
      <c r="D412" s="23" t="inlineStr"/>
      <c r="E412" s="25" t="inlineStr"/>
      <c r="F412" s="25" t="inlineStr"/>
      <c r="G412" s="35">
        <f>IF(OR(B412="",D412=""),"",D412*E412)</f>
        <v/>
      </c>
      <c r="H412" s="35">
        <f>IF(OR(B412="",D412=""),"",D412*VLOOKUP(B412,Inventory!$A$5:$J$104,10,FALSE))</f>
        <v/>
      </c>
      <c r="I412" s="35">
        <f>IF(G412="","",G412-F412-H412)</f>
        <v/>
      </c>
      <c r="J412" s="22" t="inlineStr"/>
    </row>
    <row r="413">
      <c r="A413" s="34" t="inlineStr"/>
      <c r="B413" s="22" t="inlineStr"/>
      <c r="C413" s="22" t="inlineStr"/>
      <c r="D413" s="23" t="inlineStr"/>
      <c r="E413" s="25" t="inlineStr"/>
      <c r="F413" s="25" t="inlineStr"/>
      <c r="G413" s="35">
        <f>IF(OR(B413="",D413=""),"",D413*E413)</f>
        <v/>
      </c>
      <c r="H413" s="35">
        <f>IF(OR(B413="",D413=""),"",D413*VLOOKUP(B413,Inventory!$A$5:$J$104,10,FALSE))</f>
        <v/>
      </c>
      <c r="I413" s="35">
        <f>IF(G413="","",G413-F413-H413)</f>
        <v/>
      </c>
      <c r="J413" s="22" t="inlineStr"/>
    </row>
    <row r="414">
      <c r="A414" s="34" t="inlineStr"/>
      <c r="B414" s="22" t="inlineStr"/>
      <c r="C414" s="22" t="inlineStr"/>
      <c r="D414" s="23" t="inlineStr"/>
      <c r="E414" s="25" t="inlineStr"/>
      <c r="F414" s="25" t="inlineStr"/>
      <c r="G414" s="35">
        <f>IF(OR(B414="",D414=""),"",D414*E414)</f>
        <v/>
      </c>
      <c r="H414" s="35">
        <f>IF(OR(B414="",D414=""),"",D414*VLOOKUP(B414,Inventory!$A$5:$J$104,10,FALSE))</f>
        <v/>
      </c>
      <c r="I414" s="35">
        <f>IF(G414="","",G414-F414-H414)</f>
        <v/>
      </c>
      <c r="J414" s="22" t="inlineStr"/>
    </row>
    <row r="415">
      <c r="A415" s="34" t="inlineStr"/>
      <c r="B415" s="22" t="inlineStr"/>
      <c r="C415" s="22" t="inlineStr"/>
      <c r="D415" s="23" t="inlineStr"/>
      <c r="E415" s="25" t="inlineStr"/>
      <c r="F415" s="25" t="inlineStr"/>
      <c r="G415" s="35">
        <f>IF(OR(B415="",D415=""),"",D415*E415)</f>
        <v/>
      </c>
      <c r="H415" s="35">
        <f>IF(OR(B415="",D415=""),"",D415*VLOOKUP(B415,Inventory!$A$5:$J$104,10,FALSE))</f>
        <v/>
      </c>
      <c r="I415" s="35">
        <f>IF(G415="","",G415-F415-H415)</f>
        <v/>
      </c>
      <c r="J415" s="22" t="inlineStr"/>
    </row>
    <row r="416">
      <c r="A416" s="34" t="inlineStr"/>
      <c r="B416" s="22" t="inlineStr"/>
      <c r="C416" s="22" t="inlineStr"/>
      <c r="D416" s="23" t="inlineStr"/>
      <c r="E416" s="25" t="inlineStr"/>
      <c r="F416" s="25" t="inlineStr"/>
      <c r="G416" s="35">
        <f>IF(OR(B416="",D416=""),"",D416*E416)</f>
        <v/>
      </c>
      <c r="H416" s="35">
        <f>IF(OR(B416="",D416=""),"",D416*VLOOKUP(B416,Inventory!$A$5:$J$104,10,FALSE))</f>
        <v/>
      </c>
      <c r="I416" s="35">
        <f>IF(G416="","",G416-F416-H416)</f>
        <v/>
      </c>
      <c r="J416" s="22" t="inlineStr"/>
    </row>
    <row r="417">
      <c r="A417" s="34" t="inlineStr"/>
      <c r="B417" s="22" t="inlineStr"/>
      <c r="C417" s="22" t="inlineStr"/>
      <c r="D417" s="23" t="inlineStr"/>
      <c r="E417" s="25" t="inlineStr"/>
      <c r="F417" s="25" t="inlineStr"/>
      <c r="G417" s="35">
        <f>IF(OR(B417="",D417=""),"",D417*E417)</f>
        <v/>
      </c>
      <c r="H417" s="35">
        <f>IF(OR(B417="",D417=""),"",D417*VLOOKUP(B417,Inventory!$A$5:$J$104,10,FALSE))</f>
        <v/>
      </c>
      <c r="I417" s="35">
        <f>IF(G417="","",G417-F417-H417)</f>
        <v/>
      </c>
      <c r="J417" s="22" t="inlineStr"/>
    </row>
    <row r="418">
      <c r="A418" s="34" t="inlineStr"/>
      <c r="B418" s="22" t="inlineStr"/>
      <c r="C418" s="22" t="inlineStr"/>
      <c r="D418" s="23" t="inlineStr"/>
      <c r="E418" s="25" t="inlineStr"/>
      <c r="F418" s="25" t="inlineStr"/>
      <c r="G418" s="35">
        <f>IF(OR(B418="",D418=""),"",D418*E418)</f>
        <v/>
      </c>
      <c r="H418" s="35">
        <f>IF(OR(B418="",D418=""),"",D418*VLOOKUP(B418,Inventory!$A$5:$J$104,10,FALSE))</f>
        <v/>
      </c>
      <c r="I418" s="35">
        <f>IF(G418="","",G418-F418-H418)</f>
        <v/>
      </c>
      <c r="J418" s="22" t="inlineStr"/>
    </row>
    <row r="419">
      <c r="A419" s="34" t="inlineStr"/>
      <c r="B419" s="22" t="inlineStr"/>
      <c r="C419" s="22" t="inlineStr"/>
      <c r="D419" s="23" t="inlineStr"/>
      <c r="E419" s="25" t="inlineStr"/>
      <c r="F419" s="25" t="inlineStr"/>
      <c r="G419" s="35">
        <f>IF(OR(B419="",D419=""),"",D419*E419)</f>
        <v/>
      </c>
      <c r="H419" s="35">
        <f>IF(OR(B419="",D419=""),"",D419*VLOOKUP(B419,Inventory!$A$5:$J$104,10,FALSE))</f>
        <v/>
      </c>
      <c r="I419" s="35">
        <f>IF(G419="","",G419-F419-H419)</f>
        <v/>
      </c>
      <c r="J419" s="22" t="inlineStr"/>
    </row>
    <row r="420">
      <c r="A420" s="34" t="inlineStr"/>
      <c r="B420" s="22" t="inlineStr"/>
      <c r="C420" s="22" t="inlineStr"/>
      <c r="D420" s="23" t="inlineStr"/>
      <c r="E420" s="25" t="inlineStr"/>
      <c r="F420" s="25" t="inlineStr"/>
      <c r="G420" s="35">
        <f>IF(OR(B420="",D420=""),"",D420*E420)</f>
        <v/>
      </c>
      <c r="H420" s="35">
        <f>IF(OR(B420="",D420=""),"",D420*VLOOKUP(B420,Inventory!$A$5:$J$104,10,FALSE))</f>
        <v/>
      </c>
      <c r="I420" s="35">
        <f>IF(G420="","",G420-F420-H420)</f>
        <v/>
      </c>
      <c r="J420" s="22" t="inlineStr"/>
    </row>
    <row r="421">
      <c r="A421" s="34" t="inlineStr"/>
      <c r="B421" s="22" t="inlineStr"/>
      <c r="C421" s="22" t="inlineStr"/>
      <c r="D421" s="23" t="inlineStr"/>
      <c r="E421" s="25" t="inlineStr"/>
      <c r="F421" s="25" t="inlineStr"/>
      <c r="G421" s="35">
        <f>IF(OR(B421="",D421=""),"",D421*E421)</f>
        <v/>
      </c>
      <c r="H421" s="35">
        <f>IF(OR(B421="",D421=""),"",D421*VLOOKUP(B421,Inventory!$A$5:$J$104,10,FALSE))</f>
        <v/>
      </c>
      <c r="I421" s="35">
        <f>IF(G421="","",G421-F421-H421)</f>
        <v/>
      </c>
      <c r="J421" s="22" t="inlineStr"/>
    </row>
    <row r="422">
      <c r="A422" s="34" t="inlineStr"/>
      <c r="B422" s="22" t="inlineStr"/>
      <c r="C422" s="22" t="inlineStr"/>
      <c r="D422" s="23" t="inlineStr"/>
      <c r="E422" s="25" t="inlineStr"/>
      <c r="F422" s="25" t="inlineStr"/>
      <c r="G422" s="35">
        <f>IF(OR(B422="",D422=""),"",D422*E422)</f>
        <v/>
      </c>
      <c r="H422" s="35">
        <f>IF(OR(B422="",D422=""),"",D422*VLOOKUP(B422,Inventory!$A$5:$J$104,10,FALSE))</f>
        <v/>
      </c>
      <c r="I422" s="35">
        <f>IF(G422="","",G422-F422-H422)</f>
        <v/>
      </c>
      <c r="J422" s="22" t="inlineStr"/>
    </row>
    <row r="423">
      <c r="A423" s="34" t="inlineStr"/>
      <c r="B423" s="22" t="inlineStr"/>
      <c r="C423" s="22" t="inlineStr"/>
      <c r="D423" s="23" t="inlineStr"/>
      <c r="E423" s="25" t="inlineStr"/>
      <c r="F423" s="25" t="inlineStr"/>
      <c r="G423" s="35">
        <f>IF(OR(B423="",D423=""),"",D423*E423)</f>
        <v/>
      </c>
      <c r="H423" s="35">
        <f>IF(OR(B423="",D423=""),"",D423*VLOOKUP(B423,Inventory!$A$5:$J$104,10,FALSE))</f>
        <v/>
      </c>
      <c r="I423" s="35">
        <f>IF(G423="","",G423-F423-H423)</f>
        <v/>
      </c>
      <c r="J423" s="22" t="inlineStr"/>
    </row>
    <row r="424">
      <c r="A424" s="34" t="inlineStr"/>
      <c r="B424" s="22" t="inlineStr"/>
      <c r="C424" s="22" t="inlineStr"/>
      <c r="D424" s="23" t="inlineStr"/>
      <c r="E424" s="25" t="inlineStr"/>
      <c r="F424" s="25" t="inlineStr"/>
      <c r="G424" s="35">
        <f>IF(OR(B424="",D424=""),"",D424*E424)</f>
        <v/>
      </c>
      <c r="H424" s="35">
        <f>IF(OR(B424="",D424=""),"",D424*VLOOKUP(B424,Inventory!$A$5:$J$104,10,FALSE))</f>
        <v/>
      </c>
      <c r="I424" s="35">
        <f>IF(G424="","",G424-F424-H424)</f>
        <v/>
      </c>
      <c r="J424" s="22" t="inlineStr"/>
    </row>
    <row r="425">
      <c r="A425" s="34" t="inlineStr"/>
      <c r="B425" s="22" t="inlineStr"/>
      <c r="C425" s="22" t="inlineStr"/>
      <c r="D425" s="23" t="inlineStr"/>
      <c r="E425" s="25" t="inlineStr"/>
      <c r="F425" s="25" t="inlineStr"/>
      <c r="G425" s="35">
        <f>IF(OR(B425="",D425=""),"",D425*E425)</f>
        <v/>
      </c>
      <c r="H425" s="35">
        <f>IF(OR(B425="",D425=""),"",D425*VLOOKUP(B425,Inventory!$A$5:$J$104,10,FALSE))</f>
        <v/>
      </c>
      <c r="I425" s="35">
        <f>IF(G425="","",G425-F425-H425)</f>
        <v/>
      </c>
      <c r="J425" s="22" t="inlineStr"/>
    </row>
    <row r="426">
      <c r="A426" s="34" t="inlineStr"/>
      <c r="B426" s="22" t="inlineStr"/>
      <c r="C426" s="22" t="inlineStr"/>
      <c r="D426" s="23" t="inlineStr"/>
      <c r="E426" s="25" t="inlineStr"/>
      <c r="F426" s="25" t="inlineStr"/>
      <c r="G426" s="35">
        <f>IF(OR(B426="",D426=""),"",D426*E426)</f>
        <v/>
      </c>
      <c r="H426" s="35">
        <f>IF(OR(B426="",D426=""),"",D426*VLOOKUP(B426,Inventory!$A$5:$J$104,10,FALSE))</f>
        <v/>
      </c>
      <c r="I426" s="35">
        <f>IF(G426="","",G426-F426-H426)</f>
        <v/>
      </c>
      <c r="J426" s="22" t="inlineStr"/>
    </row>
    <row r="427">
      <c r="A427" s="34" t="inlineStr"/>
      <c r="B427" s="22" t="inlineStr"/>
      <c r="C427" s="22" t="inlineStr"/>
      <c r="D427" s="23" t="inlineStr"/>
      <c r="E427" s="25" t="inlineStr"/>
      <c r="F427" s="25" t="inlineStr"/>
      <c r="G427" s="35">
        <f>IF(OR(B427="",D427=""),"",D427*E427)</f>
        <v/>
      </c>
      <c r="H427" s="35">
        <f>IF(OR(B427="",D427=""),"",D427*VLOOKUP(B427,Inventory!$A$5:$J$104,10,FALSE))</f>
        <v/>
      </c>
      <c r="I427" s="35">
        <f>IF(G427="","",G427-F427-H427)</f>
        <v/>
      </c>
      <c r="J427" s="22" t="inlineStr"/>
    </row>
    <row r="428">
      <c r="A428" s="34" t="inlineStr"/>
      <c r="B428" s="22" t="inlineStr"/>
      <c r="C428" s="22" t="inlineStr"/>
      <c r="D428" s="23" t="inlineStr"/>
      <c r="E428" s="25" t="inlineStr"/>
      <c r="F428" s="25" t="inlineStr"/>
      <c r="G428" s="35">
        <f>IF(OR(B428="",D428=""),"",D428*E428)</f>
        <v/>
      </c>
      <c r="H428" s="35">
        <f>IF(OR(B428="",D428=""),"",D428*VLOOKUP(B428,Inventory!$A$5:$J$104,10,FALSE))</f>
        <v/>
      </c>
      <c r="I428" s="35">
        <f>IF(G428="","",G428-F428-H428)</f>
        <v/>
      </c>
      <c r="J428" s="22" t="inlineStr"/>
    </row>
    <row r="429">
      <c r="A429" s="34" t="inlineStr"/>
      <c r="B429" s="22" t="inlineStr"/>
      <c r="C429" s="22" t="inlineStr"/>
      <c r="D429" s="23" t="inlineStr"/>
      <c r="E429" s="25" t="inlineStr"/>
      <c r="F429" s="25" t="inlineStr"/>
      <c r="G429" s="35">
        <f>IF(OR(B429="",D429=""),"",D429*E429)</f>
        <v/>
      </c>
      <c r="H429" s="35">
        <f>IF(OR(B429="",D429=""),"",D429*VLOOKUP(B429,Inventory!$A$5:$J$104,10,FALSE))</f>
        <v/>
      </c>
      <c r="I429" s="35">
        <f>IF(G429="","",G429-F429-H429)</f>
        <v/>
      </c>
      <c r="J429" s="22" t="inlineStr"/>
    </row>
    <row r="430">
      <c r="A430" s="34" t="inlineStr"/>
      <c r="B430" s="22" t="inlineStr"/>
      <c r="C430" s="22" t="inlineStr"/>
      <c r="D430" s="23" t="inlineStr"/>
      <c r="E430" s="25" t="inlineStr"/>
      <c r="F430" s="25" t="inlineStr"/>
      <c r="G430" s="35">
        <f>IF(OR(B430="",D430=""),"",D430*E430)</f>
        <v/>
      </c>
      <c r="H430" s="35">
        <f>IF(OR(B430="",D430=""),"",D430*VLOOKUP(B430,Inventory!$A$5:$J$104,10,FALSE))</f>
        <v/>
      </c>
      <c r="I430" s="35">
        <f>IF(G430="","",G430-F430-H430)</f>
        <v/>
      </c>
      <c r="J430" s="22" t="inlineStr"/>
    </row>
    <row r="431">
      <c r="A431" s="34" t="inlineStr"/>
      <c r="B431" s="22" t="inlineStr"/>
      <c r="C431" s="22" t="inlineStr"/>
      <c r="D431" s="23" t="inlineStr"/>
      <c r="E431" s="25" t="inlineStr"/>
      <c r="F431" s="25" t="inlineStr"/>
      <c r="G431" s="35">
        <f>IF(OR(B431="",D431=""),"",D431*E431)</f>
        <v/>
      </c>
      <c r="H431" s="35">
        <f>IF(OR(B431="",D431=""),"",D431*VLOOKUP(B431,Inventory!$A$5:$J$104,10,FALSE))</f>
        <v/>
      </c>
      <c r="I431" s="35">
        <f>IF(G431="","",G431-F431-H431)</f>
        <v/>
      </c>
      <c r="J431" s="22" t="inlineStr"/>
    </row>
    <row r="432">
      <c r="A432" s="34" t="inlineStr"/>
      <c r="B432" s="22" t="inlineStr"/>
      <c r="C432" s="22" t="inlineStr"/>
      <c r="D432" s="23" t="inlineStr"/>
      <c r="E432" s="25" t="inlineStr"/>
      <c r="F432" s="25" t="inlineStr"/>
      <c r="G432" s="35">
        <f>IF(OR(B432="",D432=""),"",D432*E432)</f>
        <v/>
      </c>
      <c r="H432" s="35">
        <f>IF(OR(B432="",D432=""),"",D432*VLOOKUP(B432,Inventory!$A$5:$J$104,10,FALSE))</f>
        <v/>
      </c>
      <c r="I432" s="35">
        <f>IF(G432="","",G432-F432-H432)</f>
        <v/>
      </c>
      <c r="J432" s="22" t="inlineStr"/>
    </row>
    <row r="433">
      <c r="A433" s="34" t="inlineStr"/>
      <c r="B433" s="22" t="inlineStr"/>
      <c r="C433" s="22" t="inlineStr"/>
      <c r="D433" s="23" t="inlineStr"/>
      <c r="E433" s="25" t="inlineStr"/>
      <c r="F433" s="25" t="inlineStr"/>
      <c r="G433" s="35">
        <f>IF(OR(B433="",D433=""),"",D433*E433)</f>
        <v/>
      </c>
      <c r="H433" s="35">
        <f>IF(OR(B433="",D433=""),"",D433*VLOOKUP(B433,Inventory!$A$5:$J$104,10,FALSE))</f>
        <v/>
      </c>
      <c r="I433" s="35">
        <f>IF(G433="","",G433-F433-H433)</f>
        <v/>
      </c>
      <c r="J433" s="22" t="inlineStr"/>
    </row>
    <row r="434">
      <c r="A434" s="34" t="inlineStr"/>
      <c r="B434" s="22" t="inlineStr"/>
      <c r="C434" s="22" t="inlineStr"/>
      <c r="D434" s="23" t="inlineStr"/>
      <c r="E434" s="25" t="inlineStr"/>
      <c r="F434" s="25" t="inlineStr"/>
      <c r="G434" s="35">
        <f>IF(OR(B434="",D434=""),"",D434*E434)</f>
        <v/>
      </c>
      <c r="H434" s="35">
        <f>IF(OR(B434="",D434=""),"",D434*VLOOKUP(B434,Inventory!$A$5:$J$104,10,FALSE))</f>
        <v/>
      </c>
      <c r="I434" s="35">
        <f>IF(G434="","",G434-F434-H434)</f>
        <v/>
      </c>
      <c r="J434" s="22" t="inlineStr"/>
    </row>
    <row r="435">
      <c r="A435" s="34" t="inlineStr"/>
      <c r="B435" s="22" t="inlineStr"/>
      <c r="C435" s="22" t="inlineStr"/>
      <c r="D435" s="23" t="inlineStr"/>
      <c r="E435" s="25" t="inlineStr"/>
      <c r="F435" s="25" t="inlineStr"/>
      <c r="G435" s="35">
        <f>IF(OR(B435="",D435=""),"",D435*E435)</f>
        <v/>
      </c>
      <c r="H435" s="35">
        <f>IF(OR(B435="",D435=""),"",D435*VLOOKUP(B435,Inventory!$A$5:$J$104,10,FALSE))</f>
        <v/>
      </c>
      <c r="I435" s="35">
        <f>IF(G435="","",G435-F435-H435)</f>
        <v/>
      </c>
      <c r="J435" s="22" t="inlineStr"/>
    </row>
    <row r="436">
      <c r="A436" s="34" t="inlineStr"/>
      <c r="B436" s="22" t="inlineStr"/>
      <c r="C436" s="22" t="inlineStr"/>
      <c r="D436" s="23" t="inlineStr"/>
      <c r="E436" s="25" t="inlineStr"/>
      <c r="F436" s="25" t="inlineStr"/>
      <c r="G436" s="35">
        <f>IF(OR(B436="",D436=""),"",D436*E436)</f>
        <v/>
      </c>
      <c r="H436" s="35">
        <f>IF(OR(B436="",D436=""),"",D436*VLOOKUP(B436,Inventory!$A$5:$J$104,10,FALSE))</f>
        <v/>
      </c>
      <c r="I436" s="35">
        <f>IF(G436="","",G436-F436-H436)</f>
        <v/>
      </c>
      <c r="J436" s="22" t="inlineStr"/>
    </row>
    <row r="437">
      <c r="A437" s="34" t="inlineStr"/>
      <c r="B437" s="22" t="inlineStr"/>
      <c r="C437" s="22" t="inlineStr"/>
      <c r="D437" s="23" t="inlineStr"/>
      <c r="E437" s="25" t="inlineStr"/>
      <c r="F437" s="25" t="inlineStr"/>
      <c r="G437" s="35">
        <f>IF(OR(B437="",D437=""),"",D437*E437)</f>
        <v/>
      </c>
      <c r="H437" s="35">
        <f>IF(OR(B437="",D437=""),"",D437*VLOOKUP(B437,Inventory!$A$5:$J$104,10,FALSE))</f>
        <v/>
      </c>
      <c r="I437" s="35">
        <f>IF(G437="","",G437-F437-H437)</f>
        <v/>
      </c>
      <c r="J437" s="22" t="inlineStr"/>
    </row>
    <row r="438">
      <c r="A438" s="34" t="inlineStr"/>
      <c r="B438" s="22" t="inlineStr"/>
      <c r="C438" s="22" t="inlineStr"/>
      <c r="D438" s="23" t="inlineStr"/>
      <c r="E438" s="25" t="inlineStr"/>
      <c r="F438" s="25" t="inlineStr"/>
      <c r="G438" s="35">
        <f>IF(OR(B438="",D438=""),"",D438*E438)</f>
        <v/>
      </c>
      <c r="H438" s="35">
        <f>IF(OR(B438="",D438=""),"",D438*VLOOKUP(B438,Inventory!$A$5:$J$104,10,FALSE))</f>
        <v/>
      </c>
      <c r="I438" s="35">
        <f>IF(G438="","",G438-F438-H438)</f>
        <v/>
      </c>
      <c r="J438" s="22" t="inlineStr"/>
    </row>
    <row r="439">
      <c r="A439" s="34" t="inlineStr"/>
      <c r="B439" s="22" t="inlineStr"/>
      <c r="C439" s="22" t="inlineStr"/>
      <c r="D439" s="23" t="inlineStr"/>
      <c r="E439" s="25" t="inlineStr"/>
      <c r="F439" s="25" t="inlineStr"/>
      <c r="G439" s="35">
        <f>IF(OR(B439="",D439=""),"",D439*E439)</f>
        <v/>
      </c>
      <c r="H439" s="35">
        <f>IF(OR(B439="",D439=""),"",D439*VLOOKUP(B439,Inventory!$A$5:$J$104,10,FALSE))</f>
        <v/>
      </c>
      <c r="I439" s="35">
        <f>IF(G439="","",G439-F439-H439)</f>
        <v/>
      </c>
      <c r="J439" s="22" t="inlineStr"/>
    </row>
    <row r="440">
      <c r="A440" s="34" t="inlineStr"/>
      <c r="B440" s="22" t="inlineStr"/>
      <c r="C440" s="22" t="inlineStr"/>
      <c r="D440" s="23" t="inlineStr"/>
      <c r="E440" s="25" t="inlineStr"/>
      <c r="F440" s="25" t="inlineStr"/>
      <c r="G440" s="35">
        <f>IF(OR(B440="",D440=""),"",D440*E440)</f>
        <v/>
      </c>
      <c r="H440" s="35">
        <f>IF(OR(B440="",D440=""),"",D440*VLOOKUP(B440,Inventory!$A$5:$J$104,10,FALSE))</f>
        <v/>
      </c>
      <c r="I440" s="35">
        <f>IF(G440="","",G440-F440-H440)</f>
        <v/>
      </c>
      <c r="J440" s="22" t="inlineStr"/>
    </row>
    <row r="441">
      <c r="A441" s="34" t="inlineStr"/>
      <c r="B441" s="22" t="inlineStr"/>
      <c r="C441" s="22" t="inlineStr"/>
      <c r="D441" s="23" t="inlineStr"/>
      <c r="E441" s="25" t="inlineStr"/>
      <c r="F441" s="25" t="inlineStr"/>
      <c r="G441" s="35">
        <f>IF(OR(B441="",D441=""),"",D441*E441)</f>
        <v/>
      </c>
      <c r="H441" s="35">
        <f>IF(OR(B441="",D441=""),"",D441*VLOOKUP(B441,Inventory!$A$5:$J$104,10,FALSE))</f>
        <v/>
      </c>
      <c r="I441" s="35">
        <f>IF(G441="","",G441-F441-H441)</f>
        <v/>
      </c>
      <c r="J441" s="22" t="inlineStr"/>
    </row>
    <row r="442">
      <c r="A442" s="34" t="inlineStr"/>
      <c r="B442" s="22" t="inlineStr"/>
      <c r="C442" s="22" t="inlineStr"/>
      <c r="D442" s="23" t="inlineStr"/>
      <c r="E442" s="25" t="inlineStr"/>
      <c r="F442" s="25" t="inlineStr"/>
      <c r="G442" s="35">
        <f>IF(OR(B442="",D442=""),"",D442*E442)</f>
        <v/>
      </c>
      <c r="H442" s="35">
        <f>IF(OR(B442="",D442=""),"",D442*VLOOKUP(B442,Inventory!$A$5:$J$104,10,FALSE))</f>
        <v/>
      </c>
      <c r="I442" s="35">
        <f>IF(G442="","",G442-F442-H442)</f>
        <v/>
      </c>
      <c r="J442" s="22" t="inlineStr"/>
    </row>
    <row r="443">
      <c r="A443" s="34" t="inlineStr"/>
      <c r="B443" s="22" t="inlineStr"/>
      <c r="C443" s="22" t="inlineStr"/>
      <c r="D443" s="23" t="inlineStr"/>
      <c r="E443" s="25" t="inlineStr"/>
      <c r="F443" s="25" t="inlineStr"/>
      <c r="G443" s="35">
        <f>IF(OR(B443="",D443=""),"",D443*E443)</f>
        <v/>
      </c>
      <c r="H443" s="35">
        <f>IF(OR(B443="",D443=""),"",D443*VLOOKUP(B443,Inventory!$A$5:$J$104,10,FALSE))</f>
        <v/>
      </c>
      <c r="I443" s="35">
        <f>IF(G443="","",G443-F443-H443)</f>
        <v/>
      </c>
      <c r="J443" s="22" t="inlineStr"/>
    </row>
    <row r="444">
      <c r="A444" s="34" t="inlineStr"/>
      <c r="B444" s="22" t="inlineStr"/>
      <c r="C444" s="22" t="inlineStr"/>
      <c r="D444" s="23" t="inlineStr"/>
      <c r="E444" s="25" t="inlineStr"/>
      <c r="F444" s="25" t="inlineStr"/>
      <c r="G444" s="35">
        <f>IF(OR(B444="",D444=""),"",D444*E444)</f>
        <v/>
      </c>
      <c r="H444" s="35">
        <f>IF(OR(B444="",D444=""),"",D444*VLOOKUP(B444,Inventory!$A$5:$J$104,10,FALSE))</f>
        <v/>
      </c>
      <c r="I444" s="35">
        <f>IF(G444="","",G444-F444-H444)</f>
        <v/>
      </c>
      <c r="J444" s="22" t="inlineStr"/>
    </row>
    <row r="445">
      <c r="A445" s="34" t="inlineStr"/>
      <c r="B445" s="22" t="inlineStr"/>
      <c r="C445" s="22" t="inlineStr"/>
      <c r="D445" s="23" t="inlineStr"/>
      <c r="E445" s="25" t="inlineStr"/>
      <c r="F445" s="25" t="inlineStr"/>
      <c r="G445" s="35">
        <f>IF(OR(B445="",D445=""),"",D445*E445)</f>
        <v/>
      </c>
      <c r="H445" s="35">
        <f>IF(OR(B445="",D445=""),"",D445*VLOOKUP(B445,Inventory!$A$5:$J$104,10,FALSE))</f>
        <v/>
      </c>
      <c r="I445" s="35">
        <f>IF(G445="","",G445-F445-H445)</f>
        <v/>
      </c>
      <c r="J445" s="22" t="inlineStr"/>
    </row>
    <row r="446">
      <c r="A446" s="34" t="inlineStr"/>
      <c r="B446" s="22" t="inlineStr"/>
      <c r="C446" s="22" t="inlineStr"/>
      <c r="D446" s="23" t="inlineStr"/>
      <c r="E446" s="25" t="inlineStr"/>
      <c r="F446" s="25" t="inlineStr"/>
      <c r="G446" s="35">
        <f>IF(OR(B446="",D446=""),"",D446*E446)</f>
        <v/>
      </c>
      <c r="H446" s="35">
        <f>IF(OR(B446="",D446=""),"",D446*VLOOKUP(B446,Inventory!$A$5:$J$104,10,FALSE))</f>
        <v/>
      </c>
      <c r="I446" s="35">
        <f>IF(G446="","",G446-F446-H446)</f>
        <v/>
      </c>
      <c r="J446" s="22" t="inlineStr"/>
    </row>
    <row r="447">
      <c r="A447" s="34" t="inlineStr"/>
      <c r="B447" s="22" t="inlineStr"/>
      <c r="C447" s="22" t="inlineStr"/>
      <c r="D447" s="23" t="inlineStr"/>
      <c r="E447" s="25" t="inlineStr"/>
      <c r="F447" s="25" t="inlineStr"/>
      <c r="G447" s="35">
        <f>IF(OR(B447="",D447=""),"",D447*E447)</f>
        <v/>
      </c>
      <c r="H447" s="35">
        <f>IF(OR(B447="",D447=""),"",D447*VLOOKUP(B447,Inventory!$A$5:$J$104,10,FALSE))</f>
        <v/>
      </c>
      <c r="I447" s="35">
        <f>IF(G447="","",G447-F447-H447)</f>
        <v/>
      </c>
      <c r="J447" s="22" t="inlineStr"/>
    </row>
    <row r="448">
      <c r="A448" s="34" t="inlineStr"/>
      <c r="B448" s="22" t="inlineStr"/>
      <c r="C448" s="22" t="inlineStr"/>
      <c r="D448" s="23" t="inlineStr"/>
      <c r="E448" s="25" t="inlineStr"/>
      <c r="F448" s="25" t="inlineStr"/>
      <c r="G448" s="35">
        <f>IF(OR(B448="",D448=""),"",D448*E448)</f>
        <v/>
      </c>
      <c r="H448" s="35">
        <f>IF(OR(B448="",D448=""),"",D448*VLOOKUP(B448,Inventory!$A$5:$J$104,10,FALSE))</f>
        <v/>
      </c>
      <c r="I448" s="35">
        <f>IF(G448="","",G448-F448-H448)</f>
        <v/>
      </c>
      <c r="J448" s="22" t="inlineStr"/>
    </row>
    <row r="449">
      <c r="A449" s="34" t="inlineStr"/>
      <c r="B449" s="22" t="inlineStr"/>
      <c r="C449" s="22" t="inlineStr"/>
      <c r="D449" s="23" t="inlineStr"/>
      <c r="E449" s="25" t="inlineStr"/>
      <c r="F449" s="25" t="inlineStr"/>
      <c r="G449" s="35">
        <f>IF(OR(B449="",D449=""),"",D449*E449)</f>
        <v/>
      </c>
      <c r="H449" s="35">
        <f>IF(OR(B449="",D449=""),"",D449*VLOOKUP(B449,Inventory!$A$5:$J$104,10,FALSE))</f>
        <v/>
      </c>
      <c r="I449" s="35">
        <f>IF(G449="","",G449-F449-H449)</f>
        <v/>
      </c>
      <c r="J449" s="22" t="inlineStr"/>
    </row>
    <row r="450">
      <c r="A450" s="34" t="inlineStr"/>
      <c r="B450" s="22" t="inlineStr"/>
      <c r="C450" s="22" t="inlineStr"/>
      <c r="D450" s="23" t="inlineStr"/>
      <c r="E450" s="25" t="inlineStr"/>
      <c r="F450" s="25" t="inlineStr"/>
      <c r="G450" s="35">
        <f>IF(OR(B450="",D450=""),"",D450*E450)</f>
        <v/>
      </c>
      <c r="H450" s="35">
        <f>IF(OR(B450="",D450=""),"",D450*VLOOKUP(B450,Inventory!$A$5:$J$104,10,FALSE))</f>
        <v/>
      </c>
      <c r="I450" s="35">
        <f>IF(G450="","",G450-F450-H450)</f>
        <v/>
      </c>
      <c r="J450" s="22" t="inlineStr"/>
    </row>
    <row r="451">
      <c r="A451" s="34" t="inlineStr"/>
      <c r="B451" s="22" t="inlineStr"/>
      <c r="C451" s="22" t="inlineStr"/>
      <c r="D451" s="23" t="inlineStr"/>
      <c r="E451" s="25" t="inlineStr"/>
      <c r="F451" s="25" t="inlineStr"/>
      <c r="G451" s="35">
        <f>IF(OR(B451="",D451=""),"",D451*E451)</f>
        <v/>
      </c>
      <c r="H451" s="35">
        <f>IF(OR(B451="",D451=""),"",D451*VLOOKUP(B451,Inventory!$A$5:$J$104,10,FALSE))</f>
        <v/>
      </c>
      <c r="I451" s="35">
        <f>IF(G451="","",G451-F451-H451)</f>
        <v/>
      </c>
      <c r="J451" s="22" t="inlineStr"/>
    </row>
    <row r="452">
      <c r="A452" s="34" t="inlineStr"/>
      <c r="B452" s="22" t="inlineStr"/>
      <c r="C452" s="22" t="inlineStr"/>
      <c r="D452" s="23" t="inlineStr"/>
      <c r="E452" s="25" t="inlineStr"/>
      <c r="F452" s="25" t="inlineStr"/>
      <c r="G452" s="35">
        <f>IF(OR(B452="",D452=""),"",D452*E452)</f>
        <v/>
      </c>
      <c r="H452" s="35">
        <f>IF(OR(B452="",D452=""),"",D452*VLOOKUP(B452,Inventory!$A$5:$J$104,10,FALSE))</f>
        <v/>
      </c>
      <c r="I452" s="35">
        <f>IF(G452="","",G452-F452-H452)</f>
        <v/>
      </c>
      <c r="J452" s="22" t="inlineStr"/>
    </row>
    <row r="453">
      <c r="A453" s="34" t="inlineStr"/>
      <c r="B453" s="22" t="inlineStr"/>
      <c r="C453" s="22" t="inlineStr"/>
      <c r="D453" s="23" t="inlineStr"/>
      <c r="E453" s="25" t="inlineStr"/>
      <c r="F453" s="25" t="inlineStr"/>
      <c r="G453" s="35">
        <f>IF(OR(B453="",D453=""),"",D453*E453)</f>
        <v/>
      </c>
      <c r="H453" s="35">
        <f>IF(OR(B453="",D453=""),"",D453*VLOOKUP(B453,Inventory!$A$5:$J$104,10,FALSE))</f>
        <v/>
      </c>
      <c r="I453" s="35">
        <f>IF(G453="","",G453-F453-H453)</f>
        <v/>
      </c>
      <c r="J453" s="22" t="inlineStr"/>
    </row>
    <row r="454">
      <c r="A454" s="34" t="inlineStr"/>
      <c r="B454" s="22" t="inlineStr"/>
      <c r="C454" s="22" t="inlineStr"/>
      <c r="D454" s="23" t="inlineStr"/>
      <c r="E454" s="25" t="inlineStr"/>
      <c r="F454" s="25" t="inlineStr"/>
      <c r="G454" s="35">
        <f>IF(OR(B454="",D454=""),"",D454*E454)</f>
        <v/>
      </c>
      <c r="H454" s="35">
        <f>IF(OR(B454="",D454=""),"",D454*VLOOKUP(B454,Inventory!$A$5:$J$104,10,FALSE))</f>
        <v/>
      </c>
      <c r="I454" s="35">
        <f>IF(G454="","",G454-F454-H454)</f>
        <v/>
      </c>
      <c r="J454" s="22" t="inlineStr"/>
    </row>
    <row r="455">
      <c r="A455" s="34" t="inlineStr"/>
      <c r="B455" s="22" t="inlineStr"/>
      <c r="C455" s="22" t="inlineStr"/>
      <c r="D455" s="23" t="inlineStr"/>
      <c r="E455" s="25" t="inlineStr"/>
      <c r="F455" s="25" t="inlineStr"/>
      <c r="G455" s="35">
        <f>IF(OR(B455="",D455=""),"",D455*E455)</f>
        <v/>
      </c>
      <c r="H455" s="35">
        <f>IF(OR(B455="",D455=""),"",D455*VLOOKUP(B455,Inventory!$A$5:$J$104,10,FALSE))</f>
        <v/>
      </c>
      <c r="I455" s="35">
        <f>IF(G455="","",G455-F455-H455)</f>
        <v/>
      </c>
      <c r="J455" s="22" t="inlineStr"/>
    </row>
    <row r="456">
      <c r="A456" s="34" t="inlineStr"/>
      <c r="B456" s="22" t="inlineStr"/>
      <c r="C456" s="22" t="inlineStr"/>
      <c r="D456" s="23" t="inlineStr"/>
      <c r="E456" s="25" t="inlineStr"/>
      <c r="F456" s="25" t="inlineStr"/>
      <c r="G456" s="35">
        <f>IF(OR(B456="",D456=""),"",D456*E456)</f>
        <v/>
      </c>
      <c r="H456" s="35">
        <f>IF(OR(B456="",D456=""),"",D456*VLOOKUP(B456,Inventory!$A$5:$J$104,10,FALSE))</f>
        <v/>
      </c>
      <c r="I456" s="35">
        <f>IF(G456="","",G456-F456-H456)</f>
        <v/>
      </c>
      <c r="J456" s="22" t="inlineStr"/>
    </row>
    <row r="457">
      <c r="A457" s="34" t="inlineStr"/>
      <c r="B457" s="22" t="inlineStr"/>
      <c r="C457" s="22" t="inlineStr"/>
      <c r="D457" s="23" t="inlineStr"/>
      <c r="E457" s="25" t="inlineStr"/>
      <c r="F457" s="25" t="inlineStr"/>
      <c r="G457" s="35">
        <f>IF(OR(B457="",D457=""),"",D457*E457)</f>
        <v/>
      </c>
      <c r="H457" s="35">
        <f>IF(OR(B457="",D457=""),"",D457*VLOOKUP(B457,Inventory!$A$5:$J$104,10,FALSE))</f>
        <v/>
      </c>
      <c r="I457" s="35">
        <f>IF(G457="","",G457-F457-H457)</f>
        <v/>
      </c>
      <c r="J457" s="22" t="inlineStr"/>
    </row>
    <row r="458">
      <c r="A458" s="34" t="inlineStr"/>
      <c r="B458" s="22" t="inlineStr"/>
      <c r="C458" s="22" t="inlineStr"/>
      <c r="D458" s="23" t="inlineStr"/>
      <c r="E458" s="25" t="inlineStr"/>
      <c r="F458" s="25" t="inlineStr"/>
      <c r="G458" s="35">
        <f>IF(OR(B458="",D458=""),"",D458*E458)</f>
        <v/>
      </c>
      <c r="H458" s="35">
        <f>IF(OR(B458="",D458=""),"",D458*VLOOKUP(B458,Inventory!$A$5:$J$104,10,FALSE))</f>
        <v/>
      </c>
      <c r="I458" s="35">
        <f>IF(G458="","",G458-F458-H458)</f>
        <v/>
      </c>
      <c r="J458" s="22" t="inlineStr"/>
    </row>
    <row r="459">
      <c r="A459" s="34" t="inlineStr"/>
      <c r="B459" s="22" t="inlineStr"/>
      <c r="C459" s="22" t="inlineStr"/>
      <c r="D459" s="23" t="inlineStr"/>
      <c r="E459" s="25" t="inlineStr"/>
      <c r="F459" s="25" t="inlineStr"/>
      <c r="G459" s="35">
        <f>IF(OR(B459="",D459=""),"",D459*E459)</f>
        <v/>
      </c>
      <c r="H459" s="35">
        <f>IF(OR(B459="",D459=""),"",D459*VLOOKUP(B459,Inventory!$A$5:$J$104,10,FALSE))</f>
        <v/>
      </c>
      <c r="I459" s="35">
        <f>IF(G459="","",G459-F459-H459)</f>
        <v/>
      </c>
      <c r="J459" s="22" t="inlineStr"/>
    </row>
    <row r="460">
      <c r="A460" s="34" t="inlineStr"/>
      <c r="B460" s="22" t="inlineStr"/>
      <c r="C460" s="22" t="inlineStr"/>
      <c r="D460" s="23" t="inlineStr"/>
      <c r="E460" s="25" t="inlineStr"/>
      <c r="F460" s="25" t="inlineStr"/>
      <c r="G460" s="35">
        <f>IF(OR(B460="",D460=""),"",D460*E460)</f>
        <v/>
      </c>
      <c r="H460" s="35">
        <f>IF(OR(B460="",D460=""),"",D460*VLOOKUP(B460,Inventory!$A$5:$J$104,10,FALSE))</f>
        <v/>
      </c>
      <c r="I460" s="35">
        <f>IF(G460="","",G460-F460-H460)</f>
        <v/>
      </c>
      <c r="J460" s="22" t="inlineStr"/>
    </row>
    <row r="461">
      <c r="A461" s="34" t="inlineStr"/>
      <c r="B461" s="22" t="inlineStr"/>
      <c r="C461" s="22" t="inlineStr"/>
      <c r="D461" s="23" t="inlineStr"/>
      <c r="E461" s="25" t="inlineStr"/>
      <c r="F461" s="25" t="inlineStr"/>
      <c r="G461" s="35">
        <f>IF(OR(B461="",D461=""),"",D461*E461)</f>
        <v/>
      </c>
      <c r="H461" s="35">
        <f>IF(OR(B461="",D461=""),"",D461*VLOOKUP(B461,Inventory!$A$5:$J$104,10,FALSE))</f>
        <v/>
      </c>
      <c r="I461" s="35">
        <f>IF(G461="","",G461-F461-H461)</f>
        <v/>
      </c>
      <c r="J461" s="22" t="inlineStr"/>
    </row>
    <row r="462">
      <c r="A462" s="34" t="inlineStr"/>
      <c r="B462" s="22" t="inlineStr"/>
      <c r="C462" s="22" t="inlineStr"/>
      <c r="D462" s="23" t="inlineStr"/>
      <c r="E462" s="25" t="inlineStr"/>
      <c r="F462" s="25" t="inlineStr"/>
      <c r="G462" s="35">
        <f>IF(OR(B462="",D462=""),"",D462*E462)</f>
        <v/>
      </c>
      <c r="H462" s="35">
        <f>IF(OR(B462="",D462=""),"",D462*VLOOKUP(B462,Inventory!$A$5:$J$104,10,FALSE))</f>
        <v/>
      </c>
      <c r="I462" s="35">
        <f>IF(G462="","",G462-F462-H462)</f>
        <v/>
      </c>
      <c r="J462" s="22" t="inlineStr"/>
    </row>
    <row r="463">
      <c r="A463" s="34" t="inlineStr"/>
      <c r="B463" s="22" t="inlineStr"/>
      <c r="C463" s="22" t="inlineStr"/>
      <c r="D463" s="23" t="inlineStr"/>
      <c r="E463" s="25" t="inlineStr"/>
      <c r="F463" s="25" t="inlineStr"/>
      <c r="G463" s="35">
        <f>IF(OR(B463="",D463=""),"",D463*E463)</f>
        <v/>
      </c>
      <c r="H463" s="35">
        <f>IF(OR(B463="",D463=""),"",D463*VLOOKUP(B463,Inventory!$A$5:$J$104,10,FALSE))</f>
        <v/>
      </c>
      <c r="I463" s="35">
        <f>IF(G463="","",G463-F463-H463)</f>
        <v/>
      </c>
      <c r="J463" s="22" t="inlineStr"/>
    </row>
    <row r="464">
      <c r="A464" s="34" t="inlineStr"/>
      <c r="B464" s="22" t="inlineStr"/>
      <c r="C464" s="22" t="inlineStr"/>
      <c r="D464" s="23" t="inlineStr"/>
      <c r="E464" s="25" t="inlineStr"/>
      <c r="F464" s="25" t="inlineStr"/>
      <c r="G464" s="35">
        <f>IF(OR(B464="",D464=""),"",D464*E464)</f>
        <v/>
      </c>
      <c r="H464" s="35">
        <f>IF(OR(B464="",D464=""),"",D464*VLOOKUP(B464,Inventory!$A$5:$J$104,10,FALSE))</f>
        <v/>
      </c>
      <c r="I464" s="35">
        <f>IF(G464="","",G464-F464-H464)</f>
        <v/>
      </c>
      <c r="J464" s="22" t="inlineStr"/>
    </row>
    <row r="465">
      <c r="A465" s="34" t="inlineStr"/>
      <c r="B465" s="22" t="inlineStr"/>
      <c r="C465" s="22" t="inlineStr"/>
      <c r="D465" s="23" t="inlineStr"/>
      <c r="E465" s="25" t="inlineStr"/>
      <c r="F465" s="25" t="inlineStr"/>
      <c r="G465" s="35">
        <f>IF(OR(B465="",D465=""),"",D465*E465)</f>
        <v/>
      </c>
      <c r="H465" s="35">
        <f>IF(OR(B465="",D465=""),"",D465*VLOOKUP(B465,Inventory!$A$5:$J$104,10,FALSE))</f>
        <v/>
      </c>
      <c r="I465" s="35">
        <f>IF(G465="","",G465-F465-H465)</f>
        <v/>
      </c>
      <c r="J465" s="22" t="inlineStr"/>
    </row>
    <row r="466">
      <c r="A466" s="34" t="inlineStr"/>
      <c r="B466" s="22" t="inlineStr"/>
      <c r="C466" s="22" t="inlineStr"/>
      <c r="D466" s="23" t="inlineStr"/>
      <c r="E466" s="25" t="inlineStr"/>
      <c r="F466" s="25" t="inlineStr"/>
      <c r="G466" s="35">
        <f>IF(OR(B466="",D466=""),"",D466*E466)</f>
        <v/>
      </c>
      <c r="H466" s="35">
        <f>IF(OR(B466="",D466=""),"",D466*VLOOKUP(B466,Inventory!$A$5:$J$104,10,FALSE))</f>
        <v/>
      </c>
      <c r="I466" s="35">
        <f>IF(G466="","",G466-F466-H466)</f>
        <v/>
      </c>
      <c r="J466" s="22" t="inlineStr"/>
    </row>
    <row r="467">
      <c r="A467" s="34" t="inlineStr"/>
      <c r="B467" s="22" t="inlineStr"/>
      <c r="C467" s="22" t="inlineStr"/>
      <c r="D467" s="23" t="inlineStr"/>
      <c r="E467" s="25" t="inlineStr"/>
      <c r="F467" s="25" t="inlineStr"/>
      <c r="G467" s="35">
        <f>IF(OR(B467="",D467=""),"",D467*E467)</f>
        <v/>
      </c>
      <c r="H467" s="35">
        <f>IF(OR(B467="",D467=""),"",D467*VLOOKUP(B467,Inventory!$A$5:$J$104,10,FALSE))</f>
        <v/>
      </c>
      <c r="I467" s="35">
        <f>IF(G467="","",G467-F467-H467)</f>
        <v/>
      </c>
      <c r="J467" s="22" t="inlineStr"/>
    </row>
    <row r="468">
      <c r="A468" s="34" t="inlineStr"/>
      <c r="B468" s="22" t="inlineStr"/>
      <c r="C468" s="22" t="inlineStr"/>
      <c r="D468" s="23" t="inlineStr"/>
      <c r="E468" s="25" t="inlineStr"/>
      <c r="F468" s="25" t="inlineStr"/>
      <c r="G468" s="35">
        <f>IF(OR(B468="",D468=""),"",D468*E468)</f>
        <v/>
      </c>
      <c r="H468" s="35">
        <f>IF(OR(B468="",D468=""),"",D468*VLOOKUP(B468,Inventory!$A$5:$J$104,10,FALSE))</f>
        <v/>
      </c>
      <c r="I468" s="35">
        <f>IF(G468="","",G468-F468-H468)</f>
        <v/>
      </c>
      <c r="J468" s="22" t="inlineStr"/>
    </row>
    <row r="469">
      <c r="A469" s="34" t="inlineStr"/>
      <c r="B469" s="22" t="inlineStr"/>
      <c r="C469" s="22" t="inlineStr"/>
      <c r="D469" s="23" t="inlineStr"/>
      <c r="E469" s="25" t="inlineStr"/>
      <c r="F469" s="25" t="inlineStr"/>
      <c r="G469" s="35">
        <f>IF(OR(B469="",D469=""),"",D469*E469)</f>
        <v/>
      </c>
      <c r="H469" s="35">
        <f>IF(OR(B469="",D469=""),"",D469*VLOOKUP(B469,Inventory!$A$5:$J$104,10,FALSE))</f>
        <v/>
      </c>
      <c r="I469" s="35">
        <f>IF(G469="","",G469-F469-H469)</f>
        <v/>
      </c>
      <c r="J469" s="22" t="inlineStr"/>
    </row>
    <row r="470">
      <c r="A470" s="34" t="inlineStr"/>
      <c r="B470" s="22" t="inlineStr"/>
      <c r="C470" s="22" t="inlineStr"/>
      <c r="D470" s="23" t="inlineStr"/>
      <c r="E470" s="25" t="inlineStr"/>
      <c r="F470" s="25" t="inlineStr"/>
      <c r="G470" s="35">
        <f>IF(OR(B470="",D470=""),"",D470*E470)</f>
        <v/>
      </c>
      <c r="H470" s="35">
        <f>IF(OR(B470="",D470=""),"",D470*VLOOKUP(B470,Inventory!$A$5:$J$104,10,FALSE))</f>
        <v/>
      </c>
      <c r="I470" s="35">
        <f>IF(G470="","",G470-F470-H470)</f>
        <v/>
      </c>
      <c r="J470" s="22" t="inlineStr"/>
    </row>
    <row r="471">
      <c r="A471" s="34" t="inlineStr"/>
      <c r="B471" s="22" t="inlineStr"/>
      <c r="C471" s="22" t="inlineStr"/>
      <c r="D471" s="23" t="inlineStr"/>
      <c r="E471" s="25" t="inlineStr"/>
      <c r="F471" s="25" t="inlineStr"/>
      <c r="G471" s="35">
        <f>IF(OR(B471="",D471=""),"",D471*E471)</f>
        <v/>
      </c>
      <c r="H471" s="35">
        <f>IF(OR(B471="",D471=""),"",D471*VLOOKUP(B471,Inventory!$A$5:$J$104,10,FALSE))</f>
        <v/>
      </c>
      <c r="I471" s="35">
        <f>IF(G471="","",G471-F471-H471)</f>
        <v/>
      </c>
      <c r="J471" s="22" t="inlineStr"/>
    </row>
    <row r="472">
      <c r="A472" s="34" t="inlineStr"/>
      <c r="B472" s="22" t="inlineStr"/>
      <c r="C472" s="22" t="inlineStr"/>
      <c r="D472" s="23" t="inlineStr"/>
      <c r="E472" s="25" t="inlineStr"/>
      <c r="F472" s="25" t="inlineStr"/>
      <c r="G472" s="35">
        <f>IF(OR(B472="",D472=""),"",D472*E472)</f>
        <v/>
      </c>
      <c r="H472" s="35">
        <f>IF(OR(B472="",D472=""),"",D472*VLOOKUP(B472,Inventory!$A$5:$J$104,10,FALSE))</f>
        <v/>
      </c>
      <c r="I472" s="35">
        <f>IF(G472="","",G472-F472-H472)</f>
        <v/>
      </c>
      <c r="J472" s="22" t="inlineStr"/>
    </row>
    <row r="473">
      <c r="A473" s="34" t="inlineStr"/>
      <c r="B473" s="22" t="inlineStr"/>
      <c r="C473" s="22" t="inlineStr"/>
      <c r="D473" s="23" t="inlineStr"/>
      <c r="E473" s="25" t="inlineStr"/>
      <c r="F473" s="25" t="inlineStr"/>
      <c r="G473" s="35">
        <f>IF(OR(B473="",D473=""),"",D473*E473)</f>
        <v/>
      </c>
      <c r="H473" s="35">
        <f>IF(OR(B473="",D473=""),"",D473*VLOOKUP(B473,Inventory!$A$5:$J$104,10,FALSE))</f>
        <v/>
      </c>
      <c r="I473" s="35">
        <f>IF(G473="","",G473-F473-H473)</f>
        <v/>
      </c>
      <c r="J473" s="22" t="inlineStr"/>
    </row>
    <row r="474">
      <c r="A474" s="34" t="inlineStr"/>
      <c r="B474" s="22" t="inlineStr"/>
      <c r="C474" s="22" t="inlineStr"/>
      <c r="D474" s="23" t="inlineStr"/>
      <c r="E474" s="25" t="inlineStr"/>
      <c r="F474" s="25" t="inlineStr"/>
      <c r="G474" s="35">
        <f>IF(OR(B474="",D474=""),"",D474*E474)</f>
        <v/>
      </c>
      <c r="H474" s="35">
        <f>IF(OR(B474="",D474=""),"",D474*VLOOKUP(B474,Inventory!$A$5:$J$104,10,FALSE))</f>
        <v/>
      </c>
      <c r="I474" s="35">
        <f>IF(G474="","",G474-F474-H474)</f>
        <v/>
      </c>
      <c r="J474" s="22" t="inlineStr"/>
    </row>
    <row r="475">
      <c r="A475" s="34" t="inlineStr"/>
      <c r="B475" s="22" t="inlineStr"/>
      <c r="C475" s="22" t="inlineStr"/>
      <c r="D475" s="23" t="inlineStr"/>
      <c r="E475" s="25" t="inlineStr"/>
      <c r="F475" s="25" t="inlineStr"/>
      <c r="G475" s="35">
        <f>IF(OR(B475="",D475=""),"",D475*E475)</f>
        <v/>
      </c>
      <c r="H475" s="35">
        <f>IF(OR(B475="",D475=""),"",D475*VLOOKUP(B475,Inventory!$A$5:$J$104,10,FALSE))</f>
        <v/>
      </c>
      <c r="I475" s="35">
        <f>IF(G475="","",G475-F475-H475)</f>
        <v/>
      </c>
      <c r="J475" s="22" t="inlineStr"/>
    </row>
    <row r="476">
      <c r="A476" s="34" t="inlineStr"/>
      <c r="B476" s="22" t="inlineStr"/>
      <c r="C476" s="22" t="inlineStr"/>
      <c r="D476" s="23" t="inlineStr"/>
      <c r="E476" s="25" t="inlineStr"/>
      <c r="F476" s="25" t="inlineStr"/>
      <c r="G476" s="35">
        <f>IF(OR(B476="",D476=""),"",D476*E476)</f>
        <v/>
      </c>
      <c r="H476" s="35">
        <f>IF(OR(B476="",D476=""),"",D476*VLOOKUP(B476,Inventory!$A$5:$J$104,10,FALSE))</f>
        <v/>
      </c>
      <c r="I476" s="35">
        <f>IF(G476="","",G476-F476-H476)</f>
        <v/>
      </c>
      <c r="J476" s="22" t="inlineStr"/>
    </row>
    <row r="477">
      <c r="A477" s="34" t="inlineStr"/>
      <c r="B477" s="22" t="inlineStr"/>
      <c r="C477" s="22" t="inlineStr"/>
      <c r="D477" s="23" t="inlineStr"/>
      <c r="E477" s="25" t="inlineStr"/>
      <c r="F477" s="25" t="inlineStr"/>
      <c r="G477" s="35">
        <f>IF(OR(B477="",D477=""),"",D477*E477)</f>
        <v/>
      </c>
      <c r="H477" s="35">
        <f>IF(OR(B477="",D477=""),"",D477*VLOOKUP(B477,Inventory!$A$5:$J$104,10,FALSE))</f>
        <v/>
      </c>
      <c r="I477" s="35">
        <f>IF(G477="","",G477-F477-H477)</f>
        <v/>
      </c>
      <c r="J477" s="22" t="inlineStr"/>
    </row>
    <row r="478">
      <c r="A478" s="34" t="inlineStr"/>
      <c r="B478" s="22" t="inlineStr"/>
      <c r="C478" s="22" t="inlineStr"/>
      <c r="D478" s="23" t="inlineStr"/>
      <c r="E478" s="25" t="inlineStr"/>
      <c r="F478" s="25" t="inlineStr"/>
      <c r="G478" s="35">
        <f>IF(OR(B478="",D478=""),"",D478*E478)</f>
        <v/>
      </c>
      <c r="H478" s="35">
        <f>IF(OR(B478="",D478=""),"",D478*VLOOKUP(B478,Inventory!$A$5:$J$104,10,FALSE))</f>
        <v/>
      </c>
      <c r="I478" s="35">
        <f>IF(G478="","",G478-F478-H478)</f>
        <v/>
      </c>
      <c r="J478" s="22" t="inlineStr"/>
    </row>
    <row r="479">
      <c r="A479" s="34" t="inlineStr"/>
      <c r="B479" s="22" t="inlineStr"/>
      <c r="C479" s="22" t="inlineStr"/>
      <c r="D479" s="23" t="inlineStr"/>
      <c r="E479" s="25" t="inlineStr"/>
      <c r="F479" s="25" t="inlineStr"/>
      <c r="G479" s="35">
        <f>IF(OR(B479="",D479=""),"",D479*E479)</f>
        <v/>
      </c>
      <c r="H479" s="35">
        <f>IF(OR(B479="",D479=""),"",D479*VLOOKUP(B479,Inventory!$A$5:$J$104,10,FALSE))</f>
        <v/>
      </c>
      <c r="I479" s="35">
        <f>IF(G479="","",G479-F479-H479)</f>
        <v/>
      </c>
      <c r="J479" s="22" t="inlineStr"/>
    </row>
    <row r="480">
      <c r="A480" s="34" t="inlineStr"/>
      <c r="B480" s="22" t="inlineStr"/>
      <c r="C480" s="22" t="inlineStr"/>
      <c r="D480" s="23" t="inlineStr"/>
      <c r="E480" s="25" t="inlineStr"/>
      <c r="F480" s="25" t="inlineStr"/>
      <c r="G480" s="35">
        <f>IF(OR(B480="",D480=""),"",D480*E480)</f>
        <v/>
      </c>
      <c r="H480" s="35">
        <f>IF(OR(B480="",D480=""),"",D480*VLOOKUP(B480,Inventory!$A$5:$J$104,10,FALSE))</f>
        <v/>
      </c>
      <c r="I480" s="35">
        <f>IF(G480="","",G480-F480-H480)</f>
        <v/>
      </c>
      <c r="J480" s="22" t="inlineStr"/>
    </row>
    <row r="481">
      <c r="A481" s="34" t="inlineStr"/>
      <c r="B481" s="22" t="inlineStr"/>
      <c r="C481" s="22" t="inlineStr"/>
      <c r="D481" s="23" t="inlineStr"/>
      <c r="E481" s="25" t="inlineStr"/>
      <c r="F481" s="25" t="inlineStr"/>
      <c r="G481" s="35">
        <f>IF(OR(B481="",D481=""),"",D481*E481)</f>
        <v/>
      </c>
      <c r="H481" s="35">
        <f>IF(OR(B481="",D481=""),"",D481*VLOOKUP(B481,Inventory!$A$5:$J$104,10,FALSE))</f>
        <v/>
      </c>
      <c r="I481" s="35">
        <f>IF(G481="","",G481-F481-H481)</f>
        <v/>
      </c>
      <c r="J481" s="22" t="inlineStr"/>
    </row>
    <row r="482">
      <c r="A482" s="34" t="inlineStr"/>
      <c r="B482" s="22" t="inlineStr"/>
      <c r="C482" s="22" t="inlineStr"/>
      <c r="D482" s="23" t="inlineStr"/>
      <c r="E482" s="25" t="inlineStr"/>
      <c r="F482" s="25" t="inlineStr"/>
      <c r="G482" s="35">
        <f>IF(OR(B482="",D482=""),"",D482*E482)</f>
        <v/>
      </c>
      <c r="H482" s="35">
        <f>IF(OR(B482="",D482=""),"",D482*VLOOKUP(B482,Inventory!$A$5:$J$104,10,FALSE))</f>
        <v/>
      </c>
      <c r="I482" s="35">
        <f>IF(G482="","",G482-F482-H482)</f>
        <v/>
      </c>
      <c r="J482" s="22" t="inlineStr"/>
    </row>
    <row r="483">
      <c r="A483" s="34" t="inlineStr"/>
      <c r="B483" s="22" t="inlineStr"/>
      <c r="C483" s="22" t="inlineStr"/>
      <c r="D483" s="23" t="inlineStr"/>
      <c r="E483" s="25" t="inlineStr"/>
      <c r="F483" s="25" t="inlineStr"/>
      <c r="G483" s="35">
        <f>IF(OR(B483="",D483=""),"",D483*E483)</f>
        <v/>
      </c>
      <c r="H483" s="35">
        <f>IF(OR(B483="",D483=""),"",D483*VLOOKUP(B483,Inventory!$A$5:$J$104,10,FALSE))</f>
        <v/>
      </c>
      <c r="I483" s="35">
        <f>IF(G483="","",G483-F483-H483)</f>
        <v/>
      </c>
      <c r="J483" s="22" t="inlineStr"/>
    </row>
    <row r="484">
      <c r="A484" s="34" t="inlineStr"/>
      <c r="B484" s="22" t="inlineStr"/>
      <c r="C484" s="22" t="inlineStr"/>
      <c r="D484" s="23" t="inlineStr"/>
      <c r="E484" s="25" t="inlineStr"/>
      <c r="F484" s="25" t="inlineStr"/>
      <c r="G484" s="35">
        <f>IF(OR(B484="",D484=""),"",D484*E484)</f>
        <v/>
      </c>
      <c r="H484" s="35">
        <f>IF(OR(B484="",D484=""),"",D484*VLOOKUP(B484,Inventory!$A$5:$J$104,10,FALSE))</f>
        <v/>
      </c>
      <c r="I484" s="35">
        <f>IF(G484="","",G484-F484-H484)</f>
        <v/>
      </c>
      <c r="J484" s="22" t="inlineStr"/>
    </row>
    <row r="485">
      <c r="A485" s="34" t="inlineStr"/>
      <c r="B485" s="22" t="inlineStr"/>
      <c r="C485" s="22" t="inlineStr"/>
      <c r="D485" s="23" t="inlineStr"/>
      <c r="E485" s="25" t="inlineStr"/>
      <c r="F485" s="25" t="inlineStr"/>
      <c r="G485" s="35">
        <f>IF(OR(B485="",D485=""),"",D485*E485)</f>
        <v/>
      </c>
      <c r="H485" s="35">
        <f>IF(OR(B485="",D485=""),"",D485*VLOOKUP(B485,Inventory!$A$5:$J$104,10,FALSE))</f>
        <v/>
      </c>
      <c r="I485" s="35">
        <f>IF(G485="","",G485-F485-H485)</f>
        <v/>
      </c>
      <c r="J485" s="22" t="inlineStr"/>
    </row>
    <row r="486">
      <c r="A486" s="34" t="inlineStr"/>
      <c r="B486" s="22" t="inlineStr"/>
      <c r="C486" s="22" t="inlineStr"/>
      <c r="D486" s="23" t="inlineStr"/>
      <c r="E486" s="25" t="inlineStr"/>
      <c r="F486" s="25" t="inlineStr"/>
      <c r="G486" s="35">
        <f>IF(OR(B486="",D486=""),"",D486*E486)</f>
        <v/>
      </c>
      <c r="H486" s="35">
        <f>IF(OR(B486="",D486=""),"",D486*VLOOKUP(B486,Inventory!$A$5:$J$104,10,FALSE))</f>
        <v/>
      </c>
      <c r="I486" s="35">
        <f>IF(G486="","",G486-F486-H486)</f>
        <v/>
      </c>
      <c r="J486" s="22" t="inlineStr"/>
    </row>
    <row r="487">
      <c r="A487" s="34" t="inlineStr"/>
      <c r="B487" s="22" t="inlineStr"/>
      <c r="C487" s="22" t="inlineStr"/>
      <c r="D487" s="23" t="inlineStr"/>
      <c r="E487" s="25" t="inlineStr"/>
      <c r="F487" s="25" t="inlineStr"/>
      <c r="G487" s="35">
        <f>IF(OR(B487="",D487=""),"",D487*E487)</f>
        <v/>
      </c>
      <c r="H487" s="35">
        <f>IF(OR(B487="",D487=""),"",D487*VLOOKUP(B487,Inventory!$A$5:$J$104,10,FALSE))</f>
        <v/>
      </c>
      <c r="I487" s="35">
        <f>IF(G487="","",G487-F487-H487)</f>
        <v/>
      </c>
      <c r="J487" s="22" t="inlineStr"/>
    </row>
    <row r="488">
      <c r="A488" s="34" t="inlineStr"/>
      <c r="B488" s="22" t="inlineStr"/>
      <c r="C488" s="22" t="inlineStr"/>
      <c r="D488" s="23" t="inlineStr"/>
      <c r="E488" s="25" t="inlineStr"/>
      <c r="F488" s="25" t="inlineStr"/>
      <c r="G488" s="35">
        <f>IF(OR(B488="",D488=""),"",D488*E488)</f>
        <v/>
      </c>
      <c r="H488" s="35">
        <f>IF(OR(B488="",D488=""),"",D488*VLOOKUP(B488,Inventory!$A$5:$J$104,10,FALSE))</f>
        <v/>
      </c>
      <c r="I488" s="35">
        <f>IF(G488="","",G488-F488-H488)</f>
        <v/>
      </c>
      <c r="J488" s="22" t="inlineStr"/>
    </row>
    <row r="489">
      <c r="A489" s="34" t="inlineStr"/>
      <c r="B489" s="22" t="inlineStr"/>
      <c r="C489" s="22" t="inlineStr"/>
      <c r="D489" s="23" t="inlineStr"/>
      <c r="E489" s="25" t="inlineStr"/>
      <c r="F489" s="25" t="inlineStr"/>
      <c r="G489" s="35">
        <f>IF(OR(B489="",D489=""),"",D489*E489)</f>
        <v/>
      </c>
      <c r="H489" s="35">
        <f>IF(OR(B489="",D489=""),"",D489*VLOOKUP(B489,Inventory!$A$5:$J$104,10,FALSE))</f>
        <v/>
      </c>
      <c r="I489" s="35">
        <f>IF(G489="","",G489-F489-H489)</f>
        <v/>
      </c>
      <c r="J489" s="22" t="inlineStr"/>
    </row>
    <row r="490">
      <c r="A490" s="34" t="inlineStr"/>
      <c r="B490" s="22" t="inlineStr"/>
      <c r="C490" s="22" t="inlineStr"/>
      <c r="D490" s="23" t="inlineStr"/>
      <c r="E490" s="25" t="inlineStr"/>
      <c r="F490" s="25" t="inlineStr"/>
      <c r="G490" s="35">
        <f>IF(OR(B490="",D490=""),"",D490*E490)</f>
        <v/>
      </c>
      <c r="H490" s="35">
        <f>IF(OR(B490="",D490=""),"",D490*VLOOKUP(B490,Inventory!$A$5:$J$104,10,FALSE))</f>
        <v/>
      </c>
      <c r="I490" s="35">
        <f>IF(G490="","",G490-F490-H490)</f>
        <v/>
      </c>
      <c r="J490" s="22" t="inlineStr"/>
    </row>
    <row r="491">
      <c r="A491" s="34" t="inlineStr"/>
      <c r="B491" s="22" t="inlineStr"/>
      <c r="C491" s="22" t="inlineStr"/>
      <c r="D491" s="23" t="inlineStr"/>
      <c r="E491" s="25" t="inlineStr"/>
      <c r="F491" s="25" t="inlineStr"/>
      <c r="G491" s="35">
        <f>IF(OR(B491="",D491=""),"",D491*E491)</f>
        <v/>
      </c>
      <c r="H491" s="35">
        <f>IF(OR(B491="",D491=""),"",D491*VLOOKUP(B491,Inventory!$A$5:$J$104,10,FALSE))</f>
        <v/>
      </c>
      <c r="I491" s="35">
        <f>IF(G491="","",G491-F491-H491)</f>
        <v/>
      </c>
      <c r="J491" s="22" t="inlineStr"/>
    </row>
    <row r="492">
      <c r="A492" s="34" t="inlineStr"/>
      <c r="B492" s="22" t="inlineStr"/>
      <c r="C492" s="22" t="inlineStr"/>
      <c r="D492" s="23" t="inlineStr"/>
      <c r="E492" s="25" t="inlineStr"/>
      <c r="F492" s="25" t="inlineStr"/>
      <c r="G492" s="35">
        <f>IF(OR(B492="",D492=""),"",D492*E492)</f>
        <v/>
      </c>
      <c r="H492" s="35">
        <f>IF(OR(B492="",D492=""),"",D492*VLOOKUP(B492,Inventory!$A$5:$J$104,10,FALSE))</f>
        <v/>
      </c>
      <c r="I492" s="35">
        <f>IF(G492="","",G492-F492-H492)</f>
        <v/>
      </c>
      <c r="J492" s="22" t="inlineStr"/>
    </row>
    <row r="493">
      <c r="A493" s="34" t="inlineStr"/>
      <c r="B493" s="22" t="inlineStr"/>
      <c r="C493" s="22" t="inlineStr"/>
      <c r="D493" s="23" t="inlineStr"/>
      <c r="E493" s="25" t="inlineStr"/>
      <c r="F493" s="25" t="inlineStr"/>
      <c r="G493" s="35">
        <f>IF(OR(B493="",D493=""),"",D493*E493)</f>
        <v/>
      </c>
      <c r="H493" s="35">
        <f>IF(OR(B493="",D493=""),"",D493*VLOOKUP(B493,Inventory!$A$5:$J$104,10,FALSE))</f>
        <v/>
      </c>
      <c r="I493" s="35">
        <f>IF(G493="","",G493-F493-H493)</f>
        <v/>
      </c>
      <c r="J493" s="22" t="inlineStr"/>
    </row>
    <row r="494">
      <c r="A494" s="34" t="inlineStr"/>
      <c r="B494" s="22" t="inlineStr"/>
      <c r="C494" s="22" t="inlineStr"/>
      <c r="D494" s="23" t="inlineStr"/>
      <c r="E494" s="25" t="inlineStr"/>
      <c r="F494" s="25" t="inlineStr"/>
      <c r="G494" s="35">
        <f>IF(OR(B494="",D494=""),"",D494*E494)</f>
        <v/>
      </c>
      <c r="H494" s="35">
        <f>IF(OR(B494="",D494=""),"",D494*VLOOKUP(B494,Inventory!$A$5:$J$104,10,FALSE))</f>
        <v/>
      </c>
      <c r="I494" s="35">
        <f>IF(G494="","",G494-F494-H494)</f>
        <v/>
      </c>
      <c r="J494" s="22" t="inlineStr"/>
    </row>
    <row r="495">
      <c r="A495" s="34" t="inlineStr"/>
      <c r="B495" s="22" t="inlineStr"/>
      <c r="C495" s="22" t="inlineStr"/>
      <c r="D495" s="23" t="inlineStr"/>
      <c r="E495" s="25" t="inlineStr"/>
      <c r="F495" s="25" t="inlineStr"/>
      <c r="G495" s="35">
        <f>IF(OR(B495="",D495=""),"",D495*E495)</f>
        <v/>
      </c>
      <c r="H495" s="35">
        <f>IF(OR(B495="",D495=""),"",D495*VLOOKUP(B495,Inventory!$A$5:$J$104,10,FALSE))</f>
        <v/>
      </c>
      <c r="I495" s="35">
        <f>IF(G495="","",G495-F495-H495)</f>
        <v/>
      </c>
      <c r="J495" s="22" t="inlineStr"/>
    </row>
    <row r="496">
      <c r="A496" s="34" t="inlineStr"/>
      <c r="B496" s="22" t="inlineStr"/>
      <c r="C496" s="22" t="inlineStr"/>
      <c r="D496" s="23" t="inlineStr"/>
      <c r="E496" s="25" t="inlineStr"/>
      <c r="F496" s="25" t="inlineStr"/>
      <c r="G496" s="35">
        <f>IF(OR(B496="",D496=""),"",D496*E496)</f>
        <v/>
      </c>
      <c r="H496" s="35">
        <f>IF(OR(B496="",D496=""),"",D496*VLOOKUP(B496,Inventory!$A$5:$J$104,10,FALSE))</f>
        <v/>
      </c>
      <c r="I496" s="35">
        <f>IF(G496="","",G496-F496-H496)</f>
        <v/>
      </c>
      <c r="J496" s="22" t="inlineStr"/>
    </row>
    <row r="497">
      <c r="A497" s="34" t="inlineStr"/>
      <c r="B497" s="22" t="inlineStr"/>
      <c r="C497" s="22" t="inlineStr"/>
      <c r="D497" s="23" t="inlineStr"/>
      <c r="E497" s="25" t="inlineStr"/>
      <c r="F497" s="25" t="inlineStr"/>
      <c r="G497" s="35">
        <f>IF(OR(B497="",D497=""),"",D497*E497)</f>
        <v/>
      </c>
      <c r="H497" s="35">
        <f>IF(OR(B497="",D497=""),"",D497*VLOOKUP(B497,Inventory!$A$5:$J$104,10,FALSE))</f>
        <v/>
      </c>
      <c r="I497" s="35">
        <f>IF(G497="","",G497-F497-H497)</f>
        <v/>
      </c>
      <c r="J497" s="22" t="inlineStr"/>
    </row>
    <row r="498">
      <c r="A498" s="34" t="inlineStr"/>
      <c r="B498" s="22" t="inlineStr"/>
      <c r="C498" s="22" t="inlineStr"/>
      <c r="D498" s="23" t="inlineStr"/>
      <c r="E498" s="25" t="inlineStr"/>
      <c r="F498" s="25" t="inlineStr"/>
      <c r="G498" s="35">
        <f>IF(OR(B498="",D498=""),"",D498*E498)</f>
        <v/>
      </c>
      <c r="H498" s="35">
        <f>IF(OR(B498="",D498=""),"",D498*VLOOKUP(B498,Inventory!$A$5:$J$104,10,FALSE))</f>
        <v/>
      </c>
      <c r="I498" s="35">
        <f>IF(G498="","",G498-F498-H498)</f>
        <v/>
      </c>
      <c r="J498" s="22" t="inlineStr"/>
    </row>
    <row r="499">
      <c r="A499" s="34" t="inlineStr"/>
      <c r="B499" s="22" t="inlineStr"/>
      <c r="C499" s="22" t="inlineStr"/>
      <c r="D499" s="23" t="inlineStr"/>
      <c r="E499" s="25" t="inlineStr"/>
      <c r="F499" s="25" t="inlineStr"/>
      <c r="G499" s="35">
        <f>IF(OR(B499="",D499=""),"",D499*E499)</f>
        <v/>
      </c>
      <c r="H499" s="35">
        <f>IF(OR(B499="",D499=""),"",D499*VLOOKUP(B499,Inventory!$A$5:$J$104,10,FALSE))</f>
        <v/>
      </c>
      <c r="I499" s="35">
        <f>IF(G499="","",G499-F499-H499)</f>
        <v/>
      </c>
      <c r="J499" s="22" t="inlineStr"/>
    </row>
    <row r="500">
      <c r="A500" s="34" t="inlineStr"/>
      <c r="B500" s="22" t="inlineStr"/>
      <c r="C500" s="22" t="inlineStr"/>
      <c r="D500" s="23" t="inlineStr"/>
      <c r="E500" s="25" t="inlineStr"/>
      <c r="F500" s="25" t="inlineStr"/>
      <c r="G500" s="35">
        <f>IF(OR(B500="",D500=""),"",D500*E500)</f>
        <v/>
      </c>
      <c r="H500" s="35">
        <f>IF(OR(B500="",D500=""),"",D500*VLOOKUP(B500,Inventory!$A$5:$J$104,10,FALSE))</f>
        <v/>
      </c>
      <c r="I500" s="35">
        <f>IF(G500="","",G500-F500-H500)</f>
        <v/>
      </c>
      <c r="J500" s="22" t="inlineStr"/>
    </row>
    <row r="501">
      <c r="A501" s="34" t="inlineStr"/>
      <c r="B501" s="22" t="inlineStr"/>
      <c r="C501" s="22" t="inlineStr"/>
      <c r="D501" s="23" t="inlineStr"/>
      <c r="E501" s="25" t="inlineStr"/>
      <c r="F501" s="25" t="inlineStr"/>
      <c r="G501" s="35">
        <f>IF(OR(B501="",D501=""),"",D501*E501)</f>
        <v/>
      </c>
      <c r="H501" s="35">
        <f>IF(OR(B501="",D501=""),"",D501*VLOOKUP(B501,Inventory!$A$5:$J$104,10,FALSE))</f>
        <v/>
      </c>
      <c r="I501" s="35">
        <f>IF(G501="","",G501-F501-H501)</f>
        <v/>
      </c>
      <c r="J501" s="22" t="inlineStr"/>
    </row>
    <row r="502">
      <c r="A502" s="34" t="inlineStr"/>
      <c r="B502" s="22" t="inlineStr"/>
      <c r="C502" s="22" t="inlineStr"/>
      <c r="D502" s="23" t="inlineStr"/>
      <c r="E502" s="25" t="inlineStr"/>
      <c r="F502" s="25" t="inlineStr"/>
      <c r="G502" s="35">
        <f>IF(OR(B502="",D502=""),"",D502*E502)</f>
        <v/>
      </c>
      <c r="H502" s="35">
        <f>IF(OR(B502="",D502=""),"",D502*VLOOKUP(B502,Inventory!$A$5:$J$104,10,FALSE))</f>
        <v/>
      </c>
      <c r="I502" s="35">
        <f>IF(G502="","",G502-F502-H502)</f>
        <v/>
      </c>
      <c r="J502" s="22" t="inlineStr"/>
    </row>
    <row r="503">
      <c r="A503" s="34" t="inlineStr"/>
      <c r="B503" s="22" t="inlineStr"/>
      <c r="C503" s="22" t="inlineStr"/>
      <c r="D503" s="23" t="inlineStr"/>
      <c r="E503" s="25" t="inlineStr"/>
      <c r="F503" s="25" t="inlineStr"/>
      <c r="G503" s="35">
        <f>IF(OR(B503="",D503=""),"",D503*E503)</f>
        <v/>
      </c>
      <c r="H503" s="35">
        <f>IF(OR(B503="",D503=""),"",D503*VLOOKUP(B503,Inventory!$A$5:$J$104,10,FALSE))</f>
        <v/>
      </c>
      <c r="I503" s="35">
        <f>IF(G503="","",G503-F503-H503)</f>
        <v/>
      </c>
      <c r="J503" s="22" t="inlineStr"/>
    </row>
    <row r="504">
      <c r="A504" s="34" t="inlineStr"/>
      <c r="B504" s="22" t="inlineStr"/>
      <c r="C504" s="22" t="inlineStr"/>
      <c r="D504" s="23" t="inlineStr"/>
      <c r="E504" s="25" t="inlineStr"/>
      <c r="F504" s="25" t="inlineStr"/>
      <c r="G504" s="35">
        <f>IF(OR(B504="",D504=""),"",D504*E504)</f>
        <v/>
      </c>
      <c r="H504" s="35">
        <f>IF(OR(B504="",D504=""),"",D504*VLOOKUP(B504,Inventory!$A$5:$J$104,10,FALSE))</f>
        <v/>
      </c>
      <c r="I504" s="35">
        <f>IF(G504="","",G504-F504-H504)</f>
        <v/>
      </c>
      <c r="J504" s="22" t="inlineStr"/>
    </row>
    <row r="505">
      <c r="A505" s="31" t="inlineStr">
        <is>
          <t>Totals</t>
        </is>
      </c>
      <c r="B505" s="31" t="n"/>
      <c r="C505" s="31" t="n"/>
      <c r="D505" s="32">
        <f>SUM(D5:D504)</f>
        <v/>
      </c>
      <c r="E505" s="31" t="n"/>
      <c r="F505" s="31" t="n"/>
      <c r="G505" s="33">
        <f>SUM(G5:G504)</f>
        <v/>
      </c>
      <c r="H505" s="33">
        <f>SUM(H5:H504)</f>
        <v/>
      </c>
      <c r="I505" s="33">
        <f>SUM(I5:I504)</f>
        <v/>
      </c>
      <c r="J5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J1"/>
    <mergeCell ref="A2:J2"/>
  </mergeCells>
  <dataValidations count="1">
    <dataValidation sqref="B5:B5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0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3" customWidth="1" min="9" max="9"/>
    <col width="15" customWidth="1" min="10" max="10"/>
    <col width="12" customWidth="1" min="11" max="11"/>
    <col width="10" customWidth="1" min="12" max="12"/>
    <col width="20" customWidth="1" min="13" max="13"/>
  </cols>
  <sheetData>
    <row r="1" ht="28" customHeight="1">
      <c r="A1" s="1" t="inlineStr">
        <is>
          <t>Price Calculator</t>
        </is>
      </c>
    </row>
    <row r="2" ht="22" customHeight="1">
      <c r="A2" s="2" t="inlineStr">
        <is>
          <t>Test sale price, expected profit, and margin before you list a product.</t>
        </is>
      </c>
    </row>
    <row r="4">
      <c r="A4" s="14" t="inlineStr">
        <is>
          <t>Product</t>
        </is>
      </c>
      <c r="B4" s="14" t="inlineStr">
        <is>
          <t>SKU</t>
        </is>
      </c>
      <c r="C4" s="14" t="inlineStr">
        <is>
          <t>COGS</t>
        </is>
      </c>
      <c r="D4" s="14" t="inlineStr">
        <is>
          <t>Packaging</t>
        </is>
      </c>
      <c r="E4" s="14" t="inlineStr">
        <is>
          <t>Labor</t>
        </is>
      </c>
      <c r="F4" s="14" t="inlineStr">
        <is>
          <t>Overhead</t>
        </is>
      </c>
      <c r="G4" s="14" t="inlineStr">
        <is>
          <t>Fee %</t>
        </is>
      </c>
      <c r="H4" s="14" t="inlineStr">
        <is>
          <t>Tax %</t>
        </is>
      </c>
      <c r="I4" s="14" t="inlineStr">
        <is>
          <t>Target Margin</t>
        </is>
      </c>
      <c r="J4" s="14" t="inlineStr">
        <is>
          <t>Suggested Price</t>
        </is>
      </c>
      <c r="K4" s="14" t="inlineStr">
        <is>
          <t>Profit</t>
        </is>
      </c>
      <c r="L4" s="14" t="inlineStr">
        <is>
          <t>Margin</t>
        </is>
      </c>
      <c r="M4" s="14" t="inlineStr">
        <is>
          <t>Notes</t>
        </is>
      </c>
    </row>
    <row r="5">
      <c r="A5" s="22" t="inlineStr">
        <is>
          <t>Canvas Tote - Sand</t>
        </is>
      </c>
      <c r="B5" s="22" t="inlineStr">
        <is>
          <t>SKU-001</t>
        </is>
      </c>
      <c r="C5" s="35">
        <f>IF(B5="","",VLOOKUP(B5,Inventory!$A$5:$J$104,10,FALSE))</f>
        <v/>
      </c>
      <c r="D5" s="25" t="n">
        <v>0.18</v>
      </c>
      <c r="E5" s="25" t="n">
        <v>0.44</v>
      </c>
      <c r="F5" s="25" t="n">
        <v>0.25</v>
      </c>
      <c r="G5" s="36" t="n">
        <v>0.13</v>
      </c>
      <c r="H5" s="36" t="n">
        <v>0.1</v>
      </c>
      <c r="I5" s="36" t="n">
        <v>0.42</v>
      </c>
      <c r="J5" s="35">
        <f>IF(B5="","",ROUND((C5+D5+E5+F5)/(1-(G5+H5+I5)),2))</f>
        <v/>
      </c>
      <c r="K5" s="35">
        <f>IF(J5="","",J5-(C5+D5+E5+F5)-(J5*G5)-(J5*H5))</f>
        <v/>
      </c>
      <c r="L5" s="37">
        <f>IF(J5="","",IF(J5=0,"",K5/J5))</f>
        <v/>
      </c>
      <c r="M5" s="22" t="inlineStr">
        <is>
          <t>Pricing scenario 1</t>
        </is>
      </c>
    </row>
    <row r="6">
      <c r="A6" s="22" t="inlineStr">
        <is>
          <t>Canvas Tote - Olive</t>
        </is>
      </c>
      <c r="B6" s="22" t="inlineStr">
        <is>
          <t>SKU-002</t>
        </is>
      </c>
      <c r="C6" s="35">
        <f>IF(B6="","",VLOOKUP(B6,Inventory!$A$5:$J$104,10,FALSE))</f>
        <v/>
      </c>
      <c r="D6" s="25" t="n">
        <v>0.25</v>
      </c>
      <c r="E6" s="25" t="n">
        <v>0.53</v>
      </c>
      <c r="F6" s="25" t="n">
        <v>0.25</v>
      </c>
      <c r="G6" s="36" t="n">
        <v>0.13</v>
      </c>
      <c r="H6" s="36" t="n">
        <v>0.1</v>
      </c>
      <c r="I6" s="36" t="n">
        <v>0.45</v>
      </c>
      <c r="J6" s="35">
        <f>IF(B6="","",ROUND((C6+D6+E6+F6)/(1-(G6+H6+I6)),2))</f>
        <v/>
      </c>
      <c r="K6" s="35">
        <f>IF(J6="","",J6-(C6+D6+E6+F6)-(J6*G6)-(J6*H6))</f>
        <v/>
      </c>
      <c r="L6" s="37">
        <f>IF(J6="","",IF(J6=0,"",K6/J6))</f>
        <v/>
      </c>
      <c r="M6" s="22" t="inlineStr">
        <is>
          <t>Pricing scenario 2</t>
        </is>
      </c>
    </row>
    <row r="7">
      <c r="A7" s="22" t="inlineStr">
        <is>
          <t>Canvas Tote - Slate</t>
        </is>
      </c>
      <c r="B7" s="22" t="inlineStr">
        <is>
          <t>SKU-003</t>
        </is>
      </c>
      <c r="C7" s="35">
        <f>IF(B7="","",VLOOKUP(B7,Inventory!$A$5:$J$104,10,FALSE))</f>
        <v/>
      </c>
      <c r="D7" s="25" t="n">
        <v>0.32</v>
      </c>
      <c r="E7" s="25" t="n">
        <v>0.62</v>
      </c>
      <c r="F7" s="25" t="n">
        <v>0.25</v>
      </c>
      <c r="G7" s="36" t="n">
        <v>0.13</v>
      </c>
      <c r="H7" s="36" t="n">
        <v>0.1</v>
      </c>
      <c r="I7" s="36" t="n">
        <v>0.48</v>
      </c>
      <c r="J7" s="35">
        <f>IF(B7="","",ROUND((C7+D7+E7+F7)/(1-(G7+H7+I7)),2))</f>
        <v/>
      </c>
      <c r="K7" s="35">
        <f>IF(J7="","",J7-(C7+D7+E7+F7)-(J7*G7)-(J7*H7))</f>
        <v/>
      </c>
      <c r="L7" s="37">
        <f>IF(J7="","",IF(J7=0,"",K7/J7))</f>
        <v/>
      </c>
      <c r="M7" s="22" t="inlineStr">
        <is>
          <t>Pricing scenario 3</t>
        </is>
      </c>
    </row>
    <row r="8">
      <c r="A8" s="22" t="inlineStr">
        <is>
          <t>Canvas Tote - Coral</t>
        </is>
      </c>
      <c r="B8" s="22" t="inlineStr">
        <is>
          <t>SKU-004</t>
        </is>
      </c>
      <c r="C8" s="35">
        <f>IF(B8="","",VLOOKUP(B8,Inventory!$A$5:$J$104,10,FALSE))</f>
        <v/>
      </c>
      <c r="D8" s="25" t="n">
        <v>0.39</v>
      </c>
      <c r="E8" s="25" t="n">
        <v>0.71</v>
      </c>
      <c r="F8" s="25" t="n">
        <v>0.25</v>
      </c>
      <c r="G8" s="36" t="n">
        <v>0.13</v>
      </c>
      <c r="H8" s="36" t="n">
        <v>0.1</v>
      </c>
      <c r="I8" s="36" t="n">
        <v>0.42</v>
      </c>
      <c r="J8" s="35">
        <f>IF(B8="","",ROUND((C8+D8+E8+F8)/(1-(G8+H8+I8)),2))</f>
        <v/>
      </c>
      <c r="K8" s="35">
        <f>IF(J8="","",J8-(C8+D8+E8+F8)-(J8*G8)-(J8*H8))</f>
        <v/>
      </c>
      <c r="L8" s="37">
        <f>IF(J8="","",IF(J8=0,"",K8/J8))</f>
        <v/>
      </c>
      <c r="M8" s="22" t="inlineStr">
        <is>
          <t>Pricing scenario 4</t>
        </is>
      </c>
    </row>
    <row r="9">
      <c r="A9" s="22" t="inlineStr">
        <is>
          <t>Canvas Tote - Natural</t>
        </is>
      </c>
      <c r="B9" s="22" t="inlineStr">
        <is>
          <t>SKU-005</t>
        </is>
      </c>
      <c r="C9" s="35">
        <f>IF(B9="","",VLOOKUP(B9,Inventory!$A$5:$J$104,10,FALSE))</f>
        <v/>
      </c>
      <c r="D9" s="25" t="n">
        <v>0.18</v>
      </c>
      <c r="E9" s="25" t="n">
        <v>0.8</v>
      </c>
      <c r="F9" s="25" t="n">
        <v>0.25</v>
      </c>
      <c r="G9" s="36" t="n">
        <v>0.13</v>
      </c>
      <c r="H9" s="36" t="n">
        <v>0.1</v>
      </c>
      <c r="I9" s="36" t="n">
        <v>0.45</v>
      </c>
      <c r="J9" s="35">
        <f>IF(B9="","",ROUND((C9+D9+E9+F9)/(1-(G9+H9+I9)),2))</f>
        <v/>
      </c>
      <c r="K9" s="35">
        <f>IF(J9="","",J9-(C9+D9+E9+F9)-(J9*G9)-(J9*H9))</f>
        <v/>
      </c>
      <c r="L9" s="37">
        <f>IF(J9="","",IF(J9=0,"",K9/J9))</f>
        <v/>
      </c>
      <c r="M9" s="22" t="inlineStr">
        <is>
          <t>Pricing scenario 5</t>
        </is>
      </c>
    </row>
    <row r="10">
      <c r="A10" s="22" t="inlineStr">
        <is>
          <t>Ceramic Mug - Sand</t>
        </is>
      </c>
      <c r="B10" s="22" t="inlineStr">
        <is>
          <t>SKU-006</t>
        </is>
      </c>
      <c r="C10" s="35">
        <f>IF(B10="","",VLOOKUP(B10,Inventory!$A$5:$J$104,10,FALSE))</f>
        <v/>
      </c>
      <c r="D10" s="25" t="n">
        <v>0.25</v>
      </c>
      <c r="E10" s="25" t="n">
        <v>0.44</v>
      </c>
      <c r="F10" s="25" t="n">
        <v>0.25</v>
      </c>
      <c r="G10" s="36" t="n">
        <v>0.13</v>
      </c>
      <c r="H10" s="36" t="n">
        <v>0.1</v>
      </c>
      <c r="I10" s="36" t="n">
        <v>0.48</v>
      </c>
      <c r="J10" s="35">
        <f>IF(B10="","",ROUND((C10+D10+E10+F10)/(1-(G10+H10+I10)),2))</f>
        <v/>
      </c>
      <c r="K10" s="35">
        <f>IF(J10="","",J10-(C10+D10+E10+F10)-(J10*G10)-(J10*H10))</f>
        <v/>
      </c>
      <c r="L10" s="37">
        <f>IF(J10="","",IF(J10=0,"",K10/J10))</f>
        <v/>
      </c>
      <c r="M10" s="22" t="inlineStr">
        <is>
          <t>Pricing scenario 6</t>
        </is>
      </c>
    </row>
    <row r="11">
      <c r="A11" s="22" t="inlineStr">
        <is>
          <t>Ceramic Mug - Olive</t>
        </is>
      </c>
      <c r="B11" s="22" t="inlineStr">
        <is>
          <t>SKU-007</t>
        </is>
      </c>
      <c r="C11" s="35">
        <f>IF(B11="","",VLOOKUP(B11,Inventory!$A$5:$J$104,10,FALSE))</f>
        <v/>
      </c>
      <c r="D11" s="25" t="n">
        <v>0.32</v>
      </c>
      <c r="E11" s="25" t="n">
        <v>0.53</v>
      </c>
      <c r="F11" s="25" t="n">
        <v>0.25</v>
      </c>
      <c r="G11" s="36" t="n">
        <v>0.13</v>
      </c>
      <c r="H11" s="36" t="n">
        <v>0.1</v>
      </c>
      <c r="I11" s="36" t="n">
        <v>0.42</v>
      </c>
      <c r="J11" s="35">
        <f>IF(B11="","",ROUND((C11+D11+E11+F11)/(1-(G11+H11+I11)),2))</f>
        <v/>
      </c>
      <c r="K11" s="35">
        <f>IF(J11="","",J11-(C11+D11+E11+F11)-(J11*G11)-(J11*H11))</f>
        <v/>
      </c>
      <c r="L11" s="37">
        <f>IF(J11="","",IF(J11=0,"",K11/J11))</f>
        <v/>
      </c>
      <c r="M11" s="22" t="inlineStr">
        <is>
          <t>Pricing scenario 7</t>
        </is>
      </c>
    </row>
    <row r="12">
      <c r="A12" s="22" t="inlineStr">
        <is>
          <t>Ceramic Mug - Slate</t>
        </is>
      </c>
      <c r="B12" s="22" t="inlineStr">
        <is>
          <t>SKU-008</t>
        </is>
      </c>
      <c r="C12" s="35">
        <f>IF(B12="","",VLOOKUP(B12,Inventory!$A$5:$J$104,10,FALSE))</f>
        <v/>
      </c>
      <c r="D12" s="25" t="n">
        <v>0.39</v>
      </c>
      <c r="E12" s="25" t="n">
        <v>0.62</v>
      </c>
      <c r="F12" s="25" t="n">
        <v>0.25</v>
      </c>
      <c r="G12" s="36" t="n">
        <v>0.13</v>
      </c>
      <c r="H12" s="36" t="n">
        <v>0.1</v>
      </c>
      <c r="I12" s="36" t="n">
        <v>0.45</v>
      </c>
      <c r="J12" s="35">
        <f>IF(B12="","",ROUND((C12+D12+E12+F12)/(1-(G12+H12+I12)),2))</f>
        <v/>
      </c>
      <c r="K12" s="35">
        <f>IF(J12="","",J12-(C12+D12+E12+F12)-(J12*G12)-(J12*H12))</f>
        <v/>
      </c>
      <c r="L12" s="37">
        <f>IF(J12="","",IF(J12=0,"",K12/J12))</f>
        <v/>
      </c>
      <c r="M12" s="22" t="inlineStr">
        <is>
          <t>Pricing scenario 8</t>
        </is>
      </c>
    </row>
    <row r="13">
      <c r="A13" s="22" t="inlineStr"/>
      <c r="B13" s="22" t="inlineStr"/>
      <c r="C13" s="35">
        <f>IF(B13="","",VLOOKUP(B13,Inventory!$A$5:$J$104,10,FALSE))</f>
        <v/>
      </c>
      <c r="D13" s="25" t="inlineStr"/>
      <c r="E13" s="25" t="inlineStr"/>
      <c r="F13" s="25" t="inlineStr"/>
      <c r="G13" s="36" t="inlineStr"/>
      <c r="H13" s="36" t="inlineStr"/>
      <c r="I13" s="36" t="inlineStr"/>
      <c r="J13" s="35">
        <f>IF(B13="","",ROUND((C13+D13+E13+F13)/(1-(G13+H13+I13)),2))</f>
        <v/>
      </c>
      <c r="K13" s="35">
        <f>IF(J13="","",J13-(C13+D13+E13+F13)-(J13*G13)-(J13*H13))</f>
        <v/>
      </c>
      <c r="L13" s="37">
        <f>IF(J13="","",IF(J13=0,"",K13/J13))</f>
        <v/>
      </c>
      <c r="M13" s="22" t="inlineStr"/>
    </row>
    <row r="14">
      <c r="A14" s="22" t="inlineStr"/>
      <c r="B14" s="22" t="inlineStr"/>
      <c r="C14" s="35">
        <f>IF(B14="","",VLOOKUP(B14,Inventory!$A$5:$J$104,10,FALSE))</f>
        <v/>
      </c>
      <c r="D14" s="25" t="inlineStr"/>
      <c r="E14" s="25" t="inlineStr"/>
      <c r="F14" s="25" t="inlineStr"/>
      <c r="G14" s="36" t="inlineStr"/>
      <c r="H14" s="36" t="inlineStr"/>
      <c r="I14" s="36" t="inlineStr"/>
      <c r="J14" s="35">
        <f>IF(B14="","",ROUND((C14+D14+E14+F14)/(1-(G14+H14+I14)),2))</f>
        <v/>
      </c>
      <c r="K14" s="35">
        <f>IF(J14="","",J14-(C14+D14+E14+F14)-(J14*G14)-(J14*H14))</f>
        <v/>
      </c>
      <c r="L14" s="37">
        <f>IF(J14="","",IF(J14=0,"",K14/J14))</f>
        <v/>
      </c>
      <c r="M14" s="22" t="inlineStr"/>
    </row>
    <row r="15">
      <c r="A15" s="22" t="inlineStr"/>
      <c r="B15" s="22" t="inlineStr"/>
      <c r="C15" s="35">
        <f>IF(B15="","",VLOOKUP(B15,Inventory!$A$5:$J$104,10,FALSE))</f>
        <v/>
      </c>
      <c r="D15" s="25" t="inlineStr"/>
      <c r="E15" s="25" t="inlineStr"/>
      <c r="F15" s="25" t="inlineStr"/>
      <c r="G15" s="36" t="inlineStr"/>
      <c r="H15" s="36" t="inlineStr"/>
      <c r="I15" s="36" t="inlineStr"/>
      <c r="J15" s="35">
        <f>IF(B15="","",ROUND((C15+D15+E15+F15)/(1-(G15+H15+I15)),2))</f>
        <v/>
      </c>
      <c r="K15" s="35">
        <f>IF(J15="","",J15-(C15+D15+E15+F15)-(J15*G15)-(J15*H15))</f>
        <v/>
      </c>
      <c r="L15" s="37">
        <f>IF(J15="","",IF(J15=0,"",K15/J15))</f>
        <v/>
      </c>
      <c r="M15" s="22" t="inlineStr"/>
    </row>
    <row r="16">
      <c r="A16" s="22" t="inlineStr"/>
      <c r="B16" s="22" t="inlineStr"/>
      <c r="C16" s="35">
        <f>IF(B16="","",VLOOKUP(B16,Inventory!$A$5:$J$104,10,FALSE))</f>
        <v/>
      </c>
      <c r="D16" s="25" t="inlineStr"/>
      <c r="E16" s="25" t="inlineStr"/>
      <c r="F16" s="25" t="inlineStr"/>
      <c r="G16" s="36" t="inlineStr"/>
      <c r="H16" s="36" t="inlineStr"/>
      <c r="I16" s="36" t="inlineStr"/>
      <c r="J16" s="35">
        <f>IF(B16="","",ROUND((C16+D16+E16+F16)/(1-(G16+H16+I16)),2))</f>
        <v/>
      </c>
      <c r="K16" s="35">
        <f>IF(J16="","",J16-(C16+D16+E16+F16)-(J16*G16)-(J16*H16))</f>
        <v/>
      </c>
      <c r="L16" s="37">
        <f>IF(J16="","",IF(J16=0,"",K16/J16))</f>
        <v/>
      </c>
      <c r="M16" s="22" t="inlineStr"/>
    </row>
    <row r="17">
      <c r="A17" s="22" t="inlineStr"/>
      <c r="B17" s="22" t="inlineStr"/>
      <c r="C17" s="35">
        <f>IF(B17="","",VLOOKUP(B17,Inventory!$A$5:$J$104,10,FALSE))</f>
        <v/>
      </c>
      <c r="D17" s="25" t="inlineStr"/>
      <c r="E17" s="25" t="inlineStr"/>
      <c r="F17" s="25" t="inlineStr"/>
      <c r="G17" s="36" t="inlineStr"/>
      <c r="H17" s="36" t="inlineStr"/>
      <c r="I17" s="36" t="inlineStr"/>
      <c r="J17" s="35">
        <f>IF(B17="","",ROUND((C17+D17+E17+F17)/(1-(G17+H17+I17)),2))</f>
        <v/>
      </c>
      <c r="K17" s="35">
        <f>IF(J17="","",J17-(C17+D17+E17+F17)-(J17*G17)-(J17*H17))</f>
        <v/>
      </c>
      <c r="L17" s="37">
        <f>IF(J17="","",IF(J17=0,"",K17/J17))</f>
        <v/>
      </c>
      <c r="M17" s="22" t="inlineStr"/>
    </row>
    <row r="18">
      <c r="A18" s="22" t="inlineStr"/>
      <c r="B18" s="22" t="inlineStr"/>
      <c r="C18" s="35">
        <f>IF(B18="","",VLOOKUP(B18,Inventory!$A$5:$J$104,10,FALSE))</f>
        <v/>
      </c>
      <c r="D18" s="25" t="inlineStr"/>
      <c r="E18" s="25" t="inlineStr"/>
      <c r="F18" s="25" t="inlineStr"/>
      <c r="G18" s="36" t="inlineStr"/>
      <c r="H18" s="36" t="inlineStr"/>
      <c r="I18" s="36" t="inlineStr"/>
      <c r="J18" s="35">
        <f>IF(B18="","",ROUND((C18+D18+E18+F18)/(1-(G18+H18+I18)),2))</f>
        <v/>
      </c>
      <c r="K18" s="35">
        <f>IF(J18="","",J18-(C18+D18+E18+F18)-(J18*G18)-(J18*H18))</f>
        <v/>
      </c>
      <c r="L18" s="37">
        <f>IF(J18="","",IF(J18=0,"",K18/J18))</f>
        <v/>
      </c>
      <c r="M18" s="22" t="inlineStr"/>
    </row>
    <row r="19">
      <c r="A19" s="22" t="inlineStr"/>
      <c r="B19" s="22" t="inlineStr"/>
      <c r="C19" s="35">
        <f>IF(B19="","",VLOOKUP(B19,Inventory!$A$5:$J$104,10,FALSE))</f>
        <v/>
      </c>
      <c r="D19" s="25" t="inlineStr"/>
      <c r="E19" s="25" t="inlineStr"/>
      <c r="F19" s="25" t="inlineStr"/>
      <c r="G19" s="36" t="inlineStr"/>
      <c r="H19" s="36" t="inlineStr"/>
      <c r="I19" s="36" t="inlineStr"/>
      <c r="J19" s="35">
        <f>IF(B19="","",ROUND((C19+D19+E19+F19)/(1-(G19+H19+I19)),2))</f>
        <v/>
      </c>
      <c r="K19" s="35">
        <f>IF(J19="","",J19-(C19+D19+E19+F19)-(J19*G19)-(J19*H19))</f>
        <v/>
      </c>
      <c r="L19" s="37">
        <f>IF(J19="","",IF(J19=0,"",K19/J19))</f>
        <v/>
      </c>
      <c r="M19" s="22" t="inlineStr"/>
    </row>
    <row r="20">
      <c r="A20" s="22" t="inlineStr"/>
      <c r="B20" s="22" t="inlineStr"/>
      <c r="C20" s="35">
        <f>IF(B20="","",VLOOKUP(B20,Inventory!$A$5:$J$104,10,FALSE))</f>
        <v/>
      </c>
      <c r="D20" s="25" t="inlineStr"/>
      <c r="E20" s="25" t="inlineStr"/>
      <c r="F20" s="25" t="inlineStr"/>
      <c r="G20" s="36" t="inlineStr"/>
      <c r="H20" s="36" t="inlineStr"/>
      <c r="I20" s="36" t="inlineStr"/>
      <c r="J20" s="35">
        <f>IF(B20="","",ROUND((C20+D20+E20+F20)/(1-(G20+H20+I20)),2))</f>
        <v/>
      </c>
      <c r="K20" s="35">
        <f>IF(J20="","",J20-(C20+D20+E20+F20)-(J20*G20)-(J20*H20))</f>
        <v/>
      </c>
      <c r="L20" s="37">
        <f>IF(J20="","",IF(J20=0,"",K20/J20))</f>
        <v/>
      </c>
      <c r="M20" s="22" t="inlineStr"/>
    </row>
    <row r="21">
      <c r="A21" s="22" t="inlineStr"/>
      <c r="B21" s="22" t="inlineStr"/>
      <c r="C21" s="35">
        <f>IF(B21="","",VLOOKUP(B21,Inventory!$A$5:$J$104,10,FALSE))</f>
        <v/>
      </c>
      <c r="D21" s="25" t="inlineStr"/>
      <c r="E21" s="25" t="inlineStr"/>
      <c r="F21" s="25" t="inlineStr"/>
      <c r="G21" s="36" t="inlineStr"/>
      <c r="H21" s="36" t="inlineStr"/>
      <c r="I21" s="36" t="inlineStr"/>
      <c r="J21" s="35">
        <f>IF(B21="","",ROUND((C21+D21+E21+F21)/(1-(G21+H21+I21)),2))</f>
        <v/>
      </c>
      <c r="K21" s="35">
        <f>IF(J21="","",J21-(C21+D21+E21+F21)-(J21*G21)-(J21*H21))</f>
        <v/>
      </c>
      <c r="L21" s="37">
        <f>IF(J21="","",IF(J21=0,"",K21/J21))</f>
        <v/>
      </c>
      <c r="M21" s="22" t="inlineStr"/>
    </row>
    <row r="22">
      <c r="A22" s="22" t="inlineStr"/>
      <c r="B22" s="22" t="inlineStr"/>
      <c r="C22" s="35">
        <f>IF(B22="","",VLOOKUP(B22,Inventory!$A$5:$J$104,10,FALSE))</f>
        <v/>
      </c>
      <c r="D22" s="25" t="inlineStr"/>
      <c r="E22" s="25" t="inlineStr"/>
      <c r="F22" s="25" t="inlineStr"/>
      <c r="G22" s="36" t="inlineStr"/>
      <c r="H22" s="36" t="inlineStr"/>
      <c r="I22" s="36" t="inlineStr"/>
      <c r="J22" s="35">
        <f>IF(B22="","",ROUND((C22+D22+E22+F22)/(1-(G22+H22+I22)),2))</f>
        <v/>
      </c>
      <c r="K22" s="35">
        <f>IF(J22="","",J22-(C22+D22+E22+F22)-(J22*G22)-(J22*H22))</f>
        <v/>
      </c>
      <c r="L22" s="37">
        <f>IF(J22="","",IF(J22=0,"",K22/J22))</f>
        <v/>
      </c>
      <c r="M22" s="22" t="inlineStr"/>
    </row>
    <row r="23">
      <c r="A23" s="22" t="inlineStr"/>
      <c r="B23" s="22" t="inlineStr"/>
      <c r="C23" s="35">
        <f>IF(B23="","",VLOOKUP(B23,Inventory!$A$5:$J$104,10,FALSE))</f>
        <v/>
      </c>
      <c r="D23" s="25" t="inlineStr"/>
      <c r="E23" s="25" t="inlineStr"/>
      <c r="F23" s="25" t="inlineStr"/>
      <c r="G23" s="36" t="inlineStr"/>
      <c r="H23" s="36" t="inlineStr"/>
      <c r="I23" s="36" t="inlineStr"/>
      <c r="J23" s="35">
        <f>IF(B23="","",ROUND((C23+D23+E23+F23)/(1-(G23+H23+I23)),2))</f>
        <v/>
      </c>
      <c r="K23" s="35">
        <f>IF(J23="","",J23-(C23+D23+E23+F23)-(J23*G23)-(J23*H23))</f>
        <v/>
      </c>
      <c r="L23" s="37">
        <f>IF(J23="","",IF(J23=0,"",K23/J23))</f>
        <v/>
      </c>
      <c r="M23" s="22" t="inlineStr"/>
    </row>
    <row r="24">
      <c r="A24" s="22" t="inlineStr"/>
      <c r="B24" s="22" t="inlineStr"/>
      <c r="C24" s="35">
        <f>IF(B24="","",VLOOKUP(B24,Inventory!$A$5:$J$104,10,FALSE))</f>
        <v/>
      </c>
      <c r="D24" s="25" t="inlineStr"/>
      <c r="E24" s="25" t="inlineStr"/>
      <c r="F24" s="25" t="inlineStr"/>
      <c r="G24" s="36" t="inlineStr"/>
      <c r="H24" s="36" t="inlineStr"/>
      <c r="I24" s="36" t="inlineStr"/>
      <c r="J24" s="35">
        <f>IF(B24="","",ROUND((C24+D24+E24+F24)/(1-(G24+H24+I24)),2))</f>
        <v/>
      </c>
      <c r="K24" s="35">
        <f>IF(J24="","",J24-(C24+D24+E24+F24)-(J24*G24)-(J24*H24))</f>
        <v/>
      </c>
      <c r="L24" s="37">
        <f>IF(J24="","",IF(J24=0,"",K24/J24))</f>
        <v/>
      </c>
      <c r="M24" s="22" t="inlineStr"/>
    </row>
    <row r="25">
      <c r="A25" s="22" t="inlineStr"/>
      <c r="B25" s="22" t="inlineStr"/>
      <c r="C25" s="35">
        <f>IF(B25="","",VLOOKUP(B25,Inventory!$A$5:$J$104,10,FALSE))</f>
        <v/>
      </c>
      <c r="D25" s="25" t="inlineStr"/>
      <c r="E25" s="25" t="inlineStr"/>
      <c r="F25" s="25" t="inlineStr"/>
      <c r="G25" s="36" t="inlineStr"/>
      <c r="H25" s="36" t="inlineStr"/>
      <c r="I25" s="36" t="inlineStr"/>
      <c r="J25" s="35">
        <f>IF(B25="","",ROUND((C25+D25+E25+F25)/(1-(G25+H25+I25)),2))</f>
        <v/>
      </c>
      <c r="K25" s="35">
        <f>IF(J25="","",J25-(C25+D25+E25+F25)-(J25*G25)-(J25*H25))</f>
        <v/>
      </c>
      <c r="L25" s="37">
        <f>IF(J25="","",IF(J25=0,"",K25/J25))</f>
        <v/>
      </c>
      <c r="M25" s="22" t="inlineStr"/>
    </row>
    <row r="26">
      <c r="A26" s="22" t="inlineStr"/>
      <c r="B26" s="22" t="inlineStr"/>
      <c r="C26" s="35">
        <f>IF(B26="","",VLOOKUP(B26,Inventory!$A$5:$J$104,10,FALSE))</f>
        <v/>
      </c>
      <c r="D26" s="25" t="inlineStr"/>
      <c r="E26" s="25" t="inlineStr"/>
      <c r="F26" s="25" t="inlineStr"/>
      <c r="G26" s="36" t="inlineStr"/>
      <c r="H26" s="36" t="inlineStr"/>
      <c r="I26" s="36" t="inlineStr"/>
      <c r="J26" s="35">
        <f>IF(B26="","",ROUND((C26+D26+E26+F26)/(1-(G26+H26+I26)),2))</f>
        <v/>
      </c>
      <c r="K26" s="35">
        <f>IF(J26="","",J26-(C26+D26+E26+F26)-(J26*G26)-(J26*H26))</f>
        <v/>
      </c>
      <c r="L26" s="37">
        <f>IF(J26="","",IF(J26=0,"",K26/J26))</f>
        <v/>
      </c>
      <c r="M26" s="22" t="inlineStr"/>
    </row>
    <row r="27">
      <c r="A27" s="22" t="inlineStr"/>
      <c r="B27" s="22" t="inlineStr"/>
      <c r="C27" s="35">
        <f>IF(B27="","",VLOOKUP(B27,Inventory!$A$5:$J$104,10,FALSE))</f>
        <v/>
      </c>
      <c r="D27" s="25" t="inlineStr"/>
      <c r="E27" s="25" t="inlineStr"/>
      <c r="F27" s="25" t="inlineStr"/>
      <c r="G27" s="36" t="inlineStr"/>
      <c r="H27" s="36" t="inlineStr"/>
      <c r="I27" s="36" t="inlineStr"/>
      <c r="J27" s="35">
        <f>IF(B27="","",ROUND((C27+D27+E27+F27)/(1-(G27+H27+I27)),2))</f>
        <v/>
      </c>
      <c r="K27" s="35">
        <f>IF(J27="","",J27-(C27+D27+E27+F27)-(J27*G27)-(J27*H27))</f>
        <v/>
      </c>
      <c r="L27" s="37">
        <f>IF(J27="","",IF(J27=0,"",K27/J27))</f>
        <v/>
      </c>
      <c r="M27" s="22" t="inlineStr"/>
    </row>
    <row r="28">
      <c r="A28" s="22" t="inlineStr"/>
      <c r="B28" s="22" t="inlineStr"/>
      <c r="C28" s="35">
        <f>IF(B28="","",VLOOKUP(B28,Inventory!$A$5:$J$104,10,FALSE))</f>
        <v/>
      </c>
      <c r="D28" s="25" t="inlineStr"/>
      <c r="E28" s="25" t="inlineStr"/>
      <c r="F28" s="25" t="inlineStr"/>
      <c r="G28" s="36" t="inlineStr"/>
      <c r="H28" s="36" t="inlineStr"/>
      <c r="I28" s="36" t="inlineStr"/>
      <c r="J28" s="35">
        <f>IF(B28="","",ROUND((C28+D28+E28+F28)/(1-(G28+H28+I28)),2))</f>
        <v/>
      </c>
      <c r="K28" s="35">
        <f>IF(J28="","",J28-(C28+D28+E28+F28)-(J28*G28)-(J28*H28))</f>
        <v/>
      </c>
      <c r="L28" s="37">
        <f>IF(J28="","",IF(J28=0,"",K28/J28))</f>
        <v/>
      </c>
      <c r="M28" s="22" t="inlineStr"/>
    </row>
    <row r="29">
      <c r="A29" s="22" t="inlineStr"/>
      <c r="B29" s="22" t="inlineStr"/>
      <c r="C29" s="35">
        <f>IF(B29="","",VLOOKUP(B29,Inventory!$A$5:$J$104,10,FALSE))</f>
        <v/>
      </c>
      <c r="D29" s="25" t="inlineStr"/>
      <c r="E29" s="25" t="inlineStr"/>
      <c r="F29" s="25" t="inlineStr"/>
      <c r="G29" s="36" t="inlineStr"/>
      <c r="H29" s="36" t="inlineStr"/>
      <c r="I29" s="36" t="inlineStr"/>
      <c r="J29" s="35">
        <f>IF(B29="","",ROUND((C29+D29+E29+F29)/(1-(G29+H29+I29)),2))</f>
        <v/>
      </c>
      <c r="K29" s="35">
        <f>IF(J29="","",J29-(C29+D29+E29+F29)-(J29*G29)-(J29*H29))</f>
        <v/>
      </c>
      <c r="L29" s="37">
        <f>IF(J29="","",IF(J29=0,"",K29/J29))</f>
        <v/>
      </c>
      <c r="M29" s="22" t="inlineStr"/>
    </row>
    <row r="30">
      <c r="A30" s="22" t="inlineStr"/>
      <c r="B30" s="22" t="inlineStr"/>
      <c r="C30" s="35">
        <f>IF(B30="","",VLOOKUP(B30,Inventory!$A$5:$J$104,10,FALSE))</f>
        <v/>
      </c>
      <c r="D30" s="25" t="inlineStr"/>
      <c r="E30" s="25" t="inlineStr"/>
      <c r="F30" s="25" t="inlineStr"/>
      <c r="G30" s="36" t="inlineStr"/>
      <c r="H30" s="36" t="inlineStr"/>
      <c r="I30" s="36" t="inlineStr"/>
      <c r="J30" s="35">
        <f>IF(B30="","",ROUND((C30+D30+E30+F30)/(1-(G30+H30+I30)),2))</f>
        <v/>
      </c>
      <c r="K30" s="35">
        <f>IF(J30="","",J30-(C30+D30+E30+F30)-(J30*G30)-(J30*H30))</f>
        <v/>
      </c>
      <c r="L30" s="37">
        <f>IF(J30="","",IF(J30=0,"",K30/J30))</f>
        <v/>
      </c>
      <c r="M30" s="22" t="inlineStr"/>
    </row>
    <row r="31">
      <c r="A31" s="22" t="inlineStr"/>
      <c r="B31" s="22" t="inlineStr"/>
      <c r="C31" s="35">
        <f>IF(B31="","",VLOOKUP(B31,Inventory!$A$5:$J$104,10,FALSE))</f>
        <v/>
      </c>
      <c r="D31" s="25" t="inlineStr"/>
      <c r="E31" s="25" t="inlineStr"/>
      <c r="F31" s="25" t="inlineStr"/>
      <c r="G31" s="36" t="inlineStr"/>
      <c r="H31" s="36" t="inlineStr"/>
      <c r="I31" s="36" t="inlineStr"/>
      <c r="J31" s="35">
        <f>IF(B31="","",ROUND((C31+D31+E31+F31)/(1-(G31+H31+I31)),2))</f>
        <v/>
      </c>
      <c r="K31" s="35">
        <f>IF(J31="","",J31-(C31+D31+E31+F31)-(J31*G31)-(J31*H31))</f>
        <v/>
      </c>
      <c r="L31" s="37">
        <f>IF(J31="","",IF(J31=0,"",K31/J31))</f>
        <v/>
      </c>
      <c r="M31" s="22" t="inlineStr"/>
    </row>
    <row r="32">
      <c r="A32" s="22" t="inlineStr"/>
      <c r="B32" s="22" t="inlineStr"/>
      <c r="C32" s="35">
        <f>IF(B32="","",VLOOKUP(B32,Inventory!$A$5:$J$104,10,FALSE))</f>
        <v/>
      </c>
      <c r="D32" s="25" t="inlineStr"/>
      <c r="E32" s="25" t="inlineStr"/>
      <c r="F32" s="25" t="inlineStr"/>
      <c r="G32" s="36" t="inlineStr"/>
      <c r="H32" s="36" t="inlineStr"/>
      <c r="I32" s="36" t="inlineStr"/>
      <c r="J32" s="35">
        <f>IF(B32="","",ROUND((C32+D32+E32+F32)/(1-(G32+H32+I32)),2))</f>
        <v/>
      </c>
      <c r="K32" s="35">
        <f>IF(J32="","",J32-(C32+D32+E32+F32)-(J32*G32)-(J32*H32))</f>
        <v/>
      </c>
      <c r="L32" s="37">
        <f>IF(J32="","",IF(J32=0,"",K32/J32))</f>
        <v/>
      </c>
      <c r="M32" s="22" t="inlineStr"/>
    </row>
    <row r="33">
      <c r="A33" s="22" t="inlineStr"/>
      <c r="B33" s="22" t="inlineStr"/>
      <c r="C33" s="35">
        <f>IF(B33="","",VLOOKUP(B33,Inventory!$A$5:$J$104,10,FALSE))</f>
        <v/>
      </c>
      <c r="D33" s="25" t="inlineStr"/>
      <c r="E33" s="25" t="inlineStr"/>
      <c r="F33" s="25" t="inlineStr"/>
      <c r="G33" s="36" t="inlineStr"/>
      <c r="H33" s="36" t="inlineStr"/>
      <c r="I33" s="36" t="inlineStr"/>
      <c r="J33" s="35">
        <f>IF(B33="","",ROUND((C33+D33+E33+F33)/(1-(G33+H33+I33)),2))</f>
        <v/>
      </c>
      <c r="K33" s="35">
        <f>IF(J33="","",J33-(C33+D33+E33+F33)-(J33*G33)-(J33*H33))</f>
        <v/>
      </c>
      <c r="L33" s="37">
        <f>IF(J33="","",IF(J33=0,"",K33/J33))</f>
        <v/>
      </c>
      <c r="M33" s="22" t="inlineStr"/>
    </row>
    <row r="34">
      <c r="A34" s="22" t="inlineStr"/>
      <c r="B34" s="22" t="inlineStr"/>
      <c r="C34" s="35">
        <f>IF(B34="","",VLOOKUP(B34,Inventory!$A$5:$J$104,10,FALSE))</f>
        <v/>
      </c>
      <c r="D34" s="25" t="inlineStr"/>
      <c r="E34" s="25" t="inlineStr"/>
      <c r="F34" s="25" t="inlineStr"/>
      <c r="G34" s="36" t="inlineStr"/>
      <c r="H34" s="36" t="inlineStr"/>
      <c r="I34" s="36" t="inlineStr"/>
      <c r="J34" s="35">
        <f>IF(B34="","",ROUND((C34+D34+E34+F34)/(1-(G34+H34+I34)),2))</f>
        <v/>
      </c>
      <c r="K34" s="35">
        <f>IF(J34="","",J34-(C34+D34+E34+F34)-(J34*G34)-(J34*H34))</f>
        <v/>
      </c>
      <c r="L34" s="37">
        <f>IF(J34="","",IF(J34=0,"",K34/J34))</f>
        <v/>
      </c>
      <c r="M34" s="22" t="inlineStr"/>
    </row>
    <row r="35">
      <c r="A35" s="22" t="inlineStr"/>
      <c r="B35" s="22" t="inlineStr"/>
      <c r="C35" s="35">
        <f>IF(B35="","",VLOOKUP(B35,Inventory!$A$5:$J$104,10,FALSE))</f>
        <v/>
      </c>
      <c r="D35" s="25" t="inlineStr"/>
      <c r="E35" s="25" t="inlineStr"/>
      <c r="F35" s="25" t="inlineStr"/>
      <c r="G35" s="36" t="inlineStr"/>
      <c r="H35" s="36" t="inlineStr"/>
      <c r="I35" s="36" t="inlineStr"/>
      <c r="J35" s="35">
        <f>IF(B35="","",ROUND((C35+D35+E35+F35)/(1-(G35+H35+I35)),2))</f>
        <v/>
      </c>
      <c r="K35" s="35">
        <f>IF(J35="","",J35-(C35+D35+E35+F35)-(J35*G35)-(J35*H35))</f>
        <v/>
      </c>
      <c r="L35" s="37">
        <f>IF(J35="","",IF(J35=0,"",K35/J35))</f>
        <v/>
      </c>
      <c r="M35" s="22" t="inlineStr"/>
    </row>
    <row r="36">
      <c r="A36" s="22" t="inlineStr"/>
      <c r="B36" s="22" t="inlineStr"/>
      <c r="C36" s="35">
        <f>IF(B36="","",VLOOKUP(B36,Inventory!$A$5:$J$104,10,FALSE))</f>
        <v/>
      </c>
      <c r="D36" s="25" t="inlineStr"/>
      <c r="E36" s="25" t="inlineStr"/>
      <c r="F36" s="25" t="inlineStr"/>
      <c r="G36" s="36" t="inlineStr"/>
      <c r="H36" s="36" t="inlineStr"/>
      <c r="I36" s="36" t="inlineStr"/>
      <c r="J36" s="35">
        <f>IF(B36="","",ROUND((C36+D36+E36+F36)/(1-(G36+H36+I36)),2))</f>
        <v/>
      </c>
      <c r="K36" s="35">
        <f>IF(J36="","",J36-(C36+D36+E36+F36)-(J36*G36)-(J36*H36))</f>
        <v/>
      </c>
      <c r="L36" s="37">
        <f>IF(J36="","",IF(J36=0,"",K36/J36))</f>
        <v/>
      </c>
      <c r="M36" s="22" t="inlineStr"/>
    </row>
    <row r="37">
      <c r="A37" s="22" t="inlineStr"/>
      <c r="B37" s="22" t="inlineStr"/>
      <c r="C37" s="35">
        <f>IF(B37="","",VLOOKUP(B37,Inventory!$A$5:$J$104,10,FALSE))</f>
        <v/>
      </c>
      <c r="D37" s="25" t="inlineStr"/>
      <c r="E37" s="25" t="inlineStr"/>
      <c r="F37" s="25" t="inlineStr"/>
      <c r="G37" s="36" t="inlineStr"/>
      <c r="H37" s="36" t="inlineStr"/>
      <c r="I37" s="36" t="inlineStr"/>
      <c r="J37" s="35">
        <f>IF(B37="","",ROUND((C37+D37+E37+F37)/(1-(G37+H37+I37)),2))</f>
        <v/>
      </c>
      <c r="K37" s="35">
        <f>IF(J37="","",J37-(C37+D37+E37+F37)-(J37*G37)-(J37*H37))</f>
        <v/>
      </c>
      <c r="L37" s="37">
        <f>IF(J37="","",IF(J37=0,"",K37/J37))</f>
        <v/>
      </c>
      <c r="M37" s="22" t="inlineStr"/>
    </row>
    <row r="38">
      <c r="A38" s="22" t="inlineStr"/>
      <c r="B38" s="22" t="inlineStr"/>
      <c r="C38" s="35">
        <f>IF(B38="","",VLOOKUP(B38,Inventory!$A$5:$J$104,10,FALSE))</f>
        <v/>
      </c>
      <c r="D38" s="25" t="inlineStr"/>
      <c r="E38" s="25" t="inlineStr"/>
      <c r="F38" s="25" t="inlineStr"/>
      <c r="G38" s="36" t="inlineStr"/>
      <c r="H38" s="36" t="inlineStr"/>
      <c r="I38" s="36" t="inlineStr"/>
      <c r="J38" s="35">
        <f>IF(B38="","",ROUND((C38+D38+E38+F38)/(1-(G38+H38+I38)),2))</f>
        <v/>
      </c>
      <c r="K38" s="35">
        <f>IF(J38="","",J38-(C38+D38+E38+F38)-(J38*G38)-(J38*H38))</f>
        <v/>
      </c>
      <c r="L38" s="37">
        <f>IF(J38="","",IF(J38=0,"",K38/J38))</f>
        <v/>
      </c>
      <c r="M38" s="22" t="inlineStr"/>
    </row>
    <row r="39">
      <c r="A39" s="22" t="inlineStr"/>
      <c r="B39" s="22" t="inlineStr"/>
      <c r="C39" s="35">
        <f>IF(B39="","",VLOOKUP(B39,Inventory!$A$5:$J$104,10,FALSE))</f>
        <v/>
      </c>
      <c r="D39" s="25" t="inlineStr"/>
      <c r="E39" s="25" t="inlineStr"/>
      <c r="F39" s="25" t="inlineStr"/>
      <c r="G39" s="36" t="inlineStr"/>
      <c r="H39" s="36" t="inlineStr"/>
      <c r="I39" s="36" t="inlineStr"/>
      <c r="J39" s="35">
        <f>IF(B39="","",ROUND((C39+D39+E39+F39)/(1-(G39+H39+I39)),2))</f>
        <v/>
      </c>
      <c r="K39" s="35">
        <f>IF(J39="","",J39-(C39+D39+E39+F39)-(J39*G39)-(J39*H39))</f>
        <v/>
      </c>
      <c r="L39" s="37">
        <f>IF(J39="","",IF(J39=0,"",K39/J39))</f>
        <v/>
      </c>
      <c r="M39" s="22" t="inlineStr"/>
    </row>
    <row r="40">
      <c r="A40" s="22" t="inlineStr"/>
      <c r="B40" s="22" t="inlineStr"/>
      <c r="C40" s="35">
        <f>IF(B40="","",VLOOKUP(B40,Inventory!$A$5:$J$104,10,FALSE))</f>
        <v/>
      </c>
      <c r="D40" s="25" t="inlineStr"/>
      <c r="E40" s="25" t="inlineStr"/>
      <c r="F40" s="25" t="inlineStr"/>
      <c r="G40" s="36" t="inlineStr"/>
      <c r="H40" s="36" t="inlineStr"/>
      <c r="I40" s="36" t="inlineStr"/>
      <c r="J40" s="35">
        <f>IF(B40="","",ROUND((C40+D40+E40+F40)/(1-(G40+H40+I40)),2))</f>
        <v/>
      </c>
      <c r="K40" s="35">
        <f>IF(J40="","",J40-(C40+D40+E40+F40)-(J40*G40)-(J40*H40))</f>
        <v/>
      </c>
      <c r="L40" s="37">
        <f>IF(J40="","",IF(J40=0,"",K40/J40))</f>
        <v/>
      </c>
      <c r="M40" s="22" t="inlineStr"/>
    </row>
    <row r="41">
      <c r="A41" s="22" t="inlineStr"/>
      <c r="B41" s="22" t="inlineStr"/>
      <c r="C41" s="35">
        <f>IF(B41="","",VLOOKUP(B41,Inventory!$A$5:$J$104,10,FALSE))</f>
        <v/>
      </c>
      <c r="D41" s="25" t="inlineStr"/>
      <c r="E41" s="25" t="inlineStr"/>
      <c r="F41" s="25" t="inlineStr"/>
      <c r="G41" s="36" t="inlineStr"/>
      <c r="H41" s="36" t="inlineStr"/>
      <c r="I41" s="36" t="inlineStr"/>
      <c r="J41" s="35">
        <f>IF(B41="","",ROUND((C41+D41+E41+F41)/(1-(G41+H41+I41)),2))</f>
        <v/>
      </c>
      <c r="K41" s="35">
        <f>IF(J41="","",J41-(C41+D41+E41+F41)-(J41*G41)-(J41*H41))</f>
        <v/>
      </c>
      <c r="L41" s="37">
        <f>IF(J41="","",IF(J41=0,"",K41/J41))</f>
        <v/>
      </c>
      <c r="M41" s="22" t="inlineStr"/>
    </row>
    <row r="42">
      <c r="A42" s="22" t="inlineStr"/>
      <c r="B42" s="22" t="inlineStr"/>
      <c r="C42" s="35">
        <f>IF(B42="","",VLOOKUP(B42,Inventory!$A$5:$J$104,10,FALSE))</f>
        <v/>
      </c>
      <c r="D42" s="25" t="inlineStr"/>
      <c r="E42" s="25" t="inlineStr"/>
      <c r="F42" s="25" t="inlineStr"/>
      <c r="G42" s="36" t="inlineStr"/>
      <c r="H42" s="36" t="inlineStr"/>
      <c r="I42" s="36" t="inlineStr"/>
      <c r="J42" s="35">
        <f>IF(B42="","",ROUND((C42+D42+E42+F42)/(1-(G42+H42+I42)),2))</f>
        <v/>
      </c>
      <c r="K42" s="35">
        <f>IF(J42="","",J42-(C42+D42+E42+F42)-(J42*G42)-(J42*H42))</f>
        <v/>
      </c>
      <c r="L42" s="37">
        <f>IF(J42="","",IF(J42=0,"",K42/J42))</f>
        <v/>
      </c>
      <c r="M42" s="22" t="inlineStr"/>
    </row>
    <row r="43">
      <c r="A43" s="22" t="inlineStr"/>
      <c r="B43" s="22" t="inlineStr"/>
      <c r="C43" s="35">
        <f>IF(B43="","",VLOOKUP(B43,Inventory!$A$5:$J$104,10,FALSE))</f>
        <v/>
      </c>
      <c r="D43" s="25" t="inlineStr"/>
      <c r="E43" s="25" t="inlineStr"/>
      <c r="F43" s="25" t="inlineStr"/>
      <c r="G43" s="36" t="inlineStr"/>
      <c r="H43" s="36" t="inlineStr"/>
      <c r="I43" s="36" t="inlineStr"/>
      <c r="J43" s="35">
        <f>IF(B43="","",ROUND((C43+D43+E43+F43)/(1-(G43+H43+I43)),2))</f>
        <v/>
      </c>
      <c r="K43" s="35">
        <f>IF(J43="","",J43-(C43+D43+E43+F43)-(J43*G43)-(J43*H43))</f>
        <v/>
      </c>
      <c r="L43" s="37">
        <f>IF(J43="","",IF(J43=0,"",K43/J43))</f>
        <v/>
      </c>
      <c r="M43" s="22" t="inlineStr"/>
    </row>
    <row r="44">
      <c r="A44" s="22" t="inlineStr"/>
      <c r="B44" s="22" t="inlineStr"/>
      <c r="C44" s="35">
        <f>IF(B44="","",VLOOKUP(B44,Inventory!$A$5:$J$104,10,FALSE))</f>
        <v/>
      </c>
      <c r="D44" s="25" t="inlineStr"/>
      <c r="E44" s="25" t="inlineStr"/>
      <c r="F44" s="25" t="inlineStr"/>
      <c r="G44" s="36" t="inlineStr"/>
      <c r="H44" s="36" t="inlineStr"/>
      <c r="I44" s="36" t="inlineStr"/>
      <c r="J44" s="35">
        <f>IF(B44="","",ROUND((C44+D44+E44+F44)/(1-(G44+H44+I44)),2))</f>
        <v/>
      </c>
      <c r="K44" s="35">
        <f>IF(J44="","",J44-(C44+D44+E44+F44)-(J44*G44)-(J44*H44))</f>
        <v/>
      </c>
      <c r="L44" s="37">
        <f>IF(J44="","",IF(J44=0,"",K44/J44))</f>
        <v/>
      </c>
      <c r="M44" s="22" t="inlineStr"/>
    </row>
    <row r="45">
      <c r="A45" s="22" t="inlineStr"/>
      <c r="B45" s="22" t="inlineStr"/>
      <c r="C45" s="35">
        <f>IF(B45="","",VLOOKUP(B45,Inventory!$A$5:$J$104,10,FALSE))</f>
        <v/>
      </c>
      <c r="D45" s="25" t="inlineStr"/>
      <c r="E45" s="25" t="inlineStr"/>
      <c r="F45" s="25" t="inlineStr"/>
      <c r="G45" s="36" t="inlineStr"/>
      <c r="H45" s="36" t="inlineStr"/>
      <c r="I45" s="36" t="inlineStr"/>
      <c r="J45" s="35">
        <f>IF(B45="","",ROUND((C45+D45+E45+F45)/(1-(G45+H45+I45)),2))</f>
        <v/>
      </c>
      <c r="K45" s="35">
        <f>IF(J45="","",J45-(C45+D45+E45+F45)-(J45*G45)-(J45*H45))</f>
        <v/>
      </c>
      <c r="L45" s="37">
        <f>IF(J45="","",IF(J45=0,"",K45/J45))</f>
        <v/>
      </c>
      <c r="M45" s="22" t="inlineStr"/>
    </row>
    <row r="46">
      <c r="A46" s="22" t="inlineStr"/>
      <c r="B46" s="22" t="inlineStr"/>
      <c r="C46" s="35">
        <f>IF(B46="","",VLOOKUP(B46,Inventory!$A$5:$J$104,10,FALSE))</f>
        <v/>
      </c>
      <c r="D46" s="25" t="inlineStr"/>
      <c r="E46" s="25" t="inlineStr"/>
      <c r="F46" s="25" t="inlineStr"/>
      <c r="G46" s="36" t="inlineStr"/>
      <c r="H46" s="36" t="inlineStr"/>
      <c r="I46" s="36" t="inlineStr"/>
      <c r="J46" s="35">
        <f>IF(B46="","",ROUND((C46+D46+E46+F46)/(1-(G46+H46+I46)),2))</f>
        <v/>
      </c>
      <c r="K46" s="35">
        <f>IF(J46="","",J46-(C46+D46+E46+F46)-(J46*G46)-(J46*H46))</f>
        <v/>
      </c>
      <c r="L46" s="37">
        <f>IF(J46="","",IF(J46=0,"",K46/J46))</f>
        <v/>
      </c>
      <c r="M46" s="22" t="inlineStr"/>
    </row>
    <row r="47">
      <c r="A47" s="22" t="inlineStr"/>
      <c r="B47" s="22" t="inlineStr"/>
      <c r="C47" s="35">
        <f>IF(B47="","",VLOOKUP(B47,Inventory!$A$5:$J$104,10,FALSE))</f>
        <v/>
      </c>
      <c r="D47" s="25" t="inlineStr"/>
      <c r="E47" s="25" t="inlineStr"/>
      <c r="F47" s="25" t="inlineStr"/>
      <c r="G47" s="36" t="inlineStr"/>
      <c r="H47" s="36" t="inlineStr"/>
      <c r="I47" s="36" t="inlineStr"/>
      <c r="J47" s="35">
        <f>IF(B47="","",ROUND((C47+D47+E47+F47)/(1-(G47+H47+I47)),2))</f>
        <v/>
      </c>
      <c r="K47" s="35">
        <f>IF(J47="","",J47-(C47+D47+E47+F47)-(J47*G47)-(J47*H47))</f>
        <v/>
      </c>
      <c r="L47" s="37">
        <f>IF(J47="","",IF(J47=0,"",K47/J47))</f>
        <v/>
      </c>
      <c r="M47" s="22" t="inlineStr"/>
    </row>
    <row r="48">
      <c r="A48" s="22" t="inlineStr"/>
      <c r="B48" s="22" t="inlineStr"/>
      <c r="C48" s="35">
        <f>IF(B48="","",VLOOKUP(B48,Inventory!$A$5:$J$104,10,FALSE))</f>
        <v/>
      </c>
      <c r="D48" s="25" t="inlineStr"/>
      <c r="E48" s="25" t="inlineStr"/>
      <c r="F48" s="25" t="inlineStr"/>
      <c r="G48" s="36" t="inlineStr"/>
      <c r="H48" s="36" t="inlineStr"/>
      <c r="I48" s="36" t="inlineStr"/>
      <c r="J48" s="35">
        <f>IF(B48="","",ROUND((C48+D48+E48+F48)/(1-(G48+H48+I48)),2))</f>
        <v/>
      </c>
      <c r="K48" s="35">
        <f>IF(J48="","",J48-(C48+D48+E48+F48)-(J48*G48)-(J48*H48))</f>
        <v/>
      </c>
      <c r="L48" s="37">
        <f>IF(J48="","",IF(J48=0,"",K48/J48))</f>
        <v/>
      </c>
      <c r="M48" s="22" t="inlineStr"/>
    </row>
    <row r="49">
      <c r="A49" s="22" t="inlineStr"/>
      <c r="B49" s="22" t="inlineStr"/>
      <c r="C49" s="35">
        <f>IF(B49="","",VLOOKUP(B49,Inventory!$A$5:$J$104,10,FALSE))</f>
        <v/>
      </c>
      <c r="D49" s="25" t="inlineStr"/>
      <c r="E49" s="25" t="inlineStr"/>
      <c r="F49" s="25" t="inlineStr"/>
      <c r="G49" s="36" t="inlineStr"/>
      <c r="H49" s="36" t="inlineStr"/>
      <c r="I49" s="36" t="inlineStr"/>
      <c r="J49" s="35">
        <f>IF(B49="","",ROUND((C49+D49+E49+F49)/(1-(G49+H49+I49)),2))</f>
        <v/>
      </c>
      <c r="K49" s="35">
        <f>IF(J49="","",J49-(C49+D49+E49+F49)-(J49*G49)-(J49*H49))</f>
        <v/>
      </c>
      <c r="L49" s="37">
        <f>IF(J49="","",IF(J49=0,"",K49/J49))</f>
        <v/>
      </c>
      <c r="M49" s="22" t="inlineStr"/>
    </row>
    <row r="50">
      <c r="A50" s="22" t="inlineStr"/>
      <c r="B50" s="22" t="inlineStr"/>
      <c r="C50" s="35">
        <f>IF(B50="","",VLOOKUP(B50,Inventory!$A$5:$J$104,10,FALSE))</f>
        <v/>
      </c>
      <c r="D50" s="25" t="inlineStr"/>
      <c r="E50" s="25" t="inlineStr"/>
      <c r="F50" s="25" t="inlineStr"/>
      <c r="G50" s="36" t="inlineStr"/>
      <c r="H50" s="36" t="inlineStr"/>
      <c r="I50" s="36" t="inlineStr"/>
      <c r="J50" s="35">
        <f>IF(B50="","",ROUND((C50+D50+E50+F50)/(1-(G50+H50+I50)),2))</f>
        <v/>
      </c>
      <c r="K50" s="35">
        <f>IF(J50="","",J50-(C50+D50+E50+F50)-(J50*G50)-(J50*H50))</f>
        <v/>
      </c>
      <c r="L50" s="37">
        <f>IF(J50="","",IF(J50=0,"",K50/J50))</f>
        <v/>
      </c>
      <c r="M50" s="22" t="inlineStr"/>
    </row>
    <row r="51">
      <c r="A51" s="22" t="inlineStr"/>
      <c r="B51" s="22" t="inlineStr"/>
      <c r="C51" s="35">
        <f>IF(B51="","",VLOOKUP(B51,Inventory!$A$5:$J$104,10,FALSE))</f>
        <v/>
      </c>
      <c r="D51" s="25" t="inlineStr"/>
      <c r="E51" s="25" t="inlineStr"/>
      <c r="F51" s="25" t="inlineStr"/>
      <c r="G51" s="36" t="inlineStr"/>
      <c r="H51" s="36" t="inlineStr"/>
      <c r="I51" s="36" t="inlineStr"/>
      <c r="J51" s="35">
        <f>IF(B51="","",ROUND((C51+D51+E51+F51)/(1-(G51+H51+I51)),2))</f>
        <v/>
      </c>
      <c r="K51" s="35">
        <f>IF(J51="","",J51-(C51+D51+E51+F51)-(J51*G51)-(J51*H51))</f>
        <v/>
      </c>
      <c r="L51" s="37">
        <f>IF(J51="","",IF(J51=0,"",K51/J51))</f>
        <v/>
      </c>
      <c r="M51" s="22" t="inlineStr"/>
    </row>
    <row r="52">
      <c r="A52" s="22" t="inlineStr"/>
      <c r="B52" s="22" t="inlineStr"/>
      <c r="C52" s="35">
        <f>IF(B52="","",VLOOKUP(B52,Inventory!$A$5:$J$104,10,FALSE))</f>
        <v/>
      </c>
      <c r="D52" s="25" t="inlineStr"/>
      <c r="E52" s="25" t="inlineStr"/>
      <c r="F52" s="25" t="inlineStr"/>
      <c r="G52" s="36" t="inlineStr"/>
      <c r="H52" s="36" t="inlineStr"/>
      <c r="I52" s="36" t="inlineStr"/>
      <c r="J52" s="35">
        <f>IF(B52="","",ROUND((C52+D52+E52+F52)/(1-(G52+H52+I52)),2))</f>
        <v/>
      </c>
      <c r="K52" s="35">
        <f>IF(J52="","",J52-(C52+D52+E52+F52)-(J52*G52)-(J52*H52))</f>
        <v/>
      </c>
      <c r="L52" s="37">
        <f>IF(J52="","",IF(J52=0,"",K52/J52))</f>
        <v/>
      </c>
      <c r="M52" s="22" t="inlineStr"/>
    </row>
    <row r="53">
      <c r="A53" s="22" t="inlineStr"/>
      <c r="B53" s="22" t="inlineStr"/>
      <c r="C53" s="35">
        <f>IF(B53="","",VLOOKUP(B53,Inventory!$A$5:$J$104,10,FALSE))</f>
        <v/>
      </c>
      <c r="D53" s="25" t="inlineStr"/>
      <c r="E53" s="25" t="inlineStr"/>
      <c r="F53" s="25" t="inlineStr"/>
      <c r="G53" s="36" t="inlineStr"/>
      <c r="H53" s="36" t="inlineStr"/>
      <c r="I53" s="36" t="inlineStr"/>
      <c r="J53" s="35">
        <f>IF(B53="","",ROUND((C53+D53+E53+F53)/(1-(G53+H53+I53)),2))</f>
        <v/>
      </c>
      <c r="K53" s="35">
        <f>IF(J53="","",J53-(C53+D53+E53+F53)-(J53*G53)-(J53*H53))</f>
        <v/>
      </c>
      <c r="L53" s="37">
        <f>IF(J53="","",IF(J53=0,"",K53/J53))</f>
        <v/>
      </c>
      <c r="M53" s="22" t="inlineStr"/>
    </row>
    <row r="54">
      <c r="A54" s="22" t="inlineStr"/>
      <c r="B54" s="22" t="inlineStr"/>
      <c r="C54" s="35">
        <f>IF(B54="","",VLOOKUP(B54,Inventory!$A$5:$J$104,10,FALSE))</f>
        <v/>
      </c>
      <c r="D54" s="25" t="inlineStr"/>
      <c r="E54" s="25" t="inlineStr"/>
      <c r="F54" s="25" t="inlineStr"/>
      <c r="G54" s="36" t="inlineStr"/>
      <c r="H54" s="36" t="inlineStr"/>
      <c r="I54" s="36" t="inlineStr"/>
      <c r="J54" s="35">
        <f>IF(B54="","",ROUND((C54+D54+E54+F54)/(1-(G54+H54+I54)),2))</f>
        <v/>
      </c>
      <c r="K54" s="35">
        <f>IF(J54="","",J54-(C54+D54+E54+F54)-(J54*G54)-(J54*H54))</f>
        <v/>
      </c>
      <c r="L54" s="37">
        <f>IF(J54="","",IF(J54=0,"",K54/J54))</f>
        <v/>
      </c>
      <c r="M54" s="22" t="inlineStr"/>
    </row>
    <row r="55">
      <c r="A55" s="22" t="inlineStr"/>
      <c r="B55" s="22" t="inlineStr"/>
      <c r="C55" s="35">
        <f>IF(B55="","",VLOOKUP(B55,Inventory!$A$5:$J$104,10,FALSE))</f>
        <v/>
      </c>
      <c r="D55" s="25" t="inlineStr"/>
      <c r="E55" s="25" t="inlineStr"/>
      <c r="F55" s="25" t="inlineStr"/>
      <c r="G55" s="36" t="inlineStr"/>
      <c r="H55" s="36" t="inlineStr"/>
      <c r="I55" s="36" t="inlineStr"/>
      <c r="J55" s="35">
        <f>IF(B55="","",ROUND((C55+D55+E55+F55)/(1-(G55+H55+I55)),2))</f>
        <v/>
      </c>
      <c r="K55" s="35">
        <f>IF(J55="","",J55-(C55+D55+E55+F55)-(J55*G55)-(J55*H55))</f>
        <v/>
      </c>
      <c r="L55" s="37">
        <f>IF(J55="","",IF(J55=0,"",K55/J55))</f>
        <v/>
      </c>
      <c r="M55" s="22" t="inlineStr"/>
    </row>
    <row r="56">
      <c r="A56" s="22" t="inlineStr"/>
      <c r="B56" s="22" t="inlineStr"/>
      <c r="C56" s="35">
        <f>IF(B56="","",VLOOKUP(B56,Inventory!$A$5:$J$104,10,FALSE))</f>
        <v/>
      </c>
      <c r="D56" s="25" t="inlineStr"/>
      <c r="E56" s="25" t="inlineStr"/>
      <c r="F56" s="25" t="inlineStr"/>
      <c r="G56" s="36" t="inlineStr"/>
      <c r="H56" s="36" t="inlineStr"/>
      <c r="I56" s="36" t="inlineStr"/>
      <c r="J56" s="35">
        <f>IF(B56="","",ROUND((C56+D56+E56+F56)/(1-(G56+H56+I56)),2))</f>
        <v/>
      </c>
      <c r="K56" s="35">
        <f>IF(J56="","",J56-(C56+D56+E56+F56)-(J56*G56)-(J56*H56))</f>
        <v/>
      </c>
      <c r="L56" s="37">
        <f>IF(J56="","",IF(J56=0,"",K56/J56))</f>
        <v/>
      </c>
      <c r="M56" s="22" t="inlineStr"/>
    </row>
    <row r="57">
      <c r="A57" s="22" t="inlineStr"/>
      <c r="B57" s="22" t="inlineStr"/>
      <c r="C57" s="35">
        <f>IF(B57="","",VLOOKUP(B57,Inventory!$A$5:$J$104,10,FALSE))</f>
        <v/>
      </c>
      <c r="D57" s="25" t="inlineStr"/>
      <c r="E57" s="25" t="inlineStr"/>
      <c r="F57" s="25" t="inlineStr"/>
      <c r="G57" s="36" t="inlineStr"/>
      <c r="H57" s="36" t="inlineStr"/>
      <c r="I57" s="36" t="inlineStr"/>
      <c r="J57" s="35">
        <f>IF(B57="","",ROUND((C57+D57+E57+F57)/(1-(G57+H57+I57)),2))</f>
        <v/>
      </c>
      <c r="K57" s="35">
        <f>IF(J57="","",J57-(C57+D57+E57+F57)-(J57*G57)-(J57*H57))</f>
        <v/>
      </c>
      <c r="L57" s="37">
        <f>IF(J57="","",IF(J57=0,"",K57/J57))</f>
        <v/>
      </c>
      <c r="M57" s="22" t="inlineStr"/>
    </row>
    <row r="58">
      <c r="A58" s="22" t="inlineStr"/>
      <c r="B58" s="22" t="inlineStr"/>
      <c r="C58" s="35">
        <f>IF(B58="","",VLOOKUP(B58,Inventory!$A$5:$J$104,10,FALSE))</f>
        <v/>
      </c>
      <c r="D58" s="25" t="inlineStr"/>
      <c r="E58" s="25" t="inlineStr"/>
      <c r="F58" s="25" t="inlineStr"/>
      <c r="G58" s="36" t="inlineStr"/>
      <c r="H58" s="36" t="inlineStr"/>
      <c r="I58" s="36" t="inlineStr"/>
      <c r="J58" s="35">
        <f>IF(B58="","",ROUND((C58+D58+E58+F58)/(1-(G58+H58+I58)),2))</f>
        <v/>
      </c>
      <c r="K58" s="35">
        <f>IF(J58="","",J58-(C58+D58+E58+F58)-(J58*G58)-(J58*H58))</f>
        <v/>
      </c>
      <c r="L58" s="37">
        <f>IF(J58="","",IF(J58=0,"",K58/J58))</f>
        <v/>
      </c>
      <c r="M58" s="22" t="inlineStr"/>
    </row>
    <row r="59">
      <c r="A59" s="22" t="inlineStr"/>
      <c r="B59" s="22" t="inlineStr"/>
      <c r="C59" s="35">
        <f>IF(B59="","",VLOOKUP(B59,Inventory!$A$5:$J$104,10,FALSE))</f>
        <v/>
      </c>
      <c r="D59" s="25" t="inlineStr"/>
      <c r="E59" s="25" t="inlineStr"/>
      <c r="F59" s="25" t="inlineStr"/>
      <c r="G59" s="36" t="inlineStr"/>
      <c r="H59" s="36" t="inlineStr"/>
      <c r="I59" s="36" t="inlineStr"/>
      <c r="J59" s="35">
        <f>IF(B59="","",ROUND((C59+D59+E59+F59)/(1-(G59+H59+I59)),2))</f>
        <v/>
      </c>
      <c r="K59" s="35">
        <f>IF(J59="","",J59-(C59+D59+E59+F59)-(J59*G59)-(J59*H59))</f>
        <v/>
      </c>
      <c r="L59" s="37">
        <f>IF(J59="","",IF(J59=0,"",K59/J59))</f>
        <v/>
      </c>
      <c r="M59" s="22" t="inlineStr"/>
    </row>
    <row r="60">
      <c r="A60" s="22" t="inlineStr"/>
      <c r="B60" s="22" t="inlineStr"/>
      <c r="C60" s="35">
        <f>IF(B60="","",VLOOKUP(B60,Inventory!$A$5:$J$104,10,FALSE))</f>
        <v/>
      </c>
      <c r="D60" s="25" t="inlineStr"/>
      <c r="E60" s="25" t="inlineStr"/>
      <c r="F60" s="25" t="inlineStr"/>
      <c r="G60" s="36" t="inlineStr"/>
      <c r="H60" s="36" t="inlineStr"/>
      <c r="I60" s="36" t="inlineStr"/>
      <c r="J60" s="35">
        <f>IF(B60="","",ROUND((C60+D60+E60+F60)/(1-(G60+H60+I60)),2))</f>
        <v/>
      </c>
      <c r="K60" s="35">
        <f>IF(J60="","",J60-(C60+D60+E60+F60)-(J60*G60)-(J60*H60))</f>
        <v/>
      </c>
      <c r="L60" s="37">
        <f>IF(J60="","",IF(J60=0,"",K60/J60))</f>
        <v/>
      </c>
      <c r="M60" s="22" t="inlineStr"/>
    </row>
    <row r="61">
      <c r="A61" s="22" t="inlineStr"/>
      <c r="B61" s="22" t="inlineStr"/>
      <c r="C61" s="35">
        <f>IF(B61="","",VLOOKUP(B61,Inventory!$A$5:$J$104,10,FALSE))</f>
        <v/>
      </c>
      <c r="D61" s="25" t="inlineStr"/>
      <c r="E61" s="25" t="inlineStr"/>
      <c r="F61" s="25" t="inlineStr"/>
      <c r="G61" s="36" t="inlineStr"/>
      <c r="H61" s="36" t="inlineStr"/>
      <c r="I61" s="36" t="inlineStr"/>
      <c r="J61" s="35">
        <f>IF(B61="","",ROUND((C61+D61+E61+F61)/(1-(G61+H61+I61)),2))</f>
        <v/>
      </c>
      <c r="K61" s="35">
        <f>IF(J61="","",J61-(C61+D61+E61+F61)-(J61*G61)-(J61*H61))</f>
        <v/>
      </c>
      <c r="L61" s="37">
        <f>IF(J61="","",IF(J61=0,"",K61/J61))</f>
        <v/>
      </c>
      <c r="M61" s="22" t="inlineStr"/>
    </row>
    <row r="62">
      <c r="A62" s="22" t="inlineStr"/>
      <c r="B62" s="22" t="inlineStr"/>
      <c r="C62" s="35">
        <f>IF(B62="","",VLOOKUP(B62,Inventory!$A$5:$J$104,10,FALSE))</f>
        <v/>
      </c>
      <c r="D62" s="25" t="inlineStr"/>
      <c r="E62" s="25" t="inlineStr"/>
      <c r="F62" s="25" t="inlineStr"/>
      <c r="G62" s="36" t="inlineStr"/>
      <c r="H62" s="36" t="inlineStr"/>
      <c r="I62" s="36" t="inlineStr"/>
      <c r="J62" s="35">
        <f>IF(B62="","",ROUND((C62+D62+E62+F62)/(1-(G62+H62+I62)),2))</f>
        <v/>
      </c>
      <c r="K62" s="35">
        <f>IF(J62="","",J62-(C62+D62+E62+F62)-(J62*G62)-(J62*H62))</f>
        <v/>
      </c>
      <c r="L62" s="37">
        <f>IF(J62="","",IF(J62=0,"",K62/J62))</f>
        <v/>
      </c>
      <c r="M62" s="22" t="inlineStr"/>
    </row>
    <row r="63">
      <c r="A63" s="22" t="inlineStr"/>
      <c r="B63" s="22" t="inlineStr"/>
      <c r="C63" s="35">
        <f>IF(B63="","",VLOOKUP(B63,Inventory!$A$5:$J$104,10,FALSE))</f>
        <v/>
      </c>
      <c r="D63" s="25" t="inlineStr"/>
      <c r="E63" s="25" t="inlineStr"/>
      <c r="F63" s="25" t="inlineStr"/>
      <c r="G63" s="36" t="inlineStr"/>
      <c r="H63" s="36" t="inlineStr"/>
      <c r="I63" s="36" t="inlineStr"/>
      <c r="J63" s="35">
        <f>IF(B63="","",ROUND((C63+D63+E63+F63)/(1-(G63+H63+I63)),2))</f>
        <v/>
      </c>
      <c r="K63" s="35">
        <f>IF(J63="","",J63-(C63+D63+E63+F63)-(J63*G63)-(J63*H63))</f>
        <v/>
      </c>
      <c r="L63" s="37">
        <f>IF(J63="","",IF(J63=0,"",K63/J63))</f>
        <v/>
      </c>
      <c r="M63" s="22" t="inlineStr"/>
    </row>
    <row r="64">
      <c r="A64" s="22" t="inlineStr"/>
      <c r="B64" s="22" t="inlineStr"/>
      <c r="C64" s="35">
        <f>IF(B64="","",VLOOKUP(B64,Inventory!$A$5:$J$104,10,FALSE))</f>
        <v/>
      </c>
      <c r="D64" s="25" t="inlineStr"/>
      <c r="E64" s="25" t="inlineStr"/>
      <c r="F64" s="25" t="inlineStr"/>
      <c r="G64" s="36" t="inlineStr"/>
      <c r="H64" s="36" t="inlineStr"/>
      <c r="I64" s="36" t="inlineStr"/>
      <c r="J64" s="35">
        <f>IF(B64="","",ROUND((C64+D64+E64+F64)/(1-(G64+H64+I64)),2))</f>
        <v/>
      </c>
      <c r="K64" s="35">
        <f>IF(J64="","",J64-(C64+D64+E64+F64)-(J64*G64)-(J64*H64))</f>
        <v/>
      </c>
      <c r="L64" s="37">
        <f>IF(J64="","",IF(J64=0,"",K64/J64))</f>
        <v/>
      </c>
      <c r="M64" s="22" t="inlineStr"/>
    </row>
    <row r="65">
      <c r="A65" s="22" t="inlineStr"/>
      <c r="B65" s="22" t="inlineStr"/>
      <c r="C65" s="35">
        <f>IF(B65="","",VLOOKUP(B65,Inventory!$A$5:$J$104,10,FALSE))</f>
        <v/>
      </c>
      <c r="D65" s="25" t="inlineStr"/>
      <c r="E65" s="25" t="inlineStr"/>
      <c r="F65" s="25" t="inlineStr"/>
      <c r="G65" s="36" t="inlineStr"/>
      <c r="H65" s="36" t="inlineStr"/>
      <c r="I65" s="36" t="inlineStr"/>
      <c r="J65" s="35">
        <f>IF(B65="","",ROUND((C65+D65+E65+F65)/(1-(G65+H65+I65)),2))</f>
        <v/>
      </c>
      <c r="K65" s="35">
        <f>IF(J65="","",J65-(C65+D65+E65+F65)-(J65*G65)-(J65*H65))</f>
        <v/>
      </c>
      <c r="L65" s="37">
        <f>IF(J65="","",IF(J65=0,"",K65/J65))</f>
        <v/>
      </c>
      <c r="M65" s="22" t="inlineStr"/>
    </row>
    <row r="66">
      <c r="A66" s="22" t="inlineStr"/>
      <c r="B66" s="22" t="inlineStr"/>
      <c r="C66" s="35">
        <f>IF(B66="","",VLOOKUP(B66,Inventory!$A$5:$J$104,10,FALSE))</f>
        <v/>
      </c>
      <c r="D66" s="25" t="inlineStr"/>
      <c r="E66" s="25" t="inlineStr"/>
      <c r="F66" s="25" t="inlineStr"/>
      <c r="G66" s="36" t="inlineStr"/>
      <c r="H66" s="36" t="inlineStr"/>
      <c r="I66" s="36" t="inlineStr"/>
      <c r="J66" s="35">
        <f>IF(B66="","",ROUND((C66+D66+E66+F66)/(1-(G66+H66+I66)),2))</f>
        <v/>
      </c>
      <c r="K66" s="35">
        <f>IF(J66="","",J66-(C66+D66+E66+F66)-(J66*G66)-(J66*H66))</f>
        <v/>
      </c>
      <c r="L66" s="37">
        <f>IF(J66="","",IF(J66=0,"",K66/J66))</f>
        <v/>
      </c>
      <c r="M66" s="22" t="inlineStr"/>
    </row>
    <row r="67">
      <c r="A67" s="22" t="inlineStr"/>
      <c r="B67" s="22" t="inlineStr"/>
      <c r="C67" s="35">
        <f>IF(B67="","",VLOOKUP(B67,Inventory!$A$5:$J$104,10,FALSE))</f>
        <v/>
      </c>
      <c r="D67" s="25" t="inlineStr"/>
      <c r="E67" s="25" t="inlineStr"/>
      <c r="F67" s="25" t="inlineStr"/>
      <c r="G67" s="36" t="inlineStr"/>
      <c r="H67" s="36" t="inlineStr"/>
      <c r="I67" s="36" t="inlineStr"/>
      <c r="J67" s="35">
        <f>IF(B67="","",ROUND((C67+D67+E67+F67)/(1-(G67+H67+I67)),2))</f>
        <v/>
      </c>
      <c r="K67" s="35">
        <f>IF(J67="","",J67-(C67+D67+E67+F67)-(J67*G67)-(J67*H67))</f>
        <v/>
      </c>
      <c r="L67" s="37">
        <f>IF(J67="","",IF(J67=0,"",K67/J67))</f>
        <v/>
      </c>
      <c r="M67" s="22" t="inlineStr"/>
    </row>
    <row r="68">
      <c r="A68" s="22" t="inlineStr"/>
      <c r="B68" s="22" t="inlineStr"/>
      <c r="C68" s="35">
        <f>IF(B68="","",VLOOKUP(B68,Inventory!$A$5:$J$104,10,FALSE))</f>
        <v/>
      </c>
      <c r="D68" s="25" t="inlineStr"/>
      <c r="E68" s="25" t="inlineStr"/>
      <c r="F68" s="25" t="inlineStr"/>
      <c r="G68" s="36" t="inlineStr"/>
      <c r="H68" s="36" t="inlineStr"/>
      <c r="I68" s="36" t="inlineStr"/>
      <c r="J68" s="35">
        <f>IF(B68="","",ROUND((C68+D68+E68+F68)/(1-(G68+H68+I68)),2))</f>
        <v/>
      </c>
      <c r="K68" s="35">
        <f>IF(J68="","",J68-(C68+D68+E68+F68)-(J68*G68)-(J68*H68))</f>
        <v/>
      </c>
      <c r="L68" s="37">
        <f>IF(J68="","",IF(J68=0,"",K68/J68))</f>
        <v/>
      </c>
      <c r="M68" s="22" t="inlineStr"/>
    </row>
    <row r="69">
      <c r="A69" s="22" t="inlineStr"/>
      <c r="B69" s="22" t="inlineStr"/>
      <c r="C69" s="35">
        <f>IF(B69="","",VLOOKUP(B69,Inventory!$A$5:$J$104,10,FALSE))</f>
        <v/>
      </c>
      <c r="D69" s="25" t="inlineStr"/>
      <c r="E69" s="25" t="inlineStr"/>
      <c r="F69" s="25" t="inlineStr"/>
      <c r="G69" s="36" t="inlineStr"/>
      <c r="H69" s="36" t="inlineStr"/>
      <c r="I69" s="36" t="inlineStr"/>
      <c r="J69" s="35">
        <f>IF(B69="","",ROUND((C69+D69+E69+F69)/(1-(G69+H69+I69)),2))</f>
        <v/>
      </c>
      <c r="K69" s="35">
        <f>IF(J69="","",J69-(C69+D69+E69+F69)-(J69*G69)-(J69*H69))</f>
        <v/>
      </c>
      <c r="L69" s="37">
        <f>IF(J69="","",IF(J69=0,"",K69/J69))</f>
        <v/>
      </c>
      <c r="M69" s="22" t="inlineStr"/>
    </row>
    <row r="70">
      <c r="A70" s="22" t="inlineStr"/>
      <c r="B70" s="22" t="inlineStr"/>
      <c r="C70" s="35">
        <f>IF(B70="","",VLOOKUP(B70,Inventory!$A$5:$J$104,10,FALSE))</f>
        <v/>
      </c>
      <c r="D70" s="25" t="inlineStr"/>
      <c r="E70" s="25" t="inlineStr"/>
      <c r="F70" s="25" t="inlineStr"/>
      <c r="G70" s="36" t="inlineStr"/>
      <c r="H70" s="36" t="inlineStr"/>
      <c r="I70" s="36" t="inlineStr"/>
      <c r="J70" s="35">
        <f>IF(B70="","",ROUND((C70+D70+E70+F70)/(1-(G70+H70+I70)),2))</f>
        <v/>
      </c>
      <c r="K70" s="35">
        <f>IF(J70="","",J70-(C70+D70+E70+F70)-(J70*G70)-(J70*H70))</f>
        <v/>
      </c>
      <c r="L70" s="37">
        <f>IF(J70="","",IF(J70=0,"",K70/J70))</f>
        <v/>
      </c>
      <c r="M70" s="22" t="inlineStr"/>
    </row>
    <row r="71">
      <c r="A71" s="22" t="inlineStr"/>
      <c r="B71" s="22" t="inlineStr"/>
      <c r="C71" s="35">
        <f>IF(B71="","",VLOOKUP(B71,Inventory!$A$5:$J$104,10,FALSE))</f>
        <v/>
      </c>
      <c r="D71" s="25" t="inlineStr"/>
      <c r="E71" s="25" t="inlineStr"/>
      <c r="F71" s="25" t="inlineStr"/>
      <c r="G71" s="36" t="inlineStr"/>
      <c r="H71" s="36" t="inlineStr"/>
      <c r="I71" s="36" t="inlineStr"/>
      <c r="J71" s="35">
        <f>IF(B71="","",ROUND((C71+D71+E71+F71)/(1-(G71+H71+I71)),2))</f>
        <v/>
      </c>
      <c r="K71" s="35">
        <f>IF(J71="","",J71-(C71+D71+E71+F71)-(J71*G71)-(J71*H71))</f>
        <v/>
      </c>
      <c r="L71" s="37">
        <f>IF(J71="","",IF(J71=0,"",K71/J71))</f>
        <v/>
      </c>
      <c r="M71" s="22" t="inlineStr"/>
    </row>
    <row r="72">
      <c r="A72" s="22" t="inlineStr"/>
      <c r="B72" s="22" t="inlineStr"/>
      <c r="C72" s="35">
        <f>IF(B72="","",VLOOKUP(B72,Inventory!$A$5:$J$104,10,FALSE))</f>
        <v/>
      </c>
      <c r="D72" s="25" t="inlineStr"/>
      <c r="E72" s="25" t="inlineStr"/>
      <c r="F72" s="25" t="inlineStr"/>
      <c r="G72" s="36" t="inlineStr"/>
      <c r="H72" s="36" t="inlineStr"/>
      <c r="I72" s="36" t="inlineStr"/>
      <c r="J72" s="35">
        <f>IF(B72="","",ROUND((C72+D72+E72+F72)/(1-(G72+H72+I72)),2))</f>
        <v/>
      </c>
      <c r="K72" s="35">
        <f>IF(J72="","",J72-(C72+D72+E72+F72)-(J72*G72)-(J72*H72))</f>
        <v/>
      </c>
      <c r="L72" s="37">
        <f>IF(J72="","",IF(J72=0,"",K72/J72))</f>
        <v/>
      </c>
      <c r="M72" s="22" t="inlineStr"/>
    </row>
    <row r="73">
      <c r="A73" s="22" t="inlineStr"/>
      <c r="B73" s="22" t="inlineStr"/>
      <c r="C73" s="35">
        <f>IF(B73="","",VLOOKUP(B73,Inventory!$A$5:$J$104,10,FALSE))</f>
        <v/>
      </c>
      <c r="D73" s="25" t="inlineStr"/>
      <c r="E73" s="25" t="inlineStr"/>
      <c r="F73" s="25" t="inlineStr"/>
      <c r="G73" s="36" t="inlineStr"/>
      <c r="H73" s="36" t="inlineStr"/>
      <c r="I73" s="36" t="inlineStr"/>
      <c r="J73" s="35">
        <f>IF(B73="","",ROUND((C73+D73+E73+F73)/(1-(G73+H73+I73)),2))</f>
        <v/>
      </c>
      <c r="K73" s="35">
        <f>IF(J73="","",J73-(C73+D73+E73+F73)-(J73*G73)-(J73*H73))</f>
        <v/>
      </c>
      <c r="L73" s="37">
        <f>IF(J73="","",IF(J73=0,"",K73/J73))</f>
        <v/>
      </c>
      <c r="M73" s="22" t="inlineStr"/>
    </row>
    <row r="74">
      <c r="A74" s="22" t="inlineStr"/>
      <c r="B74" s="22" t="inlineStr"/>
      <c r="C74" s="35">
        <f>IF(B74="","",VLOOKUP(B74,Inventory!$A$5:$J$104,10,FALSE))</f>
        <v/>
      </c>
      <c r="D74" s="25" t="inlineStr"/>
      <c r="E74" s="25" t="inlineStr"/>
      <c r="F74" s="25" t="inlineStr"/>
      <c r="G74" s="36" t="inlineStr"/>
      <c r="H74" s="36" t="inlineStr"/>
      <c r="I74" s="36" t="inlineStr"/>
      <c r="J74" s="35">
        <f>IF(B74="","",ROUND((C74+D74+E74+F74)/(1-(G74+H74+I74)),2))</f>
        <v/>
      </c>
      <c r="K74" s="35">
        <f>IF(J74="","",J74-(C74+D74+E74+F74)-(J74*G74)-(J74*H74))</f>
        <v/>
      </c>
      <c r="L74" s="37">
        <f>IF(J74="","",IF(J74=0,"",K74/J74))</f>
        <v/>
      </c>
      <c r="M74" s="22" t="inlineStr"/>
    </row>
    <row r="75">
      <c r="A75" s="22" t="inlineStr"/>
      <c r="B75" s="22" t="inlineStr"/>
      <c r="C75" s="35">
        <f>IF(B75="","",VLOOKUP(B75,Inventory!$A$5:$J$104,10,FALSE))</f>
        <v/>
      </c>
      <c r="D75" s="25" t="inlineStr"/>
      <c r="E75" s="25" t="inlineStr"/>
      <c r="F75" s="25" t="inlineStr"/>
      <c r="G75" s="36" t="inlineStr"/>
      <c r="H75" s="36" t="inlineStr"/>
      <c r="I75" s="36" t="inlineStr"/>
      <c r="J75" s="35">
        <f>IF(B75="","",ROUND((C75+D75+E75+F75)/(1-(G75+H75+I75)),2))</f>
        <v/>
      </c>
      <c r="K75" s="35">
        <f>IF(J75="","",J75-(C75+D75+E75+F75)-(J75*G75)-(J75*H75))</f>
        <v/>
      </c>
      <c r="L75" s="37">
        <f>IF(J75="","",IF(J75=0,"",K75/J75))</f>
        <v/>
      </c>
      <c r="M75" s="22" t="inlineStr"/>
    </row>
    <row r="76">
      <c r="A76" s="22" t="inlineStr"/>
      <c r="B76" s="22" t="inlineStr"/>
      <c r="C76" s="35">
        <f>IF(B76="","",VLOOKUP(B76,Inventory!$A$5:$J$104,10,FALSE))</f>
        <v/>
      </c>
      <c r="D76" s="25" t="inlineStr"/>
      <c r="E76" s="25" t="inlineStr"/>
      <c r="F76" s="25" t="inlineStr"/>
      <c r="G76" s="36" t="inlineStr"/>
      <c r="H76" s="36" t="inlineStr"/>
      <c r="I76" s="36" t="inlineStr"/>
      <c r="J76" s="35">
        <f>IF(B76="","",ROUND((C76+D76+E76+F76)/(1-(G76+H76+I76)),2))</f>
        <v/>
      </c>
      <c r="K76" s="35">
        <f>IF(J76="","",J76-(C76+D76+E76+F76)-(J76*G76)-(J76*H76))</f>
        <v/>
      </c>
      <c r="L76" s="37">
        <f>IF(J76="","",IF(J76=0,"",K76/J76))</f>
        <v/>
      </c>
      <c r="M76" s="22" t="inlineStr"/>
    </row>
    <row r="77">
      <c r="A77" s="22" t="inlineStr"/>
      <c r="B77" s="22" t="inlineStr"/>
      <c r="C77" s="35">
        <f>IF(B77="","",VLOOKUP(B77,Inventory!$A$5:$J$104,10,FALSE))</f>
        <v/>
      </c>
      <c r="D77" s="25" t="inlineStr"/>
      <c r="E77" s="25" t="inlineStr"/>
      <c r="F77" s="25" t="inlineStr"/>
      <c r="G77" s="36" t="inlineStr"/>
      <c r="H77" s="36" t="inlineStr"/>
      <c r="I77" s="36" t="inlineStr"/>
      <c r="J77" s="35">
        <f>IF(B77="","",ROUND((C77+D77+E77+F77)/(1-(G77+H77+I77)),2))</f>
        <v/>
      </c>
      <c r="K77" s="35">
        <f>IF(J77="","",J77-(C77+D77+E77+F77)-(J77*G77)-(J77*H77))</f>
        <v/>
      </c>
      <c r="L77" s="37">
        <f>IF(J77="","",IF(J77=0,"",K77/J77))</f>
        <v/>
      </c>
      <c r="M77" s="22" t="inlineStr"/>
    </row>
    <row r="78">
      <c r="A78" s="22" t="inlineStr"/>
      <c r="B78" s="22" t="inlineStr"/>
      <c r="C78" s="35">
        <f>IF(B78="","",VLOOKUP(B78,Inventory!$A$5:$J$104,10,FALSE))</f>
        <v/>
      </c>
      <c r="D78" s="25" t="inlineStr"/>
      <c r="E78" s="25" t="inlineStr"/>
      <c r="F78" s="25" t="inlineStr"/>
      <c r="G78" s="36" t="inlineStr"/>
      <c r="H78" s="36" t="inlineStr"/>
      <c r="I78" s="36" t="inlineStr"/>
      <c r="J78" s="35">
        <f>IF(B78="","",ROUND((C78+D78+E78+F78)/(1-(G78+H78+I78)),2))</f>
        <v/>
      </c>
      <c r="K78" s="35">
        <f>IF(J78="","",J78-(C78+D78+E78+F78)-(J78*G78)-(J78*H78))</f>
        <v/>
      </c>
      <c r="L78" s="37">
        <f>IF(J78="","",IF(J78=0,"",K78/J78))</f>
        <v/>
      </c>
      <c r="M78" s="22" t="inlineStr"/>
    </row>
    <row r="79">
      <c r="A79" s="22" t="inlineStr"/>
      <c r="B79" s="22" t="inlineStr"/>
      <c r="C79" s="35">
        <f>IF(B79="","",VLOOKUP(B79,Inventory!$A$5:$J$104,10,FALSE))</f>
        <v/>
      </c>
      <c r="D79" s="25" t="inlineStr"/>
      <c r="E79" s="25" t="inlineStr"/>
      <c r="F79" s="25" t="inlineStr"/>
      <c r="G79" s="36" t="inlineStr"/>
      <c r="H79" s="36" t="inlineStr"/>
      <c r="I79" s="36" t="inlineStr"/>
      <c r="J79" s="35">
        <f>IF(B79="","",ROUND((C79+D79+E79+F79)/(1-(G79+H79+I79)),2))</f>
        <v/>
      </c>
      <c r="K79" s="35">
        <f>IF(J79="","",J79-(C79+D79+E79+F79)-(J79*G79)-(J79*H79))</f>
        <v/>
      </c>
      <c r="L79" s="37">
        <f>IF(J79="","",IF(J79=0,"",K79/J79))</f>
        <v/>
      </c>
      <c r="M79" s="22" t="inlineStr"/>
    </row>
    <row r="80">
      <c r="A80" s="22" t="inlineStr"/>
      <c r="B80" s="22" t="inlineStr"/>
      <c r="C80" s="35">
        <f>IF(B80="","",VLOOKUP(B80,Inventory!$A$5:$J$104,10,FALSE))</f>
        <v/>
      </c>
      <c r="D80" s="25" t="inlineStr"/>
      <c r="E80" s="25" t="inlineStr"/>
      <c r="F80" s="25" t="inlineStr"/>
      <c r="G80" s="36" t="inlineStr"/>
      <c r="H80" s="36" t="inlineStr"/>
      <c r="I80" s="36" t="inlineStr"/>
      <c r="J80" s="35">
        <f>IF(B80="","",ROUND((C80+D80+E80+F80)/(1-(G80+H80+I80)),2))</f>
        <v/>
      </c>
      <c r="K80" s="35">
        <f>IF(J80="","",J80-(C80+D80+E80+F80)-(J80*G80)-(J80*H80))</f>
        <v/>
      </c>
      <c r="L80" s="37">
        <f>IF(J80="","",IF(J80=0,"",K80/J80))</f>
        <v/>
      </c>
      <c r="M80" s="22" t="inlineStr"/>
    </row>
    <row r="81">
      <c r="A81" s="22" t="inlineStr"/>
      <c r="B81" s="22" t="inlineStr"/>
      <c r="C81" s="35">
        <f>IF(B81="","",VLOOKUP(B81,Inventory!$A$5:$J$104,10,FALSE))</f>
        <v/>
      </c>
      <c r="D81" s="25" t="inlineStr"/>
      <c r="E81" s="25" t="inlineStr"/>
      <c r="F81" s="25" t="inlineStr"/>
      <c r="G81" s="36" t="inlineStr"/>
      <c r="H81" s="36" t="inlineStr"/>
      <c r="I81" s="36" t="inlineStr"/>
      <c r="J81" s="35">
        <f>IF(B81="","",ROUND((C81+D81+E81+F81)/(1-(G81+H81+I81)),2))</f>
        <v/>
      </c>
      <c r="K81" s="35">
        <f>IF(J81="","",J81-(C81+D81+E81+F81)-(J81*G81)-(J81*H81))</f>
        <v/>
      </c>
      <c r="L81" s="37">
        <f>IF(J81="","",IF(J81=0,"",K81/J81))</f>
        <v/>
      </c>
      <c r="M81" s="22" t="inlineStr"/>
    </row>
    <row r="82">
      <c r="A82" s="22" t="inlineStr"/>
      <c r="B82" s="22" t="inlineStr"/>
      <c r="C82" s="35">
        <f>IF(B82="","",VLOOKUP(B82,Inventory!$A$5:$J$104,10,FALSE))</f>
        <v/>
      </c>
      <c r="D82" s="25" t="inlineStr"/>
      <c r="E82" s="25" t="inlineStr"/>
      <c r="F82" s="25" t="inlineStr"/>
      <c r="G82" s="36" t="inlineStr"/>
      <c r="H82" s="36" t="inlineStr"/>
      <c r="I82" s="36" t="inlineStr"/>
      <c r="J82" s="35">
        <f>IF(B82="","",ROUND((C82+D82+E82+F82)/(1-(G82+H82+I82)),2))</f>
        <v/>
      </c>
      <c r="K82" s="35">
        <f>IF(J82="","",J82-(C82+D82+E82+F82)-(J82*G82)-(J82*H82))</f>
        <v/>
      </c>
      <c r="L82" s="37">
        <f>IF(J82="","",IF(J82=0,"",K82/J82))</f>
        <v/>
      </c>
      <c r="M82" s="22" t="inlineStr"/>
    </row>
    <row r="83">
      <c r="A83" s="22" t="inlineStr"/>
      <c r="B83" s="22" t="inlineStr"/>
      <c r="C83" s="35">
        <f>IF(B83="","",VLOOKUP(B83,Inventory!$A$5:$J$104,10,FALSE))</f>
        <v/>
      </c>
      <c r="D83" s="25" t="inlineStr"/>
      <c r="E83" s="25" t="inlineStr"/>
      <c r="F83" s="25" t="inlineStr"/>
      <c r="G83" s="36" t="inlineStr"/>
      <c r="H83" s="36" t="inlineStr"/>
      <c r="I83" s="36" t="inlineStr"/>
      <c r="J83" s="35">
        <f>IF(B83="","",ROUND((C83+D83+E83+F83)/(1-(G83+H83+I83)),2))</f>
        <v/>
      </c>
      <c r="K83" s="35">
        <f>IF(J83="","",J83-(C83+D83+E83+F83)-(J83*G83)-(J83*H83))</f>
        <v/>
      </c>
      <c r="L83" s="37">
        <f>IF(J83="","",IF(J83=0,"",K83/J83))</f>
        <v/>
      </c>
      <c r="M83" s="22" t="inlineStr"/>
    </row>
    <row r="84">
      <c r="A84" s="22" t="inlineStr"/>
      <c r="B84" s="22" t="inlineStr"/>
      <c r="C84" s="35">
        <f>IF(B84="","",VLOOKUP(B84,Inventory!$A$5:$J$104,10,FALSE))</f>
        <v/>
      </c>
      <c r="D84" s="25" t="inlineStr"/>
      <c r="E84" s="25" t="inlineStr"/>
      <c r="F84" s="25" t="inlineStr"/>
      <c r="G84" s="36" t="inlineStr"/>
      <c r="H84" s="36" t="inlineStr"/>
      <c r="I84" s="36" t="inlineStr"/>
      <c r="J84" s="35">
        <f>IF(B84="","",ROUND((C84+D84+E84+F84)/(1-(G84+H84+I84)),2))</f>
        <v/>
      </c>
      <c r="K84" s="35">
        <f>IF(J84="","",J84-(C84+D84+E84+F84)-(J84*G84)-(J84*H84))</f>
        <v/>
      </c>
      <c r="L84" s="37">
        <f>IF(J84="","",IF(J84=0,"",K84/J84))</f>
        <v/>
      </c>
      <c r="M84" s="22" t="inlineStr"/>
    </row>
    <row r="85">
      <c r="A85" s="22" t="inlineStr"/>
      <c r="B85" s="22" t="inlineStr"/>
      <c r="C85" s="35">
        <f>IF(B85="","",VLOOKUP(B85,Inventory!$A$5:$J$104,10,FALSE))</f>
        <v/>
      </c>
      <c r="D85" s="25" t="inlineStr"/>
      <c r="E85" s="25" t="inlineStr"/>
      <c r="F85" s="25" t="inlineStr"/>
      <c r="G85" s="36" t="inlineStr"/>
      <c r="H85" s="36" t="inlineStr"/>
      <c r="I85" s="36" t="inlineStr"/>
      <c r="J85" s="35">
        <f>IF(B85="","",ROUND((C85+D85+E85+F85)/(1-(G85+H85+I85)),2))</f>
        <v/>
      </c>
      <c r="K85" s="35">
        <f>IF(J85="","",J85-(C85+D85+E85+F85)-(J85*G85)-(J85*H85))</f>
        <v/>
      </c>
      <c r="L85" s="37">
        <f>IF(J85="","",IF(J85=0,"",K85/J85))</f>
        <v/>
      </c>
      <c r="M85" s="22" t="inlineStr"/>
    </row>
    <row r="86">
      <c r="A86" s="22" t="inlineStr"/>
      <c r="B86" s="22" t="inlineStr"/>
      <c r="C86" s="35">
        <f>IF(B86="","",VLOOKUP(B86,Inventory!$A$5:$J$104,10,FALSE))</f>
        <v/>
      </c>
      <c r="D86" s="25" t="inlineStr"/>
      <c r="E86" s="25" t="inlineStr"/>
      <c r="F86" s="25" t="inlineStr"/>
      <c r="G86" s="36" t="inlineStr"/>
      <c r="H86" s="36" t="inlineStr"/>
      <c r="I86" s="36" t="inlineStr"/>
      <c r="J86" s="35">
        <f>IF(B86="","",ROUND((C86+D86+E86+F86)/(1-(G86+H86+I86)),2))</f>
        <v/>
      </c>
      <c r="K86" s="35">
        <f>IF(J86="","",J86-(C86+D86+E86+F86)-(J86*G86)-(J86*H86))</f>
        <v/>
      </c>
      <c r="L86" s="37">
        <f>IF(J86="","",IF(J86=0,"",K86/J86))</f>
        <v/>
      </c>
      <c r="M86" s="22" t="inlineStr"/>
    </row>
    <row r="87">
      <c r="A87" s="22" t="inlineStr"/>
      <c r="B87" s="22" t="inlineStr"/>
      <c r="C87" s="35">
        <f>IF(B87="","",VLOOKUP(B87,Inventory!$A$5:$J$104,10,FALSE))</f>
        <v/>
      </c>
      <c r="D87" s="25" t="inlineStr"/>
      <c r="E87" s="25" t="inlineStr"/>
      <c r="F87" s="25" t="inlineStr"/>
      <c r="G87" s="36" t="inlineStr"/>
      <c r="H87" s="36" t="inlineStr"/>
      <c r="I87" s="36" t="inlineStr"/>
      <c r="J87" s="35">
        <f>IF(B87="","",ROUND((C87+D87+E87+F87)/(1-(G87+H87+I87)),2))</f>
        <v/>
      </c>
      <c r="K87" s="35">
        <f>IF(J87="","",J87-(C87+D87+E87+F87)-(J87*G87)-(J87*H87))</f>
        <v/>
      </c>
      <c r="L87" s="37">
        <f>IF(J87="","",IF(J87=0,"",K87/J87))</f>
        <v/>
      </c>
      <c r="M87" s="22" t="inlineStr"/>
    </row>
    <row r="88">
      <c r="A88" s="22" t="inlineStr"/>
      <c r="B88" s="22" t="inlineStr"/>
      <c r="C88" s="35">
        <f>IF(B88="","",VLOOKUP(B88,Inventory!$A$5:$J$104,10,FALSE))</f>
        <v/>
      </c>
      <c r="D88" s="25" t="inlineStr"/>
      <c r="E88" s="25" t="inlineStr"/>
      <c r="F88" s="25" t="inlineStr"/>
      <c r="G88" s="36" t="inlineStr"/>
      <c r="H88" s="36" t="inlineStr"/>
      <c r="I88" s="36" t="inlineStr"/>
      <c r="J88" s="35">
        <f>IF(B88="","",ROUND((C88+D88+E88+F88)/(1-(G88+H88+I88)),2))</f>
        <v/>
      </c>
      <c r="K88" s="35">
        <f>IF(J88="","",J88-(C88+D88+E88+F88)-(J88*G88)-(J88*H88))</f>
        <v/>
      </c>
      <c r="L88" s="37">
        <f>IF(J88="","",IF(J88=0,"",K88/J88))</f>
        <v/>
      </c>
      <c r="M88" s="22" t="inlineStr"/>
    </row>
    <row r="89">
      <c r="A89" s="22" t="inlineStr"/>
      <c r="B89" s="22" t="inlineStr"/>
      <c r="C89" s="35">
        <f>IF(B89="","",VLOOKUP(B89,Inventory!$A$5:$J$104,10,FALSE))</f>
        <v/>
      </c>
      <c r="D89" s="25" t="inlineStr"/>
      <c r="E89" s="25" t="inlineStr"/>
      <c r="F89" s="25" t="inlineStr"/>
      <c r="G89" s="36" t="inlineStr"/>
      <c r="H89" s="36" t="inlineStr"/>
      <c r="I89" s="36" t="inlineStr"/>
      <c r="J89" s="35">
        <f>IF(B89="","",ROUND((C89+D89+E89+F89)/(1-(G89+H89+I89)),2))</f>
        <v/>
      </c>
      <c r="K89" s="35">
        <f>IF(J89="","",J89-(C89+D89+E89+F89)-(J89*G89)-(J89*H89))</f>
        <v/>
      </c>
      <c r="L89" s="37">
        <f>IF(J89="","",IF(J89=0,"",K89/J89))</f>
        <v/>
      </c>
      <c r="M89" s="22" t="inlineStr"/>
    </row>
    <row r="90">
      <c r="A90" s="22" t="inlineStr"/>
      <c r="B90" s="22" t="inlineStr"/>
      <c r="C90" s="35">
        <f>IF(B90="","",VLOOKUP(B90,Inventory!$A$5:$J$104,10,FALSE))</f>
        <v/>
      </c>
      <c r="D90" s="25" t="inlineStr"/>
      <c r="E90" s="25" t="inlineStr"/>
      <c r="F90" s="25" t="inlineStr"/>
      <c r="G90" s="36" t="inlineStr"/>
      <c r="H90" s="36" t="inlineStr"/>
      <c r="I90" s="36" t="inlineStr"/>
      <c r="J90" s="35">
        <f>IF(B90="","",ROUND((C90+D90+E90+F90)/(1-(G90+H90+I90)),2))</f>
        <v/>
      </c>
      <c r="K90" s="35">
        <f>IF(J90="","",J90-(C90+D90+E90+F90)-(J90*G90)-(J90*H90))</f>
        <v/>
      </c>
      <c r="L90" s="37">
        <f>IF(J90="","",IF(J90=0,"",K90/J90))</f>
        <v/>
      </c>
      <c r="M90" s="22" t="inlineStr"/>
    </row>
    <row r="91">
      <c r="A91" s="22" t="inlineStr"/>
      <c r="B91" s="22" t="inlineStr"/>
      <c r="C91" s="35">
        <f>IF(B91="","",VLOOKUP(B91,Inventory!$A$5:$J$104,10,FALSE))</f>
        <v/>
      </c>
      <c r="D91" s="25" t="inlineStr"/>
      <c r="E91" s="25" t="inlineStr"/>
      <c r="F91" s="25" t="inlineStr"/>
      <c r="G91" s="36" t="inlineStr"/>
      <c r="H91" s="36" t="inlineStr"/>
      <c r="I91" s="36" t="inlineStr"/>
      <c r="J91" s="35">
        <f>IF(B91="","",ROUND((C91+D91+E91+F91)/(1-(G91+H91+I91)),2))</f>
        <v/>
      </c>
      <c r="K91" s="35">
        <f>IF(J91="","",J91-(C91+D91+E91+F91)-(J91*G91)-(J91*H91))</f>
        <v/>
      </c>
      <c r="L91" s="37">
        <f>IF(J91="","",IF(J91=0,"",K91/J91))</f>
        <v/>
      </c>
      <c r="M91" s="22" t="inlineStr"/>
    </row>
    <row r="92">
      <c r="A92" s="22" t="inlineStr"/>
      <c r="B92" s="22" t="inlineStr"/>
      <c r="C92" s="35">
        <f>IF(B92="","",VLOOKUP(B92,Inventory!$A$5:$J$104,10,FALSE))</f>
        <v/>
      </c>
      <c r="D92" s="25" t="inlineStr"/>
      <c r="E92" s="25" t="inlineStr"/>
      <c r="F92" s="25" t="inlineStr"/>
      <c r="G92" s="36" t="inlineStr"/>
      <c r="H92" s="36" t="inlineStr"/>
      <c r="I92" s="36" t="inlineStr"/>
      <c r="J92" s="35">
        <f>IF(B92="","",ROUND((C92+D92+E92+F92)/(1-(G92+H92+I92)),2))</f>
        <v/>
      </c>
      <c r="K92" s="35">
        <f>IF(J92="","",J92-(C92+D92+E92+F92)-(J92*G92)-(J92*H92))</f>
        <v/>
      </c>
      <c r="L92" s="37">
        <f>IF(J92="","",IF(J92=0,"",K92/J92))</f>
        <v/>
      </c>
      <c r="M92" s="22" t="inlineStr"/>
    </row>
    <row r="93">
      <c r="A93" s="22" t="inlineStr"/>
      <c r="B93" s="22" t="inlineStr"/>
      <c r="C93" s="35">
        <f>IF(B93="","",VLOOKUP(B93,Inventory!$A$5:$J$104,10,FALSE))</f>
        <v/>
      </c>
      <c r="D93" s="25" t="inlineStr"/>
      <c r="E93" s="25" t="inlineStr"/>
      <c r="F93" s="25" t="inlineStr"/>
      <c r="G93" s="36" t="inlineStr"/>
      <c r="H93" s="36" t="inlineStr"/>
      <c r="I93" s="36" t="inlineStr"/>
      <c r="J93" s="35">
        <f>IF(B93="","",ROUND((C93+D93+E93+F93)/(1-(G93+H93+I93)),2))</f>
        <v/>
      </c>
      <c r="K93" s="35">
        <f>IF(J93="","",J93-(C93+D93+E93+F93)-(J93*G93)-(J93*H93))</f>
        <v/>
      </c>
      <c r="L93" s="37">
        <f>IF(J93="","",IF(J93=0,"",K93/J93))</f>
        <v/>
      </c>
      <c r="M93" s="22" t="inlineStr"/>
    </row>
    <row r="94">
      <c r="A94" s="22" t="inlineStr"/>
      <c r="B94" s="22" t="inlineStr"/>
      <c r="C94" s="35">
        <f>IF(B94="","",VLOOKUP(B94,Inventory!$A$5:$J$104,10,FALSE))</f>
        <v/>
      </c>
      <c r="D94" s="25" t="inlineStr"/>
      <c r="E94" s="25" t="inlineStr"/>
      <c r="F94" s="25" t="inlineStr"/>
      <c r="G94" s="36" t="inlineStr"/>
      <c r="H94" s="36" t="inlineStr"/>
      <c r="I94" s="36" t="inlineStr"/>
      <c r="J94" s="35">
        <f>IF(B94="","",ROUND((C94+D94+E94+F94)/(1-(G94+H94+I94)),2))</f>
        <v/>
      </c>
      <c r="K94" s="35">
        <f>IF(J94="","",J94-(C94+D94+E94+F94)-(J94*G94)-(J94*H94))</f>
        <v/>
      </c>
      <c r="L94" s="37">
        <f>IF(J94="","",IF(J94=0,"",K94/J94))</f>
        <v/>
      </c>
      <c r="M94" s="22" t="inlineStr"/>
    </row>
    <row r="95">
      <c r="A95" s="22" t="inlineStr"/>
      <c r="B95" s="22" t="inlineStr"/>
      <c r="C95" s="35">
        <f>IF(B95="","",VLOOKUP(B95,Inventory!$A$5:$J$104,10,FALSE))</f>
        <v/>
      </c>
      <c r="D95" s="25" t="inlineStr"/>
      <c r="E95" s="25" t="inlineStr"/>
      <c r="F95" s="25" t="inlineStr"/>
      <c r="G95" s="36" t="inlineStr"/>
      <c r="H95" s="36" t="inlineStr"/>
      <c r="I95" s="36" t="inlineStr"/>
      <c r="J95" s="35">
        <f>IF(B95="","",ROUND((C95+D95+E95+F95)/(1-(G95+H95+I95)),2))</f>
        <v/>
      </c>
      <c r="K95" s="35">
        <f>IF(J95="","",J95-(C95+D95+E95+F95)-(J95*G95)-(J95*H95))</f>
        <v/>
      </c>
      <c r="L95" s="37">
        <f>IF(J95="","",IF(J95=0,"",K95/J95))</f>
        <v/>
      </c>
      <c r="M95" s="22" t="inlineStr"/>
    </row>
    <row r="96">
      <c r="A96" s="22" t="inlineStr"/>
      <c r="B96" s="22" t="inlineStr"/>
      <c r="C96" s="35">
        <f>IF(B96="","",VLOOKUP(B96,Inventory!$A$5:$J$104,10,FALSE))</f>
        <v/>
      </c>
      <c r="D96" s="25" t="inlineStr"/>
      <c r="E96" s="25" t="inlineStr"/>
      <c r="F96" s="25" t="inlineStr"/>
      <c r="G96" s="36" t="inlineStr"/>
      <c r="H96" s="36" t="inlineStr"/>
      <c r="I96" s="36" t="inlineStr"/>
      <c r="J96" s="35">
        <f>IF(B96="","",ROUND((C96+D96+E96+F96)/(1-(G96+H96+I96)),2))</f>
        <v/>
      </c>
      <c r="K96" s="35">
        <f>IF(J96="","",J96-(C96+D96+E96+F96)-(J96*G96)-(J96*H96))</f>
        <v/>
      </c>
      <c r="L96" s="37">
        <f>IF(J96="","",IF(J96=0,"",K96/J96))</f>
        <v/>
      </c>
      <c r="M96" s="22" t="inlineStr"/>
    </row>
    <row r="97">
      <c r="A97" s="22" t="inlineStr"/>
      <c r="B97" s="22" t="inlineStr"/>
      <c r="C97" s="35">
        <f>IF(B97="","",VLOOKUP(B97,Inventory!$A$5:$J$104,10,FALSE))</f>
        <v/>
      </c>
      <c r="D97" s="25" t="inlineStr"/>
      <c r="E97" s="25" t="inlineStr"/>
      <c r="F97" s="25" t="inlineStr"/>
      <c r="G97" s="36" t="inlineStr"/>
      <c r="H97" s="36" t="inlineStr"/>
      <c r="I97" s="36" t="inlineStr"/>
      <c r="J97" s="35">
        <f>IF(B97="","",ROUND((C97+D97+E97+F97)/(1-(G97+H97+I97)),2))</f>
        <v/>
      </c>
      <c r="K97" s="35">
        <f>IF(J97="","",J97-(C97+D97+E97+F97)-(J97*G97)-(J97*H97))</f>
        <v/>
      </c>
      <c r="L97" s="37">
        <f>IF(J97="","",IF(J97=0,"",K97/J97))</f>
        <v/>
      </c>
      <c r="M97" s="22" t="inlineStr"/>
    </row>
    <row r="98">
      <c r="A98" s="22" t="inlineStr"/>
      <c r="B98" s="22" t="inlineStr"/>
      <c r="C98" s="35">
        <f>IF(B98="","",VLOOKUP(B98,Inventory!$A$5:$J$104,10,FALSE))</f>
        <v/>
      </c>
      <c r="D98" s="25" t="inlineStr"/>
      <c r="E98" s="25" t="inlineStr"/>
      <c r="F98" s="25" t="inlineStr"/>
      <c r="G98" s="36" t="inlineStr"/>
      <c r="H98" s="36" t="inlineStr"/>
      <c r="I98" s="36" t="inlineStr"/>
      <c r="J98" s="35">
        <f>IF(B98="","",ROUND((C98+D98+E98+F98)/(1-(G98+H98+I98)),2))</f>
        <v/>
      </c>
      <c r="K98" s="35">
        <f>IF(J98="","",J98-(C98+D98+E98+F98)-(J98*G98)-(J98*H98))</f>
        <v/>
      </c>
      <c r="L98" s="37">
        <f>IF(J98="","",IF(J98=0,"",K98/J98))</f>
        <v/>
      </c>
      <c r="M98" s="22" t="inlineStr"/>
    </row>
    <row r="99">
      <c r="A99" s="22" t="inlineStr"/>
      <c r="B99" s="22" t="inlineStr"/>
      <c r="C99" s="35">
        <f>IF(B99="","",VLOOKUP(B99,Inventory!$A$5:$J$104,10,FALSE))</f>
        <v/>
      </c>
      <c r="D99" s="25" t="inlineStr"/>
      <c r="E99" s="25" t="inlineStr"/>
      <c r="F99" s="25" t="inlineStr"/>
      <c r="G99" s="36" t="inlineStr"/>
      <c r="H99" s="36" t="inlineStr"/>
      <c r="I99" s="36" t="inlineStr"/>
      <c r="J99" s="35">
        <f>IF(B99="","",ROUND((C99+D99+E99+F99)/(1-(G99+H99+I99)),2))</f>
        <v/>
      </c>
      <c r="K99" s="35">
        <f>IF(J99="","",J99-(C99+D99+E99+F99)-(J99*G99)-(J99*H99))</f>
        <v/>
      </c>
      <c r="L99" s="37">
        <f>IF(J99="","",IF(J99=0,"",K99/J99))</f>
        <v/>
      </c>
      <c r="M99" s="22" t="inlineStr"/>
    </row>
    <row r="100">
      <c r="A100" s="22" t="inlineStr"/>
      <c r="B100" s="22" t="inlineStr"/>
      <c r="C100" s="35">
        <f>IF(B100="","",VLOOKUP(B100,Inventory!$A$5:$J$104,10,FALSE))</f>
        <v/>
      </c>
      <c r="D100" s="25" t="inlineStr"/>
      <c r="E100" s="25" t="inlineStr"/>
      <c r="F100" s="25" t="inlineStr"/>
      <c r="G100" s="36" t="inlineStr"/>
      <c r="H100" s="36" t="inlineStr"/>
      <c r="I100" s="36" t="inlineStr"/>
      <c r="J100" s="35">
        <f>IF(B100="","",ROUND((C100+D100+E100+F100)/(1-(G100+H100+I100)),2))</f>
        <v/>
      </c>
      <c r="K100" s="35">
        <f>IF(J100="","",J100-(C100+D100+E100+F100)-(J100*G100)-(J100*H100))</f>
        <v/>
      </c>
      <c r="L100" s="37">
        <f>IF(J100="","",IF(J100=0,"",K100/J100))</f>
        <v/>
      </c>
      <c r="M100" s="22" t="inlineStr"/>
    </row>
    <row r="101">
      <c r="A101" s="22" t="inlineStr"/>
      <c r="B101" s="22" t="inlineStr"/>
      <c r="C101" s="35">
        <f>IF(B101="","",VLOOKUP(B101,Inventory!$A$5:$J$104,10,FALSE))</f>
        <v/>
      </c>
      <c r="D101" s="25" t="inlineStr"/>
      <c r="E101" s="25" t="inlineStr"/>
      <c r="F101" s="25" t="inlineStr"/>
      <c r="G101" s="36" t="inlineStr"/>
      <c r="H101" s="36" t="inlineStr"/>
      <c r="I101" s="36" t="inlineStr"/>
      <c r="J101" s="35">
        <f>IF(B101="","",ROUND((C101+D101+E101+F101)/(1-(G101+H101+I101)),2))</f>
        <v/>
      </c>
      <c r="K101" s="35">
        <f>IF(J101="","",J101-(C101+D101+E101+F101)-(J101*G101)-(J101*H101))</f>
        <v/>
      </c>
      <c r="L101" s="37">
        <f>IF(J101="","",IF(J101=0,"",K101/J101))</f>
        <v/>
      </c>
      <c r="M101" s="22" t="inlineStr"/>
    </row>
    <row r="102">
      <c r="A102" s="22" t="inlineStr"/>
      <c r="B102" s="22" t="inlineStr"/>
      <c r="C102" s="35">
        <f>IF(B102="","",VLOOKUP(B102,Inventory!$A$5:$J$104,10,FALSE))</f>
        <v/>
      </c>
      <c r="D102" s="25" t="inlineStr"/>
      <c r="E102" s="25" t="inlineStr"/>
      <c r="F102" s="25" t="inlineStr"/>
      <c r="G102" s="36" t="inlineStr"/>
      <c r="H102" s="36" t="inlineStr"/>
      <c r="I102" s="36" t="inlineStr"/>
      <c r="J102" s="35">
        <f>IF(B102="","",ROUND((C102+D102+E102+F102)/(1-(G102+H102+I102)),2))</f>
        <v/>
      </c>
      <c r="K102" s="35">
        <f>IF(J102="","",J102-(C102+D102+E102+F102)-(J102*G102)-(J102*H102))</f>
        <v/>
      </c>
      <c r="L102" s="37">
        <f>IF(J102="","",IF(J102=0,"",K102/J102))</f>
        <v/>
      </c>
      <c r="M102" s="22" t="inlineStr"/>
    </row>
    <row r="103">
      <c r="A103" s="22" t="inlineStr"/>
      <c r="B103" s="22" t="inlineStr"/>
      <c r="C103" s="35">
        <f>IF(B103="","",VLOOKUP(B103,Inventory!$A$5:$J$104,10,FALSE))</f>
        <v/>
      </c>
      <c r="D103" s="25" t="inlineStr"/>
      <c r="E103" s="25" t="inlineStr"/>
      <c r="F103" s="25" t="inlineStr"/>
      <c r="G103" s="36" t="inlineStr"/>
      <c r="H103" s="36" t="inlineStr"/>
      <c r="I103" s="36" t="inlineStr"/>
      <c r="J103" s="35">
        <f>IF(B103="","",ROUND((C103+D103+E103+F103)/(1-(G103+H103+I103)),2))</f>
        <v/>
      </c>
      <c r="K103" s="35">
        <f>IF(J103="","",J103-(C103+D103+E103+F103)-(J103*G103)-(J103*H103))</f>
        <v/>
      </c>
      <c r="L103" s="37">
        <f>IF(J103="","",IF(J103=0,"",K103/J103))</f>
        <v/>
      </c>
      <c r="M103" s="22" t="inlineStr"/>
    </row>
    <row r="104">
      <c r="A104" s="22" t="inlineStr"/>
      <c r="B104" s="22" t="inlineStr"/>
      <c r="C104" s="35">
        <f>IF(B104="","",VLOOKUP(B104,Inventory!$A$5:$J$104,10,FALSE))</f>
        <v/>
      </c>
      <c r="D104" s="25" t="inlineStr"/>
      <c r="E104" s="25" t="inlineStr"/>
      <c r="F104" s="25" t="inlineStr"/>
      <c r="G104" s="36" t="inlineStr"/>
      <c r="H104" s="36" t="inlineStr"/>
      <c r="I104" s="36" t="inlineStr"/>
      <c r="J104" s="35">
        <f>IF(B104="","",ROUND((C104+D104+E104+F104)/(1-(G104+H104+I104)),2))</f>
        <v/>
      </c>
      <c r="K104" s="35">
        <f>IF(J104="","",J104-(C104+D104+E104+F104)-(J104*G104)-(J104*H104))</f>
        <v/>
      </c>
      <c r="L104" s="37">
        <f>IF(J104="","",IF(J104=0,"",K104/J104))</f>
        <v/>
      </c>
      <c r="M104" s="22" t="inlineStr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M2"/>
    <mergeCell ref="A1:M1"/>
  </mergeCells>
  <dataValidations count="1">
    <dataValidation sqref="B5:B1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0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2" customWidth="1" min="4" max="4"/>
    <col width="15" customWidth="1" min="5" max="5"/>
    <col width="12" customWidth="1" min="6" max="6"/>
    <col width="10" customWidth="1" min="7" max="7"/>
    <col width="13" customWidth="1" min="8" max="8"/>
    <col width="20" customWidth="1" min="9" max="9"/>
  </cols>
  <sheetData>
    <row r="1" ht="28" customHeight="1">
      <c r="A1" s="1" t="inlineStr">
        <is>
          <t>Price List</t>
        </is>
      </c>
    </row>
    <row r="2" ht="22" customHeight="1">
      <c r="A2" s="2" t="inlineStr">
        <is>
          <t>Save approved price snapshots here. The top row mirrors the calculator output for quick reuse.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Product</t>
        </is>
      </c>
      <c r="D4" s="14" t="inlineStr">
        <is>
          <t>Cost</t>
        </is>
      </c>
      <c r="E4" s="14" t="inlineStr">
        <is>
          <t>Suggested Price</t>
        </is>
      </c>
      <c r="F4" s="14" t="inlineStr">
        <is>
          <t>Profit</t>
        </is>
      </c>
      <c r="G4" s="14" t="inlineStr">
        <is>
          <t>Margin</t>
        </is>
      </c>
      <c r="H4" s="14" t="inlineStr">
        <is>
          <t>Status</t>
        </is>
      </c>
      <c r="I4" s="14" t="inlineStr">
        <is>
          <t>Notes</t>
        </is>
      </c>
    </row>
    <row r="5">
      <c r="A5" s="34" t="n">
        <v>46042</v>
      </c>
      <c r="B5" s="22" t="inlineStr">
        <is>
          <t>SKU-001</t>
        </is>
      </c>
      <c r="C5" s="22" t="inlineStr">
        <is>
          <t>Canvas Tote - Sand</t>
        </is>
      </c>
      <c r="D5" s="35">
        <f>IF(B5="","",VLOOKUP(B5,Inventory!$A$5:$J$104,10,FALSE))</f>
        <v/>
      </c>
      <c r="E5" s="35">
        <f>'Price Calculator'!J5</f>
        <v/>
      </c>
      <c r="F5" s="35">
        <f>'Price Calculator'!K5</f>
        <v/>
      </c>
      <c r="G5" s="37">
        <f>'Price Calculator'!L5</f>
        <v/>
      </c>
      <c r="H5" s="38">
        <f>IF(B5="","",IF(G5&gt;=0.45,"Good margin","Review"))</f>
        <v/>
      </c>
      <c r="I5" s="22" t="inlineStr">
        <is>
          <t>Pricing scenario 1</t>
        </is>
      </c>
    </row>
    <row r="6">
      <c r="A6" s="34" t="n">
        <v>46043</v>
      </c>
      <c r="B6" s="22" t="inlineStr">
        <is>
          <t>SKU-002</t>
        </is>
      </c>
      <c r="C6" s="22" t="inlineStr">
        <is>
          <t>Canvas Tote - Olive</t>
        </is>
      </c>
      <c r="D6" s="35">
        <f>IF(B6="","",VLOOKUP(B6,Inventory!$A$5:$J$104,10,FALSE))</f>
        <v/>
      </c>
      <c r="E6" s="35">
        <f>'Price Calculator'!J6</f>
        <v/>
      </c>
      <c r="F6" s="35">
        <f>'Price Calculator'!K6</f>
        <v/>
      </c>
      <c r="G6" s="37">
        <f>'Price Calculator'!L6</f>
        <v/>
      </c>
      <c r="H6" s="38">
        <f>IF(B6="","",IF(G6&gt;=0.45,"Good margin","Review"))</f>
        <v/>
      </c>
      <c r="I6" s="22" t="inlineStr">
        <is>
          <t>Pricing scenario 2</t>
        </is>
      </c>
    </row>
    <row r="7">
      <c r="A7" s="34" t="n">
        <v>46044</v>
      </c>
      <c r="B7" s="22" t="inlineStr">
        <is>
          <t>SKU-003</t>
        </is>
      </c>
      <c r="C7" s="22" t="inlineStr">
        <is>
          <t>Canvas Tote - Slate</t>
        </is>
      </c>
      <c r="D7" s="35">
        <f>IF(B7="","",VLOOKUP(B7,Inventory!$A$5:$J$104,10,FALSE))</f>
        <v/>
      </c>
      <c r="E7" s="35">
        <f>'Price Calculator'!J7</f>
        <v/>
      </c>
      <c r="F7" s="35">
        <f>'Price Calculator'!K7</f>
        <v/>
      </c>
      <c r="G7" s="37">
        <f>'Price Calculator'!L7</f>
        <v/>
      </c>
      <c r="H7" s="38">
        <f>IF(B7="","",IF(G7&gt;=0.45,"Good margin","Review"))</f>
        <v/>
      </c>
      <c r="I7" s="22" t="inlineStr">
        <is>
          <t>Pricing scenario 3</t>
        </is>
      </c>
    </row>
    <row r="8">
      <c r="A8" s="34" t="n">
        <v>46045</v>
      </c>
      <c r="B8" s="22" t="inlineStr">
        <is>
          <t>SKU-004</t>
        </is>
      </c>
      <c r="C8" s="22" t="inlineStr">
        <is>
          <t>Canvas Tote - Coral</t>
        </is>
      </c>
      <c r="D8" s="35">
        <f>IF(B8="","",VLOOKUP(B8,Inventory!$A$5:$J$104,10,FALSE))</f>
        <v/>
      </c>
      <c r="E8" s="35">
        <f>'Price Calculator'!J8</f>
        <v/>
      </c>
      <c r="F8" s="35">
        <f>'Price Calculator'!K8</f>
        <v/>
      </c>
      <c r="G8" s="37">
        <f>'Price Calculator'!L8</f>
        <v/>
      </c>
      <c r="H8" s="38">
        <f>IF(B8="","",IF(G8&gt;=0.45,"Good margin","Review"))</f>
        <v/>
      </c>
      <c r="I8" s="22" t="inlineStr">
        <is>
          <t>Pricing scenario 4</t>
        </is>
      </c>
    </row>
    <row r="9">
      <c r="A9" s="34" t="n">
        <v>46046</v>
      </c>
      <c r="B9" s="22" t="inlineStr">
        <is>
          <t>SKU-005</t>
        </is>
      </c>
      <c r="C9" s="22" t="inlineStr">
        <is>
          <t>Canvas Tote - Natural</t>
        </is>
      </c>
      <c r="D9" s="35">
        <f>IF(B9="","",VLOOKUP(B9,Inventory!$A$5:$J$104,10,FALSE))</f>
        <v/>
      </c>
      <c r="E9" s="35">
        <f>'Price Calculator'!J9</f>
        <v/>
      </c>
      <c r="F9" s="35">
        <f>'Price Calculator'!K9</f>
        <v/>
      </c>
      <c r="G9" s="37">
        <f>'Price Calculator'!L9</f>
        <v/>
      </c>
      <c r="H9" s="38">
        <f>IF(B9="","",IF(G9&gt;=0.45,"Good margin","Review"))</f>
        <v/>
      </c>
      <c r="I9" s="22" t="inlineStr">
        <is>
          <t>Pricing scenario 5</t>
        </is>
      </c>
    </row>
    <row r="10">
      <c r="A10" s="34" t="n">
        <v>46047</v>
      </c>
      <c r="B10" s="22" t="inlineStr">
        <is>
          <t>SKU-006</t>
        </is>
      </c>
      <c r="C10" s="22" t="inlineStr">
        <is>
          <t>Ceramic Mug - Sand</t>
        </is>
      </c>
      <c r="D10" s="35">
        <f>IF(B10="","",VLOOKUP(B10,Inventory!$A$5:$J$104,10,FALSE))</f>
        <v/>
      </c>
      <c r="E10" s="35">
        <f>'Price Calculator'!J10</f>
        <v/>
      </c>
      <c r="F10" s="35">
        <f>'Price Calculator'!K10</f>
        <v/>
      </c>
      <c r="G10" s="37">
        <f>'Price Calculator'!L10</f>
        <v/>
      </c>
      <c r="H10" s="38">
        <f>IF(B10="","",IF(G10&gt;=0.45,"Good margin","Review"))</f>
        <v/>
      </c>
      <c r="I10" s="22" t="inlineStr">
        <is>
          <t>Pricing scenario 6</t>
        </is>
      </c>
    </row>
    <row r="11">
      <c r="A11" s="34" t="n">
        <v>46048</v>
      </c>
      <c r="B11" s="22" t="inlineStr">
        <is>
          <t>SKU-007</t>
        </is>
      </c>
      <c r="C11" s="22" t="inlineStr">
        <is>
          <t>Ceramic Mug - Olive</t>
        </is>
      </c>
      <c r="D11" s="35">
        <f>IF(B11="","",VLOOKUP(B11,Inventory!$A$5:$J$104,10,FALSE))</f>
        <v/>
      </c>
      <c r="E11" s="35">
        <f>'Price Calculator'!J11</f>
        <v/>
      </c>
      <c r="F11" s="35">
        <f>'Price Calculator'!K11</f>
        <v/>
      </c>
      <c r="G11" s="37">
        <f>'Price Calculator'!L11</f>
        <v/>
      </c>
      <c r="H11" s="38">
        <f>IF(B11="","",IF(G11&gt;=0.45,"Good margin","Review"))</f>
        <v/>
      </c>
      <c r="I11" s="22" t="inlineStr">
        <is>
          <t>Pricing scenario 7</t>
        </is>
      </c>
    </row>
    <row r="12">
      <c r="A12" s="34" t="n">
        <v>46049</v>
      </c>
      <c r="B12" s="22" t="inlineStr">
        <is>
          <t>SKU-008</t>
        </is>
      </c>
      <c r="C12" s="22" t="inlineStr">
        <is>
          <t>Ceramic Mug - Slate</t>
        </is>
      </c>
      <c r="D12" s="35">
        <f>IF(B12="","",VLOOKUP(B12,Inventory!$A$5:$J$104,10,FALSE))</f>
        <v/>
      </c>
      <c r="E12" s="35">
        <f>'Price Calculator'!J12</f>
        <v/>
      </c>
      <c r="F12" s="35">
        <f>'Price Calculator'!K12</f>
        <v/>
      </c>
      <c r="G12" s="37">
        <f>'Price Calculator'!L12</f>
        <v/>
      </c>
      <c r="H12" s="38">
        <f>IF(B12="","",IF(G12&gt;=0.45,"Good margin","Review"))</f>
        <v/>
      </c>
      <c r="I12" s="22" t="inlineStr">
        <is>
          <t>Pricing scenario 8</t>
        </is>
      </c>
    </row>
    <row r="13">
      <c r="A13" s="34" t="inlineStr"/>
      <c r="B13" s="22" t="inlineStr"/>
      <c r="C13" s="22" t="inlineStr"/>
      <c r="D13" s="35">
        <f>IF(B13="","",VLOOKUP(B13,Inventory!$A$5:$J$104,10,FALSE))</f>
        <v/>
      </c>
      <c r="E13" s="35">
        <f>'Price Calculator'!J13</f>
        <v/>
      </c>
      <c r="F13" s="35">
        <f>'Price Calculator'!K13</f>
        <v/>
      </c>
      <c r="G13" s="37">
        <f>'Price Calculator'!L13</f>
        <v/>
      </c>
      <c r="H13" s="38">
        <f>IF(B13="","",IF(G13&gt;=0.45,"Good margin","Review"))</f>
        <v/>
      </c>
      <c r="I13" s="22" t="inlineStr"/>
    </row>
    <row r="14">
      <c r="A14" s="34" t="inlineStr"/>
      <c r="B14" s="22" t="inlineStr"/>
      <c r="C14" s="22" t="inlineStr"/>
      <c r="D14" s="35">
        <f>IF(B14="","",VLOOKUP(B14,Inventory!$A$5:$J$104,10,FALSE))</f>
        <v/>
      </c>
      <c r="E14" s="35">
        <f>'Price Calculator'!J14</f>
        <v/>
      </c>
      <c r="F14" s="35">
        <f>'Price Calculator'!K14</f>
        <v/>
      </c>
      <c r="G14" s="37">
        <f>'Price Calculator'!L14</f>
        <v/>
      </c>
      <c r="H14" s="38">
        <f>IF(B14="","",IF(G14&gt;=0.45,"Good margin","Review"))</f>
        <v/>
      </c>
      <c r="I14" s="22" t="inlineStr"/>
    </row>
    <row r="15">
      <c r="A15" s="34" t="inlineStr"/>
      <c r="B15" s="22" t="inlineStr"/>
      <c r="C15" s="22" t="inlineStr"/>
      <c r="D15" s="35">
        <f>IF(B15="","",VLOOKUP(B15,Inventory!$A$5:$J$104,10,FALSE))</f>
        <v/>
      </c>
      <c r="E15" s="35">
        <f>'Price Calculator'!J15</f>
        <v/>
      </c>
      <c r="F15" s="35">
        <f>'Price Calculator'!K15</f>
        <v/>
      </c>
      <c r="G15" s="37">
        <f>'Price Calculator'!L15</f>
        <v/>
      </c>
      <c r="H15" s="38">
        <f>IF(B15="","",IF(G15&gt;=0.45,"Good margin","Review"))</f>
        <v/>
      </c>
      <c r="I15" s="22" t="inlineStr"/>
    </row>
    <row r="16">
      <c r="A16" s="34" t="inlineStr"/>
      <c r="B16" s="22" t="inlineStr"/>
      <c r="C16" s="22" t="inlineStr"/>
      <c r="D16" s="35">
        <f>IF(B16="","",VLOOKUP(B16,Inventory!$A$5:$J$104,10,FALSE))</f>
        <v/>
      </c>
      <c r="E16" s="35">
        <f>'Price Calculator'!J16</f>
        <v/>
      </c>
      <c r="F16" s="35">
        <f>'Price Calculator'!K16</f>
        <v/>
      </c>
      <c r="G16" s="37">
        <f>'Price Calculator'!L16</f>
        <v/>
      </c>
      <c r="H16" s="38">
        <f>IF(B16="","",IF(G16&gt;=0.45,"Good margin","Review"))</f>
        <v/>
      </c>
      <c r="I16" s="22" t="inlineStr"/>
    </row>
    <row r="17">
      <c r="A17" s="34" t="inlineStr"/>
      <c r="B17" s="22" t="inlineStr"/>
      <c r="C17" s="22" t="inlineStr"/>
      <c r="D17" s="35">
        <f>IF(B17="","",VLOOKUP(B17,Inventory!$A$5:$J$104,10,FALSE))</f>
        <v/>
      </c>
      <c r="E17" s="35">
        <f>'Price Calculator'!J17</f>
        <v/>
      </c>
      <c r="F17" s="35">
        <f>'Price Calculator'!K17</f>
        <v/>
      </c>
      <c r="G17" s="37">
        <f>'Price Calculator'!L17</f>
        <v/>
      </c>
      <c r="H17" s="38">
        <f>IF(B17="","",IF(G17&gt;=0.45,"Good margin","Review"))</f>
        <v/>
      </c>
      <c r="I17" s="22" t="inlineStr"/>
    </row>
    <row r="18">
      <c r="A18" s="34" t="inlineStr"/>
      <c r="B18" s="22" t="inlineStr"/>
      <c r="C18" s="22" t="inlineStr"/>
      <c r="D18" s="35">
        <f>IF(B18="","",VLOOKUP(B18,Inventory!$A$5:$J$104,10,FALSE))</f>
        <v/>
      </c>
      <c r="E18" s="35">
        <f>'Price Calculator'!J18</f>
        <v/>
      </c>
      <c r="F18" s="35">
        <f>'Price Calculator'!K18</f>
        <v/>
      </c>
      <c r="G18" s="37">
        <f>'Price Calculator'!L18</f>
        <v/>
      </c>
      <c r="H18" s="38">
        <f>IF(B18="","",IF(G18&gt;=0.45,"Good margin","Review"))</f>
        <v/>
      </c>
      <c r="I18" s="22" t="inlineStr"/>
    </row>
    <row r="19">
      <c r="A19" s="34" t="inlineStr"/>
      <c r="B19" s="22" t="inlineStr"/>
      <c r="C19" s="22" t="inlineStr"/>
      <c r="D19" s="35">
        <f>IF(B19="","",VLOOKUP(B19,Inventory!$A$5:$J$104,10,FALSE))</f>
        <v/>
      </c>
      <c r="E19" s="35">
        <f>'Price Calculator'!J19</f>
        <v/>
      </c>
      <c r="F19" s="35">
        <f>'Price Calculator'!K19</f>
        <v/>
      </c>
      <c r="G19" s="37">
        <f>'Price Calculator'!L19</f>
        <v/>
      </c>
      <c r="H19" s="38">
        <f>IF(B19="","",IF(G19&gt;=0.45,"Good margin","Review"))</f>
        <v/>
      </c>
      <c r="I19" s="22" t="inlineStr"/>
    </row>
    <row r="20">
      <c r="A20" s="34" t="inlineStr"/>
      <c r="B20" s="22" t="inlineStr"/>
      <c r="C20" s="22" t="inlineStr"/>
      <c r="D20" s="35">
        <f>IF(B20="","",VLOOKUP(B20,Inventory!$A$5:$J$104,10,FALSE))</f>
        <v/>
      </c>
      <c r="E20" s="35">
        <f>'Price Calculator'!J20</f>
        <v/>
      </c>
      <c r="F20" s="35">
        <f>'Price Calculator'!K20</f>
        <v/>
      </c>
      <c r="G20" s="37">
        <f>'Price Calculator'!L20</f>
        <v/>
      </c>
      <c r="H20" s="38">
        <f>IF(B20="","",IF(G20&gt;=0.45,"Good margin","Review"))</f>
        <v/>
      </c>
      <c r="I20" s="22" t="inlineStr"/>
    </row>
    <row r="21">
      <c r="A21" s="34" t="inlineStr"/>
      <c r="B21" s="22" t="inlineStr"/>
      <c r="C21" s="22" t="inlineStr"/>
      <c r="D21" s="35">
        <f>IF(B21="","",VLOOKUP(B21,Inventory!$A$5:$J$104,10,FALSE))</f>
        <v/>
      </c>
      <c r="E21" s="35">
        <f>'Price Calculator'!J21</f>
        <v/>
      </c>
      <c r="F21" s="35">
        <f>'Price Calculator'!K21</f>
        <v/>
      </c>
      <c r="G21" s="37">
        <f>'Price Calculator'!L21</f>
        <v/>
      </c>
      <c r="H21" s="38">
        <f>IF(B21="","",IF(G21&gt;=0.45,"Good margin","Review"))</f>
        <v/>
      </c>
      <c r="I21" s="22" t="inlineStr"/>
    </row>
    <row r="22">
      <c r="A22" s="34" t="inlineStr"/>
      <c r="B22" s="22" t="inlineStr"/>
      <c r="C22" s="22" t="inlineStr"/>
      <c r="D22" s="35">
        <f>IF(B22="","",VLOOKUP(B22,Inventory!$A$5:$J$104,10,FALSE))</f>
        <v/>
      </c>
      <c r="E22" s="35">
        <f>'Price Calculator'!J22</f>
        <v/>
      </c>
      <c r="F22" s="35">
        <f>'Price Calculator'!K22</f>
        <v/>
      </c>
      <c r="G22" s="37">
        <f>'Price Calculator'!L22</f>
        <v/>
      </c>
      <c r="H22" s="38">
        <f>IF(B22="","",IF(G22&gt;=0.45,"Good margin","Review"))</f>
        <v/>
      </c>
      <c r="I22" s="22" t="inlineStr"/>
    </row>
    <row r="23">
      <c r="A23" s="34" t="inlineStr"/>
      <c r="B23" s="22" t="inlineStr"/>
      <c r="C23" s="22" t="inlineStr"/>
      <c r="D23" s="35">
        <f>IF(B23="","",VLOOKUP(B23,Inventory!$A$5:$J$104,10,FALSE))</f>
        <v/>
      </c>
      <c r="E23" s="35">
        <f>'Price Calculator'!J23</f>
        <v/>
      </c>
      <c r="F23" s="35">
        <f>'Price Calculator'!K23</f>
        <v/>
      </c>
      <c r="G23" s="37">
        <f>'Price Calculator'!L23</f>
        <v/>
      </c>
      <c r="H23" s="38">
        <f>IF(B23="","",IF(G23&gt;=0.45,"Good margin","Review"))</f>
        <v/>
      </c>
      <c r="I23" s="22" t="inlineStr"/>
    </row>
    <row r="24">
      <c r="A24" s="34" t="inlineStr"/>
      <c r="B24" s="22" t="inlineStr"/>
      <c r="C24" s="22" t="inlineStr"/>
      <c r="D24" s="35">
        <f>IF(B24="","",VLOOKUP(B24,Inventory!$A$5:$J$104,10,FALSE))</f>
        <v/>
      </c>
      <c r="E24" s="35">
        <f>'Price Calculator'!J24</f>
        <v/>
      </c>
      <c r="F24" s="35">
        <f>'Price Calculator'!K24</f>
        <v/>
      </c>
      <c r="G24" s="37">
        <f>'Price Calculator'!L24</f>
        <v/>
      </c>
      <c r="H24" s="38">
        <f>IF(B24="","",IF(G24&gt;=0.45,"Good margin","Review"))</f>
        <v/>
      </c>
      <c r="I24" s="22" t="inlineStr"/>
    </row>
    <row r="25">
      <c r="A25" s="34" t="inlineStr"/>
      <c r="B25" s="22" t="inlineStr"/>
      <c r="C25" s="22" t="inlineStr"/>
      <c r="D25" s="35">
        <f>IF(B25="","",VLOOKUP(B25,Inventory!$A$5:$J$104,10,FALSE))</f>
        <v/>
      </c>
      <c r="E25" s="35">
        <f>'Price Calculator'!J25</f>
        <v/>
      </c>
      <c r="F25" s="35">
        <f>'Price Calculator'!K25</f>
        <v/>
      </c>
      <c r="G25" s="37">
        <f>'Price Calculator'!L25</f>
        <v/>
      </c>
      <c r="H25" s="38">
        <f>IF(B25="","",IF(G25&gt;=0.45,"Good margin","Review"))</f>
        <v/>
      </c>
      <c r="I25" s="22" t="inlineStr"/>
    </row>
    <row r="26">
      <c r="A26" s="34" t="inlineStr"/>
      <c r="B26" s="22" t="inlineStr"/>
      <c r="C26" s="22" t="inlineStr"/>
      <c r="D26" s="35">
        <f>IF(B26="","",VLOOKUP(B26,Inventory!$A$5:$J$104,10,FALSE))</f>
        <v/>
      </c>
      <c r="E26" s="35">
        <f>'Price Calculator'!J26</f>
        <v/>
      </c>
      <c r="F26" s="35">
        <f>'Price Calculator'!K26</f>
        <v/>
      </c>
      <c r="G26" s="37">
        <f>'Price Calculator'!L26</f>
        <v/>
      </c>
      <c r="H26" s="38">
        <f>IF(B26="","",IF(G26&gt;=0.45,"Good margin","Review"))</f>
        <v/>
      </c>
      <c r="I26" s="22" t="inlineStr"/>
    </row>
    <row r="27">
      <c r="A27" s="34" t="inlineStr"/>
      <c r="B27" s="22" t="inlineStr"/>
      <c r="C27" s="22" t="inlineStr"/>
      <c r="D27" s="35">
        <f>IF(B27="","",VLOOKUP(B27,Inventory!$A$5:$J$104,10,FALSE))</f>
        <v/>
      </c>
      <c r="E27" s="35">
        <f>'Price Calculator'!J27</f>
        <v/>
      </c>
      <c r="F27" s="35">
        <f>'Price Calculator'!K27</f>
        <v/>
      </c>
      <c r="G27" s="37">
        <f>'Price Calculator'!L27</f>
        <v/>
      </c>
      <c r="H27" s="38">
        <f>IF(B27="","",IF(G27&gt;=0.45,"Good margin","Review"))</f>
        <v/>
      </c>
      <c r="I27" s="22" t="inlineStr"/>
    </row>
    <row r="28">
      <c r="A28" s="34" t="inlineStr"/>
      <c r="B28" s="22" t="inlineStr"/>
      <c r="C28" s="22" t="inlineStr"/>
      <c r="D28" s="35">
        <f>IF(B28="","",VLOOKUP(B28,Inventory!$A$5:$J$104,10,FALSE))</f>
        <v/>
      </c>
      <c r="E28" s="35">
        <f>'Price Calculator'!J28</f>
        <v/>
      </c>
      <c r="F28" s="35">
        <f>'Price Calculator'!K28</f>
        <v/>
      </c>
      <c r="G28" s="37">
        <f>'Price Calculator'!L28</f>
        <v/>
      </c>
      <c r="H28" s="38">
        <f>IF(B28="","",IF(G28&gt;=0.45,"Good margin","Review"))</f>
        <v/>
      </c>
      <c r="I28" s="22" t="inlineStr"/>
    </row>
    <row r="29">
      <c r="A29" s="34" t="inlineStr"/>
      <c r="B29" s="22" t="inlineStr"/>
      <c r="C29" s="22" t="inlineStr"/>
      <c r="D29" s="35">
        <f>IF(B29="","",VLOOKUP(B29,Inventory!$A$5:$J$104,10,FALSE))</f>
        <v/>
      </c>
      <c r="E29" s="35">
        <f>'Price Calculator'!J29</f>
        <v/>
      </c>
      <c r="F29" s="35">
        <f>'Price Calculator'!K29</f>
        <v/>
      </c>
      <c r="G29" s="37">
        <f>'Price Calculator'!L29</f>
        <v/>
      </c>
      <c r="H29" s="38">
        <f>IF(B29="","",IF(G29&gt;=0.45,"Good margin","Review"))</f>
        <v/>
      </c>
      <c r="I29" s="22" t="inlineStr"/>
    </row>
    <row r="30">
      <c r="A30" s="34" t="inlineStr"/>
      <c r="B30" s="22" t="inlineStr"/>
      <c r="C30" s="22" t="inlineStr"/>
      <c r="D30" s="35">
        <f>IF(B30="","",VLOOKUP(B30,Inventory!$A$5:$J$104,10,FALSE))</f>
        <v/>
      </c>
      <c r="E30" s="35">
        <f>'Price Calculator'!J30</f>
        <v/>
      </c>
      <c r="F30" s="35">
        <f>'Price Calculator'!K30</f>
        <v/>
      </c>
      <c r="G30" s="37">
        <f>'Price Calculator'!L30</f>
        <v/>
      </c>
      <c r="H30" s="38">
        <f>IF(B30="","",IF(G30&gt;=0.45,"Good margin","Review"))</f>
        <v/>
      </c>
      <c r="I30" s="22" t="inlineStr"/>
    </row>
    <row r="31">
      <c r="A31" s="34" t="inlineStr"/>
      <c r="B31" s="22" t="inlineStr"/>
      <c r="C31" s="22" t="inlineStr"/>
      <c r="D31" s="35">
        <f>IF(B31="","",VLOOKUP(B31,Inventory!$A$5:$J$104,10,FALSE))</f>
        <v/>
      </c>
      <c r="E31" s="35">
        <f>'Price Calculator'!J31</f>
        <v/>
      </c>
      <c r="F31" s="35">
        <f>'Price Calculator'!K31</f>
        <v/>
      </c>
      <c r="G31" s="37">
        <f>'Price Calculator'!L31</f>
        <v/>
      </c>
      <c r="H31" s="38">
        <f>IF(B31="","",IF(G31&gt;=0.45,"Good margin","Review"))</f>
        <v/>
      </c>
      <c r="I31" s="22" t="inlineStr"/>
    </row>
    <row r="32">
      <c r="A32" s="34" t="inlineStr"/>
      <c r="B32" s="22" t="inlineStr"/>
      <c r="C32" s="22" t="inlineStr"/>
      <c r="D32" s="35">
        <f>IF(B32="","",VLOOKUP(B32,Inventory!$A$5:$J$104,10,FALSE))</f>
        <v/>
      </c>
      <c r="E32" s="35">
        <f>'Price Calculator'!J32</f>
        <v/>
      </c>
      <c r="F32" s="35">
        <f>'Price Calculator'!K32</f>
        <v/>
      </c>
      <c r="G32" s="37">
        <f>'Price Calculator'!L32</f>
        <v/>
      </c>
      <c r="H32" s="38">
        <f>IF(B32="","",IF(G32&gt;=0.45,"Good margin","Review"))</f>
        <v/>
      </c>
      <c r="I32" s="22" t="inlineStr"/>
    </row>
    <row r="33">
      <c r="A33" s="34" t="inlineStr"/>
      <c r="B33" s="22" t="inlineStr"/>
      <c r="C33" s="22" t="inlineStr"/>
      <c r="D33" s="35">
        <f>IF(B33="","",VLOOKUP(B33,Inventory!$A$5:$J$104,10,FALSE))</f>
        <v/>
      </c>
      <c r="E33" s="35">
        <f>'Price Calculator'!J33</f>
        <v/>
      </c>
      <c r="F33" s="35">
        <f>'Price Calculator'!K33</f>
        <v/>
      </c>
      <c r="G33" s="37">
        <f>'Price Calculator'!L33</f>
        <v/>
      </c>
      <c r="H33" s="38">
        <f>IF(B33="","",IF(G33&gt;=0.45,"Good margin","Review"))</f>
        <v/>
      </c>
      <c r="I33" s="22" t="inlineStr"/>
    </row>
    <row r="34">
      <c r="A34" s="34" t="inlineStr"/>
      <c r="B34" s="22" t="inlineStr"/>
      <c r="C34" s="22" t="inlineStr"/>
      <c r="D34" s="35">
        <f>IF(B34="","",VLOOKUP(B34,Inventory!$A$5:$J$104,10,FALSE))</f>
        <v/>
      </c>
      <c r="E34" s="35">
        <f>'Price Calculator'!J34</f>
        <v/>
      </c>
      <c r="F34" s="35">
        <f>'Price Calculator'!K34</f>
        <v/>
      </c>
      <c r="G34" s="37">
        <f>'Price Calculator'!L34</f>
        <v/>
      </c>
      <c r="H34" s="38">
        <f>IF(B34="","",IF(G34&gt;=0.45,"Good margin","Review"))</f>
        <v/>
      </c>
      <c r="I34" s="22" t="inlineStr"/>
    </row>
    <row r="35">
      <c r="A35" s="34" t="inlineStr"/>
      <c r="B35" s="22" t="inlineStr"/>
      <c r="C35" s="22" t="inlineStr"/>
      <c r="D35" s="35">
        <f>IF(B35="","",VLOOKUP(B35,Inventory!$A$5:$J$104,10,FALSE))</f>
        <v/>
      </c>
      <c r="E35" s="35">
        <f>'Price Calculator'!J35</f>
        <v/>
      </c>
      <c r="F35" s="35">
        <f>'Price Calculator'!K35</f>
        <v/>
      </c>
      <c r="G35" s="37">
        <f>'Price Calculator'!L35</f>
        <v/>
      </c>
      <c r="H35" s="38">
        <f>IF(B35="","",IF(G35&gt;=0.45,"Good margin","Review"))</f>
        <v/>
      </c>
      <c r="I35" s="22" t="inlineStr"/>
    </row>
    <row r="36">
      <c r="A36" s="34" t="inlineStr"/>
      <c r="B36" s="22" t="inlineStr"/>
      <c r="C36" s="22" t="inlineStr"/>
      <c r="D36" s="35">
        <f>IF(B36="","",VLOOKUP(B36,Inventory!$A$5:$J$104,10,FALSE))</f>
        <v/>
      </c>
      <c r="E36" s="35">
        <f>'Price Calculator'!J36</f>
        <v/>
      </c>
      <c r="F36" s="35">
        <f>'Price Calculator'!K36</f>
        <v/>
      </c>
      <c r="G36" s="37">
        <f>'Price Calculator'!L36</f>
        <v/>
      </c>
      <c r="H36" s="38">
        <f>IF(B36="","",IF(G36&gt;=0.45,"Good margin","Review"))</f>
        <v/>
      </c>
      <c r="I36" s="22" t="inlineStr"/>
    </row>
    <row r="37">
      <c r="A37" s="34" t="inlineStr"/>
      <c r="B37" s="22" t="inlineStr"/>
      <c r="C37" s="22" t="inlineStr"/>
      <c r="D37" s="35">
        <f>IF(B37="","",VLOOKUP(B37,Inventory!$A$5:$J$104,10,FALSE))</f>
        <v/>
      </c>
      <c r="E37" s="35">
        <f>'Price Calculator'!J37</f>
        <v/>
      </c>
      <c r="F37" s="35">
        <f>'Price Calculator'!K37</f>
        <v/>
      </c>
      <c r="G37" s="37">
        <f>'Price Calculator'!L37</f>
        <v/>
      </c>
      <c r="H37" s="38">
        <f>IF(B37="","",IF(G37&gt;=0.45,"Good margin","Review"))</f>
        <v/>
      </c>
      <c r="I37" s="22" t="inlineStr"/>
    </row>
    <row r="38">
      <c r="A38" s="34" t="inlineStr"/>
      <c r="B38" s="22" t="inlineStr"/>
      <c r="C38" s="22" t="inlineStr"/>
      <c r="D38" s="35">
        <f>IF(B38="","",VLOOKUP(B38,Inventory!$A$5:$J$104,10,FALSE))</f>
        <v/>
      </c>
      <c r="E38" s="35">
        <f>'Price Calculator'!J38</f>
        <v/>
      </c>
      <c r="F38" s="35">
        <f>'Price Calculator'!K38</f>
        <v/>
      </c>
      <c r="G38" s="37">
        <f>'Price Calculator'!L38</f>
        <v/>
      </c>
      <c r="H38" s="38">
        <f>IF(B38="","",IF(G38&gt;=0.45,"Good margin","Review"))</f>
        <v/>
      </c>
      <c r="I38" s="22" t="inlineStr"/>
    </row>
    <row r="39">
      <c r="A39" s="34" t="inlineStr"/>
      <c r="B39" s="22" t="inlineStr"/>
      <c r="C39" s="22" t="inlineStr"/>
      <c r="D39" s="35">
        <f>IF(B39="","",VLOOKUP(B39,Inventory!$A$5:$J$104,10,FALSE))</f>
        <v/>
      </c>
      <c r="E39" s="35">
        <f>'Price Calculator'!J39</f>
        <v/>
      </c>
      <c r="F39" s="35">
        <f>'Price Calculator'!K39</f>
        <v/>
      </c>
      <c r="G39" s="37">
        <f>'Price Calculator'!L39</f>
        <v/>
      </c>
      <c r="H39" s="38">
        <f>IF(B39="","",IF(G39&gt;=0.45,"Good margin","Review"))</f>
        <v/>
      </c>
      <c r="I39" s="22" t="inlineStr"/>
    </row>
    <row r="40">
      <c r="A40" s="34" t="inlineStr"/>
      <c r="B40" s="22" t="inlineStr"/>
      <c r="C40" s="22" t="inlineStr"/>
      <c r="D40" s="35">
        <f>IF(B40="","",VLOOKUP(B40,Inventory!$A$5:$J$104,10,FALSE))</f>
        <v/>
      </c>
      <c r="E40" s="35">
        <f>'Price Calculator'!J40</f>
        <v/>
      </c>
      <c r="F40" s="35">
        <f>'Price Calculator'!K40</f>
        <v/>
      </c>
      <c r="G40" s="37">
        <f>'Price Calculator'!L40</f>
        <v/>
      </c>
      <c r="H40" s="38">
        <f>IF(B40="","",IF(G40&gt;=0.45,"Good margin","Review"))</f>
        <v/>
      </c>
      <c r="I40" s="22" t="inlineStr"/>
    </row>
    <row r="41">
      <c r="A41" s="34" t="inlineStr"/>
      <c r="B41" s="22" t="inlineStr"/>
      <c r="C41" s="22" t="inlineStr"/>
      <c r="D41" s="35">
        <f>IF(B41="","",VLOOKUP(B41,Inventory!$A$5:$J$104,10,FALSE))</f>
        <v/>
      </c>
      <c r="E41" s="35">
        <f>'Price Calculator'!J41</f>
        <v/>
      </c>
      <c r="F41" s="35">
        <f>'Price Calculator'!K41</f>
        <v/>
      </c>
      <c r="G41" s="37">
        <f>'Price Calculator'!L41</f>
        <v/>
      </c>
      <c r="H41" s="38">
        <f>IF(B41="","",IF(G41&gt;=0.45,"Good margin","Review"))</f>
        <v/>
      </c>
      <c r="I41" s="22" t="inlineStr"/>
    </row>
    <row r="42">
      <c r="A42" s="34" t="inlineStr"/>
      <c r="B42" s="22" t="inlineStr"/>
      <c r="C42" s="22" t="inlineStr"/>
      <c r="D42" s="35">
        <f>IF(B42="","",VLOOKUP(B42,Inventory!$A$5:$J$104,10,FALSE))</f>
        <v/>
      </c>
      <c r="E42" s="35">
        <f>'Price Calculator'!J42</f>
        <v/>
      </c>
      <c r="F42" s="35">
        <f>'Price Calculator'!K42</f>
        <v/>
      </c>
      <c r="G42" s="37">
        <f>'Price Calculator'!L42</f>
        <v/>
      </c>
      <c r="H42" s="38">
        <f>IF(B42="","",IF(G42&gt;=0.45,"Good margin","Review"))</f>
        <v/>
      </c>
      <c r="I42" s="22" t="inlineStr"/>
    </row>
    <row r="43">
      <c r="A43" s="34" t="inlineStr"/>
      <c r="B43" s="22" t="inlineStr"/>
      <c r="C43" s="22" t="inlineStr"/>
      <c r="D43" s="35">
        <f>IF(B43="","",VLOOKUP(B43,Inventory!$A$5:$J$104,10,FALSE))</f>
        <v/>
      </c>
      <c r="E43" s="35">
        <f>'Price Calculator'!J43</f>
        <v/>
      </c>
      <c r="F43" s="35">
        <f>'Price Calculator'!K43</f>
        <v/>
      </c>
      <c r="G43" s="37">
        <f>'Price Calculator'!L43</f>
        <v/>
      </c>
      <c r="H43" s="38">
        <f>IF(B43="","",IF(G43&gt;=0.45,"Good margin","Review"))</f>
        <v/>
      </c>
      <c r="I43" s="22" t="inlineStr"/>
    </row>
    <row r="44">
      <c r="A44" s="34" t="inlineStr"/>
      <c r="B44" s="22" t="inlineStr"/>
      <c r="C44" s="22" t="inlineStr"/>
      <c r="D44" s="35">
        <f>IF(B44="","",VLOOKUP(B44,Inventory!$A$5:$J$104,10,FALSE))</f>
        <v/>
      </c>
      <c r="E44" s="35">
        <f>'Price Calculator'!J44</f>
        <v/>
      </c>
      <c r="F44" s="35">
        <f>'Price Calculator'!K44</f>
        <v/>
      </c>
      <c r="G44" s="37">
        <f>'Price Calculator'!L44</f>
        <v/>
      </c>
      <c r="H44" s="38">
        <f>IF(B44="","",IF(G44&gt;=0.45,"Good margin","Review"))</f>
        <v/>
      </c>
      <c r="I44" s="22" t="inlineStr"/>
    </row>
    <row r="45">
      <c r="A45" s="34" t="inlineStr"/>
      <c r="B45" s="22" t="inlineStr"/>
      <c r="C45" s="22" t="inlineStr"/>
      <c r="D45" s="35">
        <f>IF(B45="","",VLOOKUP(B45,Inventory!$A$5:$J$104,10,FALSE))</f>
        <v/>
      </c>
      <c r="E45" s="35">
        <f>'Price Calculator'!J45</f>
        <v/>
      </c>
      <c r="F45" s="35">
        <f>'Price Calculator'!K45</f>
        <v/>
      </c>
      <c r="G45" s="37">
        <f>'Price Calculator'!L45</f>
        <v/>
      </c>
      <c r="H45" s="38">
        <f>IF(B45="","",IF(G45&gt;=0.45,"Good margin","Review"))</f>
        <v/>
      </c>
      <c r="I45" s="22" t="inlineStr"/>
    </row>
    <row r="46">
      <c r="A46" s="34" t="inlineStr"/>
      <c r="B46" s="22" t="inlineStr"/>
      <c r="C46" s="22" t="inlineStr"/>
      <c r="D46" s="35">
        <f>IF(B46="","",VLOOKUP(B46,Inventory!$A$5:$J$104,10,FALSE))</f>
        <v/>
      </c>
      <c r="E46" s="35">
        <f>'Price Calculator'!J46</f>
        <v/>
      </c>
      <c r="F46" s="35">
        <f>'Price Calculator'!K46</f>
        <v/>
      </c>
      <c r="G46" s="37">
        <f>'Price Calculator'!L46</f>
        <v/>
      </c>
      <c r="H46" s="38">
        <f>IF(B46="","",IF(G46&gt;=0.45,"Good margin","Review"))</f>
        <v/>
      </c>
      <c r="I46" s="22" t="inlineStr"/>
    </row>
    <row r="47">
      <c r="A47" s="34" t="inlineStr"/>
      <c r="B47" s="22" t="inlineStr"/>
      <c r="C47" s="22" t="inlineStr"/>
      <c r="D47" s="35">
        <f>IF(B47="","",VLOOKUP(B47,Inventory!$A$5:$J$104,10,FALSE))</f>
        <v/>
      </c>
      <c r="E47" s="35">
        <f>'Price Calculator'!J47</f>
        <v/>
      </c>
      <c r="F47" s="35">
        <f>'Price Calculator'!K47</f>
        <v/>
      </c>
      <c r="G47" s="37">
        <f>'Price Calculator'!L47</f>
        <v/>
      </c>
      <c r="H47" s="38">
        <f>IF(B47="","",IF(G47&gt;=0.45,"Good margin","Review"))</f>
        <v/>
      </c>
      <c r="I47" s="22" t="inlineStr"/>
    </row>
    <row r="48">
      <c r="A48" s="34" t="inlineStr"/>
      <c r="B48" s="22" t="inlineStr"/>
      <c r="C48" s="22" t="inlineStr"/>
      <c r="D48" s="35">
        <f>IF(B48="","",VLOOKUP(B48,Inventory!$A$5:$J$104,10,FALSE))</f>
        <v/>
      </c>
      <c r="E48" s="35">
        <f>'Price Calculator'!J48</f>
        <v/>
      </c>
      <c r="F48" s="35">
        <f>'Price Calculator'!K48</f>
        <v/>
      </c>
      <c r="G48" s="37">
        <f>'Price Calculator'!L48</f>
        <v/>
      </c>
      <c r="H48" s="38">
        <f>IF(B48="","",IF(G48&gt;=0.45,"Good margin","Review"))</f>
        <v/>
      </c>
      <c r="I48" s="22" t="inlineStr"/>
    </row>
    <row r="49">
      <c r="A49" s="34" t="inlineStr"/>
      <c r="B49" s="22" t="inlineStr"/>
      <c r="C49" s="22" t="inlineStr"/>
      <c r="D49" s="35">
        <f>IF(B49="","",VLOOKUP(B49,Inventory!$A$5:$J$104,10,FALSE))</f>
        <v/>
      </c>
      <c r="E49" s="35">
        <f>'Price Calculator'!J49</f>
        <v/>
      </c>
      <c r="F49" s="35">
        <f>'Price Calculator'!K49</f>
        <v/>
      </c>
      <c r="G49" s="37">
        <f>'Price Calculator'!L49</f>
        <v/>
      </c>
      <c r="H49" s="38">
        <f>IF(B49="","",IF(G49&gt;=0.45,"Good margin","Review"))</f>
        <v/>
      </c>
      <c r="I49" s="22" t="inlineStr"/>
    </row>
    <row r="50">
      <c r="A50" s="34" t="inlineStr"/>
      <c r="B50" s="22" t="inlineStr"/>
      <c r="C50" s="22" t="inlineStr"/>
      <c r="D50" s="35">
        <f>IF(B50="","",VLOOKUP(B50,Inventory!$A$5:$J$104,10,FALSE))</f>
        <v/>
      </c>
      <c r="E50" s="35">
        <f>'Price Calculator'!J50</f>
        <v/>
      </c>
      <c r="F50" s="35">
        <f>'Price Calculator'!K50</f>
        <v/>
      </c>
      <c r="G50" s="37">
        <f>'Price Calculator'!L50</f>
        <v/>
      </c>
      <c r="H50" s="38">
        <f>IF(B50="","",IF(G50&gt;=0.45,"Good margin","Review"))</f>
        <v/>
      </c>
      <c r="I50" s="22" t="inlineStr"/>
    </row>
    <row r="51">
      <c r="A51" s="34" t="inlineStr"/>
      <c r="B51" s="22" t="inlineStr"/>
      <c r="C51" s="22" t="inlineStr"/>
      <c r="D51" s="35">
        <f>IF(B51="","",VLOOKUP(B51,Inventory!$A$5:$J$104,10,FALSE))</f>
        <v/>
      </c>
      <c r="E51" s="35">
        <f>'Price Calculator'!J51</f>
        <v/>
      </c>
      <c r="F51" s="35">
        <f>'Price Calculator'!K51</f>
        <v/>
      </c>
      <c r="G51" s="37">
        <f>'Price Calculator'!L51</f>
        <v/>
      </c>
      <c r="H51" s="38">
        <f>IF(B51="","",IF(G51&gt;=0.45,"Good margin","Review"))</f>
        <v/>
      </c>
      <c r="I51" s="22" t="inlineStr"/>
    </row>
    <row r="52">
      <c r="A52" s="34" t="inlineStr"/>
      <c r="B52" s="22" t="inlineStr"/>
      <c r="C52" s="22" t="inlineStr"/>
      <c r="D52" s="35">
        <f>IF(B52="","",VLOOKUP(B52,Inventory!$A$5:$J$104,10,FALSE))</f>
        <v/>
      </c>
      <c r="E52" s="35">
        <f>'Price Calculator'!J52</f>
        <v/>
      </c>
      <c r="F52" s="35">
        <f>'Price Calculator'!K52</f>
        <v/>
      </c>
      <c r="G52" s="37">
        <f>'Price Calculator'!L52</f>
        <v/>
      </c>
      <c r="H52" s="38">
        <f>IF(B52="","",IF(G52&gt;=0.45,"Good margin","Review"))</f>
        <v/>
      </c>
      <c r="I52" s="22" t="inlineStr"/>
    </row>
    <row r="53">
      <c r="A53" s="34" t="inlineStr"/>
      <c r="B53" s="22" t="inlineStr"/>
      <c r="C53" s="22" t="inlineStr"/>
      <c r="D53" s="35">
        <f>IF(B53="","",VLOOKUP(B53,Inventory!$A$5:$J$104,10,FALSE))</f>
        <v/>
      </c>
      <c r="E53" s="35">
        <f>'Price Calculator'!J53</f>
        <v/>
      </c>
      <c r="F53" s="35">
        <f>'Price Calculator'!K53</f>
        <v/>
      </c>
      <c r="G53" s="37">
        <f>'Price Calculator'!L53</f>
        <v/>
      </c>
      <c r="H53" s="38">
        <f>IF(B53="","",IF(G53&gt;=0.45,"Good margin","Review"))</f>
        <v/>
      </c>
      <c r="I53" s="22" t="inlineStr"/>
    </row>
    <row r="54">
      <c r="A54" s="34" t="inlineStr"/>
      <c r="B54" s="22" t="inlineStr"/>
      <c r="C54" s="22" t="inlineStr"/>
      <c r="D54" s="35">
        <f>IF(B54="","",VLOOKUP(B54,Inventory!$A$5:$J$104,10,FALSE))</f>
        <v/>
      </c>
      <c r="E54" s="35">
        <f>'Price Calculator'!J54</f>
        <v/>
      </c>
      <c r="F54" s="35">
        <f>'Price Calculator'!K54</f>
        <v/>
      </c>
      <c r="G54" s="37">
        <f>'Price Calculator'!L54</f>
        <v/>
      </c>
      <c r="H54" s="38">
        <f>IF(B54="","",IF(G54&gt;=0.45,"Good margin","Review"))</f>
        <v/>
      </c>
      <c r="I54" s="22" t="inlineStr"/>
    </row>
    <row r="55">
      <c r="A55" s="34" t="inlineStr"/>
      <c r="B55" s="22" t="inlineStr"/>
      <c r="C55" s="22" t="inlineStr"/>
      <c r="D55" s="35">
        <f>IF(B55="","",VLOOKUP(B55,Inventory!$A$5:$J$104,10,FALSE))</f>
        <v/>
      </c>
      <c r="E55" s="35">
        <f>'Price Calculator'!J55</f>
        <v/>
      </c>
      <c r="F55" s="35">
        <f>'Price Calculator'!K55</f>
        <v/>
      </c>
      <c r="G55" s="37">
        <f>'Price Calculator'!L55</f>
        <v/>
      </c>
      <c r="H55" s="38">
        <f>IF(B55="","",IF(G55&gt;=0.45,"Good margin","Review"))</f>
        <v/>
      </c>
      <c r="I55" s="22" t="inlineStr"/>
    </row>
    <row r="56">
      <c r="A56" s="34" t="inlineStr"/>
      <c r="B56" s="22" t="inlineStr"/>
      <c r="C56" s="22" t="inlineStr"/>
      <c r="D56" s="35">
        <f>IF(B56="","",VLOOKUP(B56,Inventory!$A$5:$J$104,10,FALSE))</f>
        <v/>
      </c>
      <c r="E56" s="35">
        <f>'Price Calculator'!J56</f>
        <v/>
      </c>
      <c r="F56" s="35">
        <f>'Price Calculator'!K56</f>
        <v/>
      </c>
      <c r="G56" s="37">
        <f>'Price Calculator'!L56</f>
        <v/>
      </c>
      <c r="H56" s="38">
        <f>IF(B56="","",IF(G56&gt;=0.45,"Good margin","Review"))</f>
        <v/>
      </c>
      <c r="I56" s="22" t="inlineStr"/>
    </row>
    <row r="57">
      <c r="A57" s="34" t="inlineStr"/>
      <c r="B57" s="22" t="inlineStr"/>
      <c r="C57" s="22" t="inlineStr"/>
      <c r="D57" s="35">
        <f>IF(B57="","",VLOOKUP(B57,Inventory!$A$5:$J$104,10,FALSE))</f>
        <v/>
      </c>
      <c r="E57" s="35">
        <f>'Price Calculator'!J57</f>
        <v/>
      </c>
      <c r="F57" s="35">
        <f>'Price Calculator'!K57</f>
        <v/>
      </c>
      <c r="G57" s="37">
        <f>'Price Calculator'!L57</f>
        <v/>
      </c>
      <c r="H57" s="38">
        <f>IF(B57="","",IF(G57&gt;=0.45,"Good margin","Review"))</f>
        <v/>
      </c>
      <c r="I57" s="22" t="inlineStr"/>
    </row>
    <row r="58">
      <c r="A58" s="34" t="inlineStr"/>
      <c r="B58" s="22" t="inlineStr"/>
      <c r="C58" s="22" t="inlineStr"/>
      <c r="D58" s="35">
        <f>IF(B58="","",VLOOKUP(B58,Inventory!$A$5:$J$104,10,FALSE))</f>
        <v/>
      </c>
      <c r="E58" s="35">
        <f>'Price Calculator'!J58</f>
        <v/>
      </c>
      <c r="F58" s="35">
        <f>'Price Calculator'!K58</f>
        <v/>
      </c>
      <c r="G58" s="37">
        <f>'Price Calculator'!L58</f>
        <v/>
      </c>
      <c r="H58" s="38">
        <f>IF(B58="","",IF(G58&gt;=0.45,"Good margin","Review"))</f>
        <v/>
      </c>
      <c r="I58" s="22" t="inlineStr"/>
    </row>
    <row r="59">
      <c r="A59" s="34" t="inlineStr"/>
      <c r="B59" s="22" t="inlineStr"/>
      <c r="C59" s="22" t="inlineStr"/>
      <c r="D59" s="35">
        <f>IF(B59="","",VLOOKUP(B59,Inventory!$A$5:$J$104,10,FALSE))</f>
        <v/>
      </c>
      <c r="E59" s="35">
        <f>'Price Calculator'!J59</f>
        <v/>
      </c>
      <c r="F59" s="35">
        <f>'Price Calculator'!K59</f>
        <v/>
      </c>
      <c r="G59" s="37">
        <f>'Price Calculator'!L59</f>
        <v/>
      </c>
      <c r="H59" s="38">
        <f>IF(B59="","",IF(G59&gt;=0.45,"Good margin","Review"))</f>
        <v/>
      </c>
      <c r="I59" s="22" t="inlineStr"/>
    </row>
    <row r="60">
      <c r="A60" s="34" t="inlineStr"/>
      <c r="B60" s="22" t="inlineStr"/>
      <c r="C60" s="22" t="inlineStr"/>
      <c r="D60" s="35">
        <f>IF(B60="","",VLOOKUP(B60,Inventory!$A$5:$J$104,10,FALSE))</f>
        <v/>
      </c>
      <c r="E60" s="35">
        <f>'Price Calculator'!J60</f>
        <v/>
      </c>
      <c r="F60" s="35">
        <f>'Price Calculator'!K60</f>
        <v/>
      </c>
      <c r="G60" s="37">
        <f>'Price Calculator'!L60</f>
        <v/>
      </c>
      <c r="H60" s="38">
        <f>IF(B60="","",IF(G60&gt;=0.45,"Good margin","Review"))</f>
        <v/>
      </c>
      <c r="I60" s="22" t="inlineStr"/>
    </row>
    <row r="61">
      <c r="A61" s="34" t="inlineStr"/>
      <c r="B61" s="22" t="inlineStr"/>
      <c r="C61" s="22" t="inlineStr"/>
      <c r="D61" s="35">
        <f>IF(B61="","",VLOOKUP(B61,Inventory!$A$5:$J$104,10,FALSE))</f>
        <v/>
      </c>
      <c r="E61" s="35">
        <f>'Price Calculator'!J61</f>
        <v/>
      </c>
      <c r="F61" s="35">
        <f>'Price Calculator'!K61</f>
        <v/>
      </c>
      <c r="G61" s="37">
        <f>'Price Calculator'!L61</f>
        <v/>
      </c>
      <c r="H61" s="38">
        <f>IF(B61="","",IF(G61&gt;=0.45,"Good margin","Review"))</f>
        <v/>
      </c>
      <c r="I61" s="22" t="inlineStr"/>
    </row>
    <row r="62">
      <c r="A62" s="34" t="inlineStr"/>
      <c r="B62" s="22" t="inlineStr"/>
      <c r="C62" s="22" t="inlineStr"/>
      <c r="D62" s="35">
        <f>IF(B62="","",VLOOKUP(B62,Inventory!$A$5:$J$104,10,FALSE))</f>
        <v/>
      </c>
      <c r="E62" s="35">
        <f>'Price Calculator'!J62</f>
        <v/>
      </c>
      <c r="F62" s="35">
        <f>'Price Calculator'!K62</f>
        <v/>
      </c>
      <c r="G62" s="37">
        <f>'Price Calculator'!L62</f>
        <v/>
      </c>
      <c r="H62" s="38">
        <f>IF(B62="","",IF(G62&gt;=0.45,"Good margin","Review"))</f>
        <v/>
      </c>
      <c r="I62" s="22" t="inlineStr"/>
    </row>
    <row r="63">
      <c r="A63" s="34" t="inlineStr"/>
      <c r="B63" s="22" t="inlineStr"/>
      <c r="C63" s="22" t="inlineStr"/>
      <c r="D63" s="35">
        <f>IF(B63="","",VLOOKUP(B63,Inventory!$A$5:$J$104,10,FALSE))</f>
        <v/>
      </c>
      <c r="E63" s="35">
        <f>'Price Calculator'!J63</f>
        <v/>
      </c>
      <c r="F63" s="35">
        <f>'Price Calculator'!K63</f>
        <v/>
      </c>
      <c r="G63" s="37">
        <f>'Price Calculator'!L63</f>
        <v/>
      </c>
      <c r="H63" s="38">
        <f>IF(B63="","",IF(G63&gt;=0.45,"Good margin","Review"))</f>
        <v/>
      </c>
      <c r="I63" s="22" t="inlineStr"/>
    </row>
    <row r="64">
      <c r="A64" s="34" t="inlineStr"/>
      <c r="B64" s="22" t="inlineStr"/>
      <c r="C64" s="22" t="inlineStr"/>
      <c r="D64" s="35">
        <f>IF(B64="","",VLOOKUP(B64,Inventory!$A$5:$J$104,10,FALSE))</f>
        <v/>
      </c>
      <c r="E64" s="35">
        <f>'Price Calculator'!J64</f>
        <v/>
      </c>
      <c r="F64" s="35">
        <f>'Price Calculator'!K64</f>
        <v/>
      </c>
      <c r="G64" s="37">
        <f>'Price Calculator'!L64</f>
        <v/>
      </c>
      <c r="H64" s="38">
        <f>IF(B64="","",IF(G64&gt;=0.45,"Good margin","Review"))</f>
        <v/>
      </c>
      <c r="I64" s="22" t="inlineStr"/>
    </row>
    <row r="65">
      <c r="A65" s="34" t="inlineStr"/>
      <c r="B65" s="22" t="inlineStr"/>
      <c r="C65" s="22" t="inlineStr"/>
      <c r="D65" s="35">
        <f>IF(B65="","",VLOOKUP(B65,Inventory!$A$5:$J$104,10,FALSE))</f>
        <v/>
      </c>
      <c r="E65" s="35">
        <f>'Price Calculator'!J65</f>
        <v/>
      </c>
      <c r="F65" s="35">
        <f>'Price Calculator'!K65</f>
        <v/>
      </c>
      <c r="G65" s="37">
        <f>'Price Calculator'!L65</f>
        <v/>
      </c>
      <c r="H65" s="38">
        <f>IF(B65="","",IF(G65&gt;=0.45,"Good margin","Review"))</f>
        <v/>
      </c>
      <c r="I65" s="22" t="inlineStr"/>
    </row>
    <row r="66">
      <c r="A66" s="34" t="inlineStr"/>
      <c r="B66" s="22" t="inlineStr"/>
      <c r="C66" s="22" t="inlineStr"/>
      <c r="D66" s="35">
        <f>IF(B66="","",VLOOKUP(B66,Inventory!$A$5:$J$104,10,FALSE))</f>
        <v/>
      </c>
      <c r="E66" s="35">
        <f>'Price Calculator'!J66</f>
        <v/>
      </c>
      <c r="F66" s="35">
        <f>'Price Calculator'!K66</f>
        <v/>
      </c>
      <c r="G66" s="37">
        <f>'Price Calculator'!L66</f>
        <v/>
      </c>
      <c r="H66" s="38">
        <f>IF(B66="","",IF(G66&gt;=0.45,"Good margin","Review"))</f>
        <v/>
      </c>
      <c r="I66" s="22" t="inlineStr"/>
    </row>
    <row r="67">
      <c r="A67" s="34" t="inlineStr"/>
      <c r="B67" s="22" t="inlineStr"/>
      <c r="C67" s="22" t="inlineStr"/>
      <c r="D67" s="35">
        <f>IF(B67="","",VLOOKUP(B67,Inventory!$A$5:$J$104,10,FALSE))</f>
        <v/>
      </c>
      <c r="E67" s="35">
        <f>'Price Calculator'!J67</f>
        <v/>
      </c>
      <c r="F67" s="35">
        <f>'Price Calculator'!K67</f>
        <v/>
      </c>
      <c r="G67" s="37">
        <f>'Price Calculator'!L67</f>
        <v/>
      </c>
      <c r="H67" s="38">
        <f>IF(B67="","",IF(G67&gt;=0.45,"Good margin","Review"))</f>
        <v/>
      </c>
      <c r="I67" s="22" t="inlineStr"/>
    </row>
    <row r="68">
      <c r="A68" s="34" t="inlineStr"/>
      <c r="B68" s="22" t="inlineStr"/>
      <c r="C68" s="22" t="inlineStr"/>
      <c r="D68" s="35">
        <f>IF(B68="","",VLOOKUP(B68,Inventory!$A$5:$J$104,10,FALSE))</f>
        <v/>
      </c>
      <c r="E68" s="35">
        <f>'Price Calculator'!J68</f>
        <v/>
      </c>
      <c r="F68" s="35">
        <f>'Price Calculator'!K68</f>
        <v/>
      </c>
      <c r="G68" s="37">
        <f>'Price Calculator'!L68</f>
        <v/>
      </c>
      <c r="H68" s="38">
        <f>IF(B68="","",IF(G68&gt;=0.45,"Good margin","Review"))</f>
        <v/>
      </c>
      <c r="I68" s="22" t="inlineStr"/>
    </row>
    <row r="69">
      <c r="A69" s="34" t="inlineStr"/>
      <c r="B69" s="22" t="inlineStr"/>
      <c r="C69" s="22" t="inlineStr"/>
      <c r="D69" s="35">
        <f>IF(B69="","",VLOOKUP(B69,Inventory!$A$5:$J$104,10,FALSE))</f>
        <v/>
      </c>
      <c r="E69" s="35">
        <f>'Price Calculator'!J69</f>
        <v/>
      </c>
      <c r="F69" s="35">
        <f>'Price Calculator'!K69</f>
        <v/>
      </c>
      <c r="G69" s="37">
        <f>'Price Calculator'!L69</f>
        <v/>
      </c>
      <c r="H69" s="38">
        <f>IF(B69="","",IF(G69&gt;=0.45,"Good margin","Review"))</f>
        <v/>
      </c>
      <c r="I69" s="22" t="inlineStr"/>
    </row>
    <row r="70">
      <c r="A70" s="34" t="inlineStr"/>
      <c r="B70" s="22" t="inlineStr"/>
      <c r="C70" s="22" t="inlineStr"/>
      <c r="D70" s="35">
        <f>IF(B70="","",VLOOKUP(B70,Inventory!$A$5:$J$104,10,FALSE))</f>
        <v/>
      </c>
      <c r="E70" s="35">
        <f>'Price Calculator'!J70</f>
        <v/>
      </c>
      <c r="F70" s="35">
        <f>'Price Calculator'!K70</f>
        <v/>
      </c>
      <c r="G70" s="37">
        <f>'Price Calculator'!L70</f>
        <v/>
      </c>
      <c r="H70" s="38">
        <f>IF(B70="","",IF(G70&gt;=0.45,"Good margin","Review"))</f>
        <v/>
      </c>
      <c r="I70" s="22" t="inlineStr"/>
    </row>
    <row r="71">
      <c r="A71" s="34" t="inlineStr"/>
      <c r="B71" s="22" t="inlineStr"/>
      <c r="C71" s="22" t="inlineStr"/>
      <c r="D71" s="35">
        <f>IF(B71="","",VLOOKUP(B71,Inventory!$A$5:$J$104,10,FALSE))</f>
        <v/>
      </c>
      <c r="E71" s="35">
        <f>'Price Calculator'!J71</f>
        <v/>
      </c>
      <c r="F71" s="35">
        <f>'Price Calculator'!K71</f>
        <v/>
      </c>
      <c r="G71" s="37">
        <f>'Price Calculator'!L71</f>
        <v/>
      </c>
      <c r="H71" s="38">
        <f>IF(B71="","",IF(G71&gt;=0.45,"Good margin","Review"))</f>
        <v/>
      </c>
      <c r="I71" s="22" t="inlineStr"/>
    </row>
    <row r="72">
      <c r="A72" s="34" t="inlineStr"/>
      <c r="B72" s="22" t="inlineStr"/>
      <c r="C72" s="22" t="inlineStr"/>
      <c r="D72" s="35">
        <f>IF(B72="","",VLOOKUP(B72,Inventory!$A$5:$J$104,10,FALSE))</f>
        <v/>
      </c>
      <c r="E72" s="35">
        <f>'Price Calculator'!J72</f>
        <v/>
      </c>
      <c r="F72" s="35">
        <f>'Price Calculator'!K72</f>
        <v/>
      </c>
      <c r="G72" s="37">
        <f>'Price Calculator'!L72</f>
        <v/>
      </c>
      <c r="H72" s="38">
        <f>IF(B72="","",IF(G72&gt;=0.45,"Good margin","Review"))</f>
        <v/>
      </c>
      <c r="I72" s="22" t="inlineStr"/>
    </row>
    <row r="73">
      <c r="A73" s="34" t="inlineStr"/>
      <c r="B73" s="22" t="inlineStr"/>
      <c r="C73" s="22" t="inlineStr"/>
      <c r="D73" s="35">
        <f>IF(B73="","",VLOOKUP(B73,Inventory!$A$5:$J$104,10,FALSE))</f>
        <v/>
      </c>
      <c r="E73" s="35">
        <f>'Price Calculator'!J73</f>
        <v/>
      </c>
      <c r="F73" s="35">
        <f>'Price Calculator'!K73</f>
        <v/>
      </c>
      <c r="G73" s="37">
        <f>'Price Calculator'!L73</f>
        <v/>
      </c>
      <c r="H73" s="38">
        <f>IF(B73="","",IF(G73&gt;=0.45,"Good margin","Review"))</f>
        <v/>
      </c>
      <c r="I73" s="22" t="inlineStr"/>
    </row>
    <row r="74">
      <c r="A74" s="34" t="inlineStr"/>
      <c r="B74" s="22" t="inlineStr"/>
      <c r="C74" s="22" t="inlineStr"/>
      <c r="D74" s="35">
        <f>IF(B74="","",VLOOKUP(B74,Inventory!$A$5:$J$104,10,FALSE))</f>
        <v/>
      </c>
      <c r="E74" s="35">
        <f>'Price Calculator'!J74</f>
        <v/>
      </c>
      <c r="F74" s="35">
        <f>'Price Calculator'!K74</f>
        <v/>
      </c>
      <c r="G74" s="37">
        <f>'Price Calculator'!L74</f>
        <v/>
      </c>
      <c r="H74" s="38">
        <f>IF(B74="","",IF(G74&gt;=0.45,"Good margin","Review"))</f>
        <v/>
      </c>
      <c r="I74" s="22" t="inlineStr"/>
    </row>
    <row r="75">
      <c r="A75" s="34" t="inlineStr"/>
      <c r="B75" s="22" t="inlineStr"/>
      <c r="C75" s="22" t="inlineStr"/>
      <c r="D75" s="35">
        <f>IF(B75="","",VLOOKUP(B75,Inventory!$A$5:$J$104,10,FALSE))</f>
        <v/>
      </c>
      <c r="E75" s="35">
        <f>'Price Calculator'!J75</f>
        <v/>
      </c>
      <c r="F75" s="35">
        <f>'Price Calculator'!K75</f>
        <v/>
      </c>
      <c r="G75" s="37">
        <f>'Price Calculator'!L75</f>
        <v/>
      </c>
      <c r="H75" s="38">
        <f>IF(B75="","",IF(G75&gt;=0.45,"Good margin","Review"))</f>
        <v/>
      </c>
      <c r="I75" s="22" t="inlineStr"/>
    </row>
    <row r="76">
      <c r="A76" s="34" t="inlineStr"/>
      <c r="B76" s="22" t="inlineStr"/>
      <c r="C76" s="22" t="inlineStr"/>
      <c r="D76" s="35">
        <f>IF(B76="","",VLOOKUP(B76,Inventory!$A$5:$J$104,10,FALSE))</f>
        <v/>
      </c>
      <c r="E76" s="35">
        <f>'Price Calculator'!J76</f>
        <v/>
      </c>
      <c r="F76" s="35">
        <f>'Price Calculator'!K76</f>
        <v/>
      </c>
      <c r="G76" s="37">
        <f>'Price Calculator'!L76</f>
        <v/>
      </c>
      <c r="H76" s="38">
        <f>IF(B76="","",IF(G76&gt;=0.45,"Good margin","Review"))</f>
        <v/>
      </c>
      <c r="I76" s="22" t="inlineStr"/>
    </row>
    <row r="77">
      <c r="A77" s="34" t="inlineStr"/>
      <c r="B77" s="22" t="inlineStr"/>
      <c r="C77" s="22" t="inlineStr"/>
      <c r="D77" s="35">
        <f>IF(B77="","",VLOOKUP(B77,Inventory!$A$5:$J$104,10,FALSE))</f>
        <v/>
      </c>
      <c r="E77" s="35">
        <f>'Price Calculator'!J77</f>
        <v/>
      </c>
      <c r="F77" s="35">
        <f>'Price Calculator'!K77</f>
        <v/>
      </c>
      <c r="G77" s="37">
        <f>'Price Calculator'!L77</f>
        <v/>
      </c>
      <c r="H77" s="38">
        <f>IF(B77="","",IF(G77&gt;=0.45,"Good margin","Review"))</f>
        <v/>
      </c>
      <c r="I77" s="22" t="inlineStr"/>
    </row>
    <row r="78">
      <c r="A78" s="34" t="inlineStr"/>
      <c r="B78" s="22" t="inlineStr"/>
      <c r="C78" s="22" t="inlineStr"/>
      <c r="D78" s="35">
        <f>IF(B78="","",VLOOKUP(B78,Inventory!$A$5:$J$104,10,FALSE))</f>
        <v/>
      </c>
      <c r="E78" s="35">
        <f>'Price Calculator'!J78</f>
        <v/>
      </c>
      <c r="F78" s="35">
        <f>'Price Calculator'!K78</f>
        <v/>
      </c>
      <c r="G78" s="37">
        <f>'Price Calculator'!L78</f>
        <v/>
      </c>
      <c r="H78" s="38">
        <f>IF(B78="","",IF(G78&gt;=0.45,"Good margin","Review"))</f>
        <v/>
      </c>
      <c r="I78" s="22" t="inlineStr"/>
    </row>
    <row r="79">
      <c r="A79" s="34" t="inlineStr"/>
      <c r="B79" s="22" t="inlineStr"/>
      <c r="C79" s="22" t="inlineStr"/>
      <c r="D79" s="35">
        <f>IF(B79="","",VLOOKUP(B79,Inventory!$A$5:$J$104,10,FALSE))</f>
        <v/>
      </c>
      <c r="E79" s="35">
        <f>'Price Calculator'!J79</f>
        <v/>
      </c>
      <c r="F79" s="35">
        <f>'Price Calculator'!K79</f>
        <v/>
      </c>
      <c r="G79" s="37">
        <f>'Price Calculator'!L79</f>
        <v/>
      </c>
      <c r="H79" s="38">
        <f>IF(B79="","",IF(G79&gt;=0.45,"Good margin","Review"))</f>
        <v/>
      </c>
      <c r="I79" s="22" t="inlineStr"/>
    </row>
    <row r="80">
      <c r="A80" s="34" t="inlineStr"/>
      <c r="B80" s="22" t="inlineStr"/>
      <c r="C80" s="22" t="inlineStr"/>
      <c r="D80" s="35">
        <f>IF(B80="","",VLOOKUP(B80,Inventory!$A$5:$J$104,10,FALSE))</f>
        <v/>
      </c>
      <c r="E80" s="35">
        <f>'Price Calculator'!J80</f>
        <v/>
      </c>
      <c r="F80" s="35">
        <f>'Price Calculator'!K80</f>
        <v/>
      </c>
      <c r="G80" s="37">
        <f>'Price Calculator'!L80</f>
        <v/>
      </c>
      <c r="H80" s="38">
        <f>IF(B80="","",IF(G80&gt;=0.45,"Good margin","Review"))</f>
        <v/>
      </c>
      <c r="I80" s="22" t="inlineStr"/>
    </row>
    <row r="81">
      <c r="A81" s="34" t="inlineStr"/>
      <c r="B81" s="22" t="inlineStr"/>
      <c r="C81" s="22" t="inlineStr"/>
      <c r="D81" s="35">
        <f>IF(B81="","",VLOOKUP(B81,Inventory!$A$5:$J$104,10,FALSE))</f>
        <v/>
      </c>
      <c r="E81" s="35">
        <f>'Price Calculator'!J81</f>
        <v/>
      </c>
      <c r="F81" s="35">
        <f>'Price Calculator'!K81</f>
        <v/>
      </c>
      <c r="G81" s="37">
        <f>'Price Calculator'!L81</f>
        <v/>
      </c>
      <c r="H81" s="38">
        <f>IF(B81="","",IF(G81&gt;=0.45,"Good margin","Review"))</f>
        <v/>
      </c>
      <c r="I81" s="22" t="inlineStr"/>
    </row>
    <row r="82">
      <c r="A82" s="34" t="inlineStr"/>
      <c r="B82" s="22" t="inlineStr"/>
      <c r="C82" s="22" t="inlineStr"/>
      <c r="D82" s="35">
        <f>IF(B82="","",VLOOKUP(B82,Inventory!$A$5:$J$104,10,FALSE))</f>
        <v/>
      </c>
      <c r="E82" s="35">
        <f>'Price Calculator'!J82</f>
        <v/>
      </c>
      <c r="F82" s="35">
        <f>'Price Calculator'!K82</f>
        <v/>
      </c>
      <c r="G82" s="37">
        <f>'Price Calculator'!L82</f>
        <v/>
      </c>
      <c r="H82" s="38">
        <f>IF(B82="","",IF(G82&gt;=0.45,"Good margin","Review"))</f>
        <v/>
      </c>
      <c r="I82" s="22" t="inlineStr"/>
    </row>
    <row r="83">
      <c r="A83" s="34" t="inlineStr"/>
      <c r="B83" s="22" t="inlineStr"/>
      <c r="C83" s="22" t="inlineStr"/>
      <c r="D83" s="35">
        <f>IF(B83="","",VLOOKUP(B83,Inventory!$A$5:$J$104,10,FALSE))</f>
        <v/>
      </c>
      <c r="E83" s="35">
        <f>'Price Calculator'!J83</f>
        <v/>
      </c>
      <c r="F83" s="35">
        <f>'Price Calculator'!K83</f>
        <v/>
      </c>
      <c r="G83" s="37">
        <f>'Price Calculator'!L83</f>
        <v/>
      </c>
      <c r="H83" s="38">
        <f>IF(B83="","",IF(G83&gt;=0.45,"Good margin","Review"))</f>
        <v/>
      </c>
      <c r="I83" s="22" t="inlineStr"/>
    </row>
    <row r="84">
      <c r="A84" s="34" t="inlineStr"/>
      <c r="B84" s="22" t="inlineStr"/>
      <c r="C84" s="22" t="inlineStr"/>
      <c r="D84" s="35">
        <f>IF(B84="","",VLOOKUP(B84,Inventory!$A$5:$J$104,10,FALSE))</f>
        <v/>
      </c>
      <c r="E84" s="35">
        <f>'Price Calculator'!J84</f>
        <v/>
      </c>
      <c r="F84" s="35">
        <f>'Price Calculator'!K84</f>
        <v/>
      </c>
      <c r="G84" s="37">
        <f>'Price Calculator'!L84</f>
        <v/>
      </c>
      <c r="H84" s="38">
        <f>IF(B84="","",IF(G84&gt;=0.45,"Good margin","Review"))</f>
        <v/>
      </c>
      <c r="I84" s="22" t="inlineStr"/>
    </row>
    <row r="85">
      <c r="A85" s="34" t="inlineStr"/>
      <c r="B85" s="22" t="inlineStr"/>
      <c r="C85" s="22" t="inlineStr"/>
      <c r="D85" s="35">
        <f>IF(B85="","",VLOOKUP(B85,Inventory!$A$5:$J$104,10,FALSE))</f>
        <v/>
      </c>
      <c r="E85" s="35">
        <f>'Price Calculator'!J85</f>
        <v/>
      </c>
      <c r="F85" s="35">
        <f>'Price Calculator'!K85</f>
        <v/>
      </c>
      <c r="G85" s="37">
        <f>'Price Calculator'!L85</f>
        <v/>
      </c>
      <c r="H85" s="38">
        <f>IF(B85="","",IF(G85&gt;=0.45,"Good margin","Review"))</f>
        <v/>
      </c>
      <c r="I85" s="22" t="inlineStr"/>
    </row>
    <row r="86">
      <c r="A86" s="34" t="inlineStr"/>
      <c r="B86" s="22" t="inlineStr"/>
      <c r="C86" s="22" t="inlineStr"/>
      <c r="D86" s="35">
        <f>IF(B86="","",VLOOKUP(B86,Inventory!$A$5:$J$104,10,FALSE))</f>
        <v/>
      </c>
      <c r="E86" s="35">
        <f>'Price Calculator'!J86</f>
        <v/>
      </c>
      <c r="F86" s="35">
        <f>'Price Calculator'!K86</f>
        <v/>
      </c>
      <c r="G86" s="37">
        <f>'Price Calculator'!L86</f>
        <v/>
      </c>
      <c r="H86" s="38">
        <f>IF(B86="","",IF(G86&gt;=0.45,"Good margin","Review"))</f>
        <v/>
      </c>
      <c r="I86" s="22" t="inlineStr"/>
    </row>
    <row r="87">
      <c r="A87" s="34" t="inlineStr"/>
      <c r="B87" s="22" t="inlineStr"/>
      <c r="C87" s="22" t="inlineStr"/>
      <c r="D87" s="35">
        <f>IF(B87="","",VLOOKUP(B87,Inventory!$A$5:$J$104,10,FALSE))</f>
        <v/>
      </c>
      <c r="E87" s="35">
        <f>'Price Calculator'!J87</f>
        <v/>
      </c>
      <c r="F87" s="35">
        <f>'Price Calculator'!K87</f>
        <v/>
      </c>
      <c r="G87" s="37">
        <f>'Price Calculator'!L87</f>
        <v/>
      </c>
      <c r="H87" s="38">
        <f>IF(B87="","",IF(G87&gt;=0.45,"Good margin","Review"))</f>
        <v/>
      </c>
      <c r="I87" s="22" t="inlineStr"/>
    </row>
    <row r="88">
      <c r="A88" s="34" t="inlineStr"/>
      <c r="B88" s="22" t="inlineStr"/>
      <c r="C88" s="22" t="inlineStr"/>
      <c r="D88" s="35">
        <f>IF(B88="","",VLOOKUP(B88,Inventory!$A$5:$J$104,10,FALSE))</f>
        <v/>
      </c>
      <c r="E88" s="35">
        <f>'Price Calculator'!J88</f>
        <v/>
      </c>
      <c r="F88" s="35">
        <f>'Price Calculator'!K88</f>
        <v/>
      </c>
      <c r="G88" s="37">
        <f>'Price Calculator'!L88</f>
        <v/>
      </c>
      <c r="H88" s="38">
        <f>IF(B88="","",IF(G88&gt;=0.45,"Good margin","Review"))</f>
        <v/>
      </c>
      <c r="I88" s="22" t="inlineStr"/>
    </row>
    <row r="89">
      <c r="A89" s="34" t="inlineStr"/>
      <c r="B89" s="22" t="inlineStr"/>
      <c r="C89" s="22" t="inlineStr"/>
      <c r="D89" s="35">
        <f>IF(B89="","",VLOOKUP(B89,Inventory!$A$5:$J$104,10,FALSE))</f>
        <v/>
      </c>
      <c r="E89" s="35">
        <f>'Price Calculator'!J89</f>
        <v/>
      </c>
      <c r="F89" s="35">
        <f>'Price Calculator'!K89</f>
        <v/>
      </c>
      <c r="G89" s="37">
        <f>'Price Calculator'!L89</f>
        <v/>
      </c>
      <c r="H89" s="38">
        <f>IF(B89="","",IF(G89&gt;=0.45,"Good margin","Review"))</f>
        <v/>
      </c>
      <c r="I89" s="22" t="inlineStr"/>
    </row>
    <row r="90">
      <c r="A90" s="34" t="inlineStr"/>
      <c r="B90" s="22" t="inlineStr"/>
      <c r="C90" s="22" t="inlineStr"/>
      <c r="D90" s="35">
        <f>IF(B90="","",VLOOKUP(B90,Inventory!$A$5:$J$104,10,FALSE))</f>
        <v/>
      </c>
      <c r="E90" s="35">
        <f>'Price Calculator'!J90</f>
        <v/>
      </c>
      <c r="F90" s="35">
        <f>'Price Calculator'!K90</f>
        <v/>
      </c>
      <c r="G90" s="37">
        <f>'Price Calculator'!L90</f>
        <v/>
      </c>
      <c r="H90" s="38">
        <f>IF(B90="","",IF(G90&gt;=0.45,"Good margin","Review"))</f>
        <v/>
      </c>
      <c r="I90" s="22" t="inlineStr"/>
    </row>
    <row r="91">
      <c r="A91" s="34" t="inlineStr"/>
      <c r="B91" s="22" t="inlineStr"/>
      <c r="C91" s="22" t="inlineStr"/>
      <c r="D91" s="35">
        <f>IF(B91="","",VLOOKUP(B91,Inventory!$A$5:$J$104,10,FALSE))</f>
        <v/>
      </c>
      <c r="E91" s="35">
        <f>'Price Calculator'!J91</f>
        <v/>
      </c>
      <c r="F91" s="35">
        <f>'Price Calculator'!K91</f>
        <v/>
      </c>
      <c r="G91" s="37">
        <f>'Price Calculator'!L91</f>
        <v/>
      </c>
      <c r="H91" s="38">
        <f>IF(B91="","",IF(G91&gt;=0.45,"Good margin","Review"))</f>
        <v/>
      </c>
      <c r="I91" s="22" t="inlineStr"/>
    </row>
    <row r="92">
      <c r="A92" s="34" t="inlineStr"/>
      <c r="B92" s="22" t="inlineStr"/>
      <c r="C92" s="22" t="inlineStr"/>
      <c r="D92" s="35">
        <f>IF(B92="","",VLOOKUP(B92,Inventory!$A$5:$J$104,10,FALSE))</f>
        <v/>
      </c>
      <c r="E92" s="35">
        <f>'Price Calculator'!J92</f>
        <v/>
      </c>
      <c r="F92" s="35">
        <f>'Price Calculator'!K92</f>
        <v/>
      </c>
      <c r="G92" s="37">
        <f>'Price Calculator'!L92</f>
        <v/>
      </c>
      <c r="H92" s="38">
        <f>IF(B92="","",IF(G92&gt;=0.45,"Good margin","Review"))</f>
        <v/>
      </c>
      <c r="I92" s="22" t="inlineStr"/>
    </row>
    <row r="93">
      <c r="A93" s="34" t="inlineStr"/>
      <c r="B93" s="22" t="inlineStr"/>
      <c r="C93" s="22" t="inlineStr"/>
      <c r="D93" s="35">
        <f>IF(B93="","",VLOOKUP(B93,Inventory!$A$5:$J$104,10,FALSE))</f>
        <v/>
      </c>
      <c r="E93" s="35">
        <f>'Price Calculator'!J93</f>
        <v/>
      </c>
      <c r="F93" s="35">
        <f>'Price Calculator'!K93</f>
        <v/>
      </c>
      <c r="G93" s="37">
        <f>'Price Calculator'!L93</f>
        <v/>
      </c>
      <c r="H93" s="38">
        <f>IF(B93="","",IF(G93&gt;=0.45,"Good margin","Review"))</f>
        <v/>
      </c>
      <c r="I93" s="22" t="inlineStr"/>
    </row>
    <row r="94">
      <c r="A94" s="34" t="inlineStr"/>
      <c r="B94" s="22" t="inlineStr"/>
      <c r="C94" s="22" t="inlineStr"/>
      <c r="D94" s="35">
        <f>IF(B94="","",VLOOKUP(B94,Inventory!$A$5:$J$104,10,FALSE))</f>
        <v/>
      </c>
      <c r="E94" s="35">
        <f>'Price Calculator'!J94</f>
        <v/>
      </c>
      <c r="F94" s="35">
        <f>'Price Calculator'!K94</f>
        <v/>
      </c>
      <c r="G94" s="37">
        <f>'Price Calculator'!L94</f>
        <v/>
      </c>
      <c r="H94" s="38">
        <f>IF(B94="","",IF(G94&gt;=0.45,"Good margin","Review"))</f>
        <v/>
      </c>
      <c r="I94" s="22" t="inlineStr"/>
    </row>
    <row r="95">
      <c r="A95" s="34" t="inlineStr"/>
      <c r="B95" s="22" t="inlineStr"/>
      <c r="C95" s="22" t="inlineStr"/>
      <c r="D95" s="35">
        <f>IF(B95="","",VLOOKUP(B95,Inventory!$A$5:$J$104,10,FALSE))</f>
        <v/>
      </c>
      <c r="E95" s="35">
        <f>'Price Calculator'!J95</f>
        <v/>
      </c>
      <c r="F95" s="35">
        <f>'Price Calculator'!K95</f>
        <v/>
      </c>
      <c r="G95" s="37">
        <f>'Price Calculator'!L95</f>
        <v/>
      </c>
      <c r="H95" s="38">
        <f>IF(B95="","",IF(G95&gt;=0.45,"Good margin","Review"))</f>
        <v/>
      </c>
      <c r="I95" s="22" t="inlineStr"/>
    </row>
    <row r="96">
      <c r="A96" s="34" t="inlineStr"/>
      <c r="B96" s="22" t="inlineStr"/>
      <c r="C96" s="22" t="inlineStr"/>
      <c r="D96" s="35">
        <f>IF(B96="","",VLOOKUP(B96,Inventory!$A$5:$J$104,10,FALSE))</f>
        <v/>
      </c>
      <c r="E96" s="35">
        <f>'Price Calculator'!J96</f>
        <v/>
      </c>
      <c r="F96" s="35">
        <f>'Price Calculator'!K96</f>
        <v/>
      </c>
      <c r="G96" s="37">
        <f>'Price Calculator'!L96</f>
        <v/>
      </c>
      <c r="H96" s="38">
        <f>IF(B96="","",IF(G96&gt;=0.45,"Good margin","Review"))</f>
        <v/>
      </c>
      <c r="I96" s="22" t="inlineStr"/>
    </row>
    <row r="97">
      <c r="A97" s="34" t="inlineStr"/>
      <c r="B97" s="22" t="inlineStr"/>
      <c r="C97" s="22" t="inlineStr"/>
      <c r="D97" s="35">
        <f>IF(B97="","",VLOOKUP(B97,Inventory!$A$5:$J$104,10,FALSE))</f>
        <v/>
      </c>
      <c r="E97" s="35">
        <f>'Price Calculator'!J97</f>
        <v/>
      </c>
      <c r="F97" s="35">
        <f>'Price Calculator'!K97</f>
        <v/>
      </c>
      <c r="G97" s="37">
        <f>'Price Calculator'!L97</f>
        <v/>
      </c>
      <c r="H97" s="38">
        <f>IF(B97="","",IF(G97&gt;=0.45,"Good margin","Review"))</f>
        <v/>
      </c>
      <c r="I97" s="22" t="inlineStr"/>
    </row>
    <row r="98">
      <c r="A98" s="34" t="inlineStr"/>
      <c r="B98" s="22" t="inlineStr"/>
      <c r="C98" s="22" t="inlineStr"/>
      <c r="D98" s="35">
        <f>IF(B98="","",VLOOKUP(B98,Inventory!$A$5:$J$104,10,FALSE))</f>
        <v/>
      </c>
      <c r="E98" s="35">
        <f>'Price Calculator'!J98</f>
        <v/>
      </c>
      <c r="F98" s="35">
        <f>'Price Calculator'!K98</f>
        <v/>
      </c>
      <c r="G98" s="37">
        <f>'Price Calculator'!L98</f>
        <v/>
      </c>
      <c r="H98" s="38">
        <f>IF(B98="","",IF(G98&gt;=0.45,"Good margin","Review"))</f>
        <v/>
      </c>
      <c r="I98" s="22" t="inlineStr"/>
    </row>
    <row r="99">
      <c r="A99" s="34" t="inlineStr"/>
      <c r="B99" s="22" t="inlineStr"/>
      <c r="C99" s="22" t="inlineStr"/>
      <c r="D99" s="35">
        <f>IF(B99="","",VLOOKUP(B99,Inventory!$A$5:$J$104,10,FALSE))</f>
        <v/>
      </c>
      <c r="E99" s="35">
        <f>'Price Calculator'!J99</f>
        <v/>
      </c>
      <c r="F99" s="35">
        <f>'Price Calculator'!K99</f>
        <v/>
      </c>
      <c r="G99" s="37">
        <f>'Price Calculator'!L99</f>
        <v/>
      </c>
      <c r="H99" s="38">
        <f>IF(B99="","",IF(G99&gt;=0.45,"Good margin","Review"))</f>
        <v/>
      </c>
      <c r="I99" s="22" t="inlineStr"/>
    </row>
    <row r="100">
      <c r="A100" s="34" t="inlineStr"/>
      <c r="B100" s="22" t="inlineStr"/>
      <c r="C100" s="22" t="inlineStr"/>
      <c r="D100" s="35">
        <f>IF(B100="","",VLOOKUP(B100,Inventory!$A$5:$J$104,10,FALSE))</f>
        <v/>
      </c>
      <c r="E100" s="35">
        <f>'Price Calculator'!J100</f>
        <v/>
      </c>
      <c r="F100" s="35">
        <f>'Price Calculator'!K100</f>
        <v/>
      </c>
      <c r="G100" s="37">
        <f>'Price Calculator'!L100</f>
        <v/>
      </c>
      <c r="H100" s="38">
        <f>IF(B100="","",IF(G100&gt;=0.45,"Good margin","Review"))</f>
        <v/>
      </c>
      <c r="I100" s="22" t="inlineStr"/>
    </row>
    <row r="101">
      <c r="A101" s="34" t="inlineStr"/>
      <c r="B101" s="22" t="inlineStr"/>
      <c r="C101" s="22" t="inlineStr"/>
      <c r="D101" s="35">
        <f>IF(B101="","",VLOOKUP(B101,Inventory!$A$5:$J$104,10,FALSE))</f>
        <v/>
      </c>
      <c r="E101" s="35">
        <f>'Price Calculator'!J101</f>
        <v/>
      </c>
      <c r="F101" s="35">
        <f>'Price Calculator'!K101</f>
        <v/>
      </c>
      <c r="G101" s="37">
        <f>'Price Calculator'!L101</f>
        <v/>
      </c>
      <c r="H101" s="38">
        <f>IF(B101="","",IF(G101&gt;=0.45,"Good margin","Review"))</f>
        <v/>
      </c>
      <c r="I101" s="22" t="inlineStr"/>
    </row>
    <row r="102">
      <c r="A102" s="34" t="inlineStr"/>
      <c r="B102" s="22" t="inlineStr"/>
      <c r="C102" s="22" t="inlineStr"/>
      <c r="D102" s="35">
        <f>IF(B102="","",VLOOKUP(B102,Inventory!$A$5:$J$104,10,FALSE))</f>
        <v/>
      </c>
      <c r="E102" s="35">
        <f>'Price Calculator'!J102</f>
        <v/>
      </c>
      <c r="F102" s="35">
        <f>'Price Calculator'!K102</f>
        <v/>
      </c>
      <c r="G102" s="37">
        <f>'Price Calculator'!L102</f>
        <v/>
      </c>
      <c r="H102" s="38">
        <f>IF(B102="","",IF(G102&gt;=0.45,"Good margin","Review"))</f>
        <v/>
      </c>
      <c r="I102" s="22" t="inlineStr"/>
    </row>
    <row r="103">
      <c r="A103" s="34" t="inlineStr"/>
      <c r="B103" s="22" t="inlineStr"/>
      <c r="C103" s="22" t="inlineStr"/>
      <c r="D103" s="35">
        <f>IF(B103="","",VLOOKUP(B103,Inventory!$A$5:$J$104,10,FALSE))</f>
        <v/>
      </c>
      <c r="E103" s="35">
        <f>'Price Calculator'!J103</f>
        <v/>
      </c>
      <c r="F103" s="35">
        <f>'Price Calculator'!K103</f>
        <v/>
      </c>
      <c r="G103" s="37">
        <f>'Price Calculator'!L103</f>
        <v/>
      </c>
      <c r="H103" s="38">
        <f>IF(B103="","",IF(G103&gt;=0.45,"Good margin","Review"))</f>
        <v/>
      </c>
      <c r="I103" s="22" t="inlineStr"/>
    </row>
    <row r="104">
      <c r="A104" s="34" t="inlineStr"/>
      <c r="B104" s="22" t="inlineStr"/>
      <c r="C104" s="22" t="inlineStr"/>
      <c r="D104" s="35">
        <f>IF(B104="","",VLOOKUP(B104,Inventory!$A$5:$J$104,10,FALSE))</f>
        <v/>
      </c>
      <c r="E104" s="35">
        <f>'Price Calculator'!J104</f>
        <v/>
      </c>
      <c r="F104" s="35">
        <f>'Price Calculator'!K104</f>
        <v/>
      </c>
      <c r="G104" s="37">
        <f>'Price Calculator'!L104</f>
        <v/>
      </c>
      <c r="H104" s="38">
        <f>IF(B104="","",IF(G104&gt;=0.45,"Good margin","Review"))</f>
        <v/>
      </c>
      <c r="I104" s="22" t="inlineStr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I1"/>
    <mergeCell ref="A2:I2"/>
  </mergeCells>
  <dataValidations count="1">
    <dataValidation sqref="B5:B1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4" customWidth="1" min="1" max="1"/>
  </cols>
  <sheetData>
    <row r="1" ht="28" customHeight="1">
      <c r="A1" s="1" t="inlineStr">
        <is>
          <t>Help</t>
        </is>
      </c>
    </row>
    <row r="2" ht="22" customHeight="1">
      <c r="A2" s="2" t="inlineStr">
        <is>
          <t>Plain-English workflow, compatibility, limits, and support scope.</t>
        </is>
      </c>
    </row>
    <row r="4">
      <c r="A4" s="3" t="inlineStr">
        <is>
          <t>Compatible with</t>
        </is>
      </c>
    </row>
    <row r="5">
      <c r="A5" s="4" t="inlineStr">
        <is>
          <t>• Excel-compatible spreadsheet editors</t>
        </is>
      </c>
    </row>
    <row r="6">
      <c r="A6" s="4" t="inlineStr">
        <is>
          <t>• Google Sheets standard-formula import</t>
        </is>
      </c>
    </row>
    <row r="8">
      <c r="A8" s="3" t="inlineStr">
        <is>
          <t>You can change</t>
        </is>
      </c>
    </row>
    <row r="9">
      <c r="A9" s="4" t="inlineStr">
        <is>
          <t>• Yellow input cells in Setup, except the derived reorder-point policy note</t>
        </is>
      </c>
    </row>
    <row r="10">
      <c r="A10" s="4" t="inlineStr">
        <is>
          <t>• Yellow blank rows on Inventory, Purchases, Sales, Price Calculator, and Price List</t>
        </is>
      </c>
    </row>
    <row r="12">
      <c r="A12" s="3" t="inlineStr">
        <is>
          <t>Leave alone</t>
        </is>
      </c>
    </row>
    <row r="13">
      <c r="A13" s="4" t="inlineStr">
        <is>
          <t>• Dashboard formulas and charts</t>
        </is>
      </c>
    </row>
    <row r="14">
      <c r="A14" s="4" t="inlineStr">
        <is>
          <t>• Inventory derived reorder point, on-hand, action, and status formulas</t>
        </is>
      </c>
    </row>
    <row r="15">
      <c r="A15" s="4" t="inlineStr">
        <is>
          <t>• Sales profit formulas</t>
        </is>
      </c>
    </row>
    <row r="16">
      <c r="A16" s="4" t="inlineStr">
        <is>
          <t>• Price List snapshot formulas</t>
        </is>
      </c>
    </row>
    <row r="18">
      <c r="A18" s="39" t="inlineStr">
        <is>
          <t>Real inventory workflow</t>
        </is>
      </c>
    </row>
    <row r="19">
      <c r="A19" s="40" t="inlineStr">
        <is>
          <t>• Keep Setup review date current, then enter sales from the prior 30 days.</t>
        </is>
      </c>
    </row>
    <row r="20">
      <c r="A20" s="40" t="inlineStr">
        <is>
          <t>• Inventory turns recent sales, lead time, and safety stock into a derived reorder point, reorder date, and suggested quantity.</t>
        </is>
      </c>
    </row>
    <row r="21">
      <c r="A21" s="41" t="n"/>
    </row>
    <row r="22">
      <c r="A22" s="39" t="inlineStr">
        <is>
          <t>When rows fill up</t>
        </is>
      </c>
    </row>
    <row r="23">
      <c r="A23" s="40" t="inlineStr">
        <is>
          <t>• Make a fresh copy and paste in your Inventory list plus the last 30 days of Sales.</t>
        </is>
      </c>
    </row>
    <row r="24">
      <c r="A24" s="40" t="inlineStr">
        <is>
          <t>• Continue from the new workbook; old sales outside the lookback window are not needed for the reorder calculation.</t>
        </is>
      </c>
    </row>
    <row r="25">
      <c r="A25" s="41" t="n"/>
    </row>
    <row r="26">
      <c r="A26" s="41" t="inlineStr">
        <is>
          <t>Limits</t>
        </is>
      </c>
    </row>
    <row r="27">
      <c r="A27" s="41" t="inlineStr">
        <is>
          <t>• This workbook does not connect to banks or live inventory services.</t>
        </is>
      </c>
    </row>
    <row r="28">
      <c r="A28" s="41" t="inlineStr">
        <is>
          <t>• Imported protection settings can vary by editor or account.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H2"/>
    <mergeCell ref="A1:H1"/>
  </mergeCells>
  <printOptions horizontalCentered="0" verticalCentered="0"/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SKUs</t>
        </is>
      </c>
      <c r="B1" t="inlineStr">
        <is>
          <t>Categories</t>
        </is>
      </c>
    </row>
    <row r="2">
      <c r="A2" t="inlineStr">
        <is>
          <t>SKU-001</t>
        </is>
      </c>
      <c r="B2" t="inlineStr">
        <is>
          <t>Accessories</t>
        </is>
      </c>
    </row>
    <row r="3">
      <c r="A3" t="inlineStr">
        <is>
          <t>SKU-002</t>
        </is>
      </c>
      <c r="B3" t="inlineStr">
        <is>
          <t>Drinkware</t>
        </is>
      </c>
    </row>
    <row r="4">
      <c r="A4" t="inlineStr">
        <is>
          <t>SKU-003</t>
        </is>
      </c>
      <c r="B4" t="inlineStr">
        <is>
          <t>Stationery</t>
        </is>
      </c>
    </row>
    <row r="5">
      <c r="A5" t="inlineStr">
        <is>
          <t>SKU-004</t>
        </is>
      </c>
      <c r="B5" t="inlineStr">
        <is>
          <t>Home</t>
        </is>
      </c>
    </row>
    <row r="6">
      <c r="A6" t="inlineStr">
        <is>
          <t>SKU-005</t>
        </is>
      </c>
      <c r="B6" t="inlineStr">
        <is>
          <t>Wall Art</t>
        </is>
      </c>
    </row>
    <row r="7">
      <c r="A7" t="inlineStr">
        <is>
          <t>SKU-006</t>
        </is>
      </c>
      <c r="B7" t="inlineStr">
        <is>
          <t>Apparel</t>
        </is>
      </c>
    </row>
    <row r="8">
      <c r="A8" t="inlineStr">
        <is>
          <t>SKU-007</t>
        </is>
      </c>
    </row>
    <row r="9">
      <c r="A9" t="inlineStr">
        <is>
          <t>SKU-008</t>
        </is>
      </c>
    </row>
    <row r="10">
      <c r="A10" t="inlineStr">
        <is>
          <t>SKU-009</t>
        </is>
      </c>
    </row>
    <row r="11">
      <c r="A11" t="inlineStr">
        <is>
          <t>SKU-010</t>
        </is>
      </c>
    </row>
    <row r="12">
      <c r="A12" t="inlineStr">
        <is>
          <t>SKU-011</t>
        </is>
      </c>
    </row>
    <row r="13">
      <c r="A13" t="inlineStr">
        <is>
          <t>SKU-012</t>
        </is>
      </c>
    </row>
    <row r="14">
      <c r="A14" t="inlineStr">
        <is>
          <t>SKU-013</t>
        </is>
      </c>
    </row>
    <row r="15">
      <c r="A15" t="inlineStr">
        <is>
          <t>SKU-014</t>
        </is>
      </c>
    </row>
    <row r="16">
      <c r="A16" t="inlineStr">
        <is>
          <t>SKU-015</t>
        </is>
      </c>
    </row>
    <row r="17">
      <c r="A17" t="inlineStr">
        <is>
          <t>SKU-016</t>
        </is>
      </c>
    </row>
    <row r="18">
      <c r="A18" t="inlineStr">
        <is>
          <t>SKU-017</t>
        </is>
      </c>
    </row>
    <row r="19">
      <c r="A19" t="inlineStr">
        <is>
          <t>SKU-018</t>
        </is>
      </c>
    </row>
    <row r="20">
      <c r="A20" t="inlineStr">
        <is>
          <t>SKU-019</t>
        </is>
      </c>
    </row>
    <row r="21">
      <c r="A21" t="inlineStr">
        <is>
          <t>SKU-020</t>
        </is>
      </c>
    </row>
    <row r="22">
      <c r="A22" t="inlineStr">
        <is>
          <t>SKU-021</t>
        </is>
      </c>
    </row>
    <row r="23">
      <c r="A23" t="inlineStr">
        <is>
          <t>SKU-022</t>
        </is>
      </c>
    </row>
    <row r="24">
      <c r="A24" t="inlineStr">
        <is>
          <t>SKU-023</t>
        </is>
      </c>
    </row>
    <row r="25">
      <c r="A25" t="inlineStr">
        <is>
          <t>SKU-024</t>
        </is>
      </c>
    </row>
    <row r="26">
      <c r="A26" t="inlineStr">
        <is>
          <t>SKU-025</t>
        </is>
      </c>
    </row>
    <row r="27">
      <c r="A27" t="inlineStr">
        <is>
          <t>SKU-026</t>
        </is>
      </c>
    </row>
    <row r="28">
      <c r="A28" t="inlineStr">
        <is>
          <t>SKU-027</t>
        </is>
      </c>
    </row>
    <row r="29">
      <c r="A29" t="inlineStr">
        <is>
          <t>SKU-028</t>
        </is>
      </c>
    </row>
    <row r="30">
      <c r="A30" t="inlineStr">
        <is>
          <t>SKU-029</t>
        </is>
      </c>
    </row>
    <row r="31">
      <c r="A31" t="inlineStr">
        <is>
          <t>SKU-030</t>
        </is>
      </c>
    </row>
    <row r="32">
      <c r="A32" t="inlineStr">
        <is>
          <t>SKU-031</t>
        </is>
      </c>
    </row>
    <row r="33">
      <c r="A33" t="inlineStr">
        <is>
          <t>SKU-032</t>
        </is>
      </c>
    </row>
    <row r="34">
      <c r="A34" t="inlineStr">
        <is>
          <t>SKU-033</t>
        </is>
      </c>
    </row>
    <row r="35">
      <c r="A35" t="inlineStr">
        <is>
          <t>SKU-034</t>
        </is>
      </c>
    </row>
    <row r="36">
      <c r="A36" t="inlineStr">
        <is>
          <t>SKU-035</t>
        </is>
      </c>
    </row>
    <row r="37">
      <c r="A37" t="inlineStr">
        <is>
          <t>SKU-036</t>
        </is>
      </c>
    </row>
    <row r="38">
      <c r="A38" t="inlineStr">
        <is>
          <t>SKU-037</t>
        </is>
      </c>
    </row>
    <row r="39">
      <c r="A39" t="inlineStr">
        <is>
          <t>SKU-038</t>
        </is>
      </c>
    </row>
    <row r="40">
      <c r="A40" t="inlineStr">
        <is>
          <t>SKU-039</t>
        </is>
      </c>
    </row>
    <row r="41">
      <c r="A41" t="inlineStr">
        <is>
          <t>SKU-040</t>
        </is>
      </c>
    </row>
    <row r="42">
      <c r="A42" t="inlineStr">
        <is>
          <t>SKU-041</t>
        </is>
      </c>
    </row>
    <row r="43">
      <c r="A43" t="inlineStr">
        <is>
          <t>SKU-042</t>
        </is>
      </c>
    </row>
    <row r="44">
      <c r="A44" t="inlineStr">
        <is>
          <t>SKU-043</t>
        </is>
      </c>
    </row>
    <row r="45">
      <c r="A45" t="inlineStr">
        <is>
          <t>SKU-044</t>
        </is>
      </c>
    </row>
    <row r="46">
      <c r="A46" t="inlineStr">
        <is>
          <t>SKU-045</t>
        </is>
      </c>
    </row>
    <row r="47">
      <c r="A47" t="inlineStr">
        <is>
          <t>SKU-046</t>
        </is>
      </c>
    </row>
    <row r="48">
      <c r="A48" t="inlineStr">
        <is>
          <t>SKU-047</t>
        </is>
      </c>
    </row>
    <row r="49">
      <c r="A49" t="inlineStr">
        <is>
          <t>SKU-048</t>
        </is>
      </c>
    </row>
    <row r="50">
      <c r="A50" t="inlineStr">
        <is>
          <t>SKU-049</t>
        </is>
      </c>
    </row>
    <row r="51">
      <c r="A51" t="inlineStr">
        <is>
          <t>SKU-050</t>
        </is>
      </c>
    </row>
    <row r="52">
      <c r="A52" t="inlineStr">
        <is>
          <t>SKU-051</t>
        </is>
      </c>
    </row>
    <row r="53">
      <c r="A53" t="inlineStr">
        <is>
          <t>SKU-052</t>
        </is>
      </c>
    </row>
    <row r="54">
      <c r="A54" t="inlineStr">
        <is>
          <t>SKU-053</t>
        </is>
      </c>
    </row>
    <row r="55">
      <c r="A55" t="inlineStr">
        <is>
          <t>SKU-054</t>
        </is>
      </c>
    </row>
    <row r="56">
      <c r="A56" t="inlineStr">
        <is>
          <t>SKU-055</t>
        </is>
      </c>
    </row>
    <row r="57">
      <c r="A57" t="inlineStr">
        <is>
          <t>SKU-056</t>
        </is>
      </c>
    </row>
    <row r="58">
      <c r="A58" t="inlineStr">
        <is>
          <t>SKU-057</t>
        </is>
      </c>
    </row>
    <row r="59">
      <c r="A59" t="inlineStr">
        <is>
          <t>SKU-058</t>
        </is>
      </c>
    </row>
    <row r="60">
      <c r="A60" t="inlineStr">
        <is>
          <t>SKU-059</t>
        </is>
      </c>
    </row>
    <row r="61">
      <c r="A61" t="inlineStr">
        <is>
          <t>SKU-060</t>
        </is>
      </c>
    </row>
    <row r="62">
      <c r="A62" t="inlineStr">
        <is>
          <t>SKU-061</t>
        </is>
      </c>
    </row>
    <row r="63">
      <c r="A63" t="inlineStr">
        <is>
          <t>SKU-062</t>
        </is>
      </c>
    </row>
    <row r="64">
      <c r="A64" t="inlineStr">
        <is>
          <t>SKU-063</t>
        </is>
      </c>
    </row>
    <row r="65">
      <c r="A65" t="inlineStr">
        <is>
          <t>SKU-064</t>
        </is>
      </c>
    </row>
    <row r="66">
      <c r="A66" t="inlineStr">
        <is>
          <t>SKU-065</t>
        </is>
      </c>
    </row>
    <row r="67">
      <c r="A67" t="inlineStr">
        <is>
          <t>SKU-066</t>
        </is>
      </c>
    </row>
    <row r="68">
      <c r="A68" t="inlineStr">
        <is>
          <t>SKU-067</t>
        </is>
      </c>
    </row>
    <row r="69">
      <c r="A69" t="inlineStr">
        <is>
          <t>SKU-068</t>
        </is>
      </c>
    </row>
    <row r="70">
      <c r="A70" t="inlineStr">
        <is>
          <t>SKU-069</t>
        </is>
      </c>
    </row>
    <row r="71">
      <c r="A71" t="inlineStr">
        <is>
          <t>SKU-070</t>
        </is>
      </c>
    </row>
    <row r="72">
      <c r="A72" t="inlineStr">
        <is>
          <t>SKU-071</t>
        </is>
      </c>
    </row>
    <row r="73">
      <c r="A73" t="inlineStr">
        <is>
          <t>SKU-072</t>
        </is>
      </c>
    </row>
    <row r="74">
      <c r="A74" t="inlineStr">
        <is>
          <t>SKU-073</t>
        </is>
      </c>
    </row>
    <row r="75">
      <c r="A75" t="inlineStr">
        <is>
          <t>SKU-074</t>
        </is>
      </c>
    </row>
    <row r="76">
      <c r="A76" t="inlineStr">
        <is>
          <t>SKU-075</t>
        </is>
      </c>
    </row>
    <row r="77">
      <c r="A77" t="inlineStr">
        <is>
          <t>SKU-076</t>
        </is>
      </c>
    </row>
    <row r="78">
      <c r="A78" t="inlineStr">
        <is>
          <t>SKU-077</t>
        </is>
      </c>
    </row>
    <row r="79">
      <c r="A79" t="inlineStr">
        <is>
          <t>SKU-078</t>
        </is>
      </c>
    </row>
    <row r="80">
      <c r="A80" t="inlineStr">
        <is>
          <t>SKU-079</t>
        </is>
      </c>
    </row>
    <row r="81">
      <c r="A81" t="inlineStr">
        <is>
          <t>SKU-080</t>
        </is>
      </c>
    </row>
    <row r="82">
      <c r="A82" t="inlineStr">
        <is>
          <t>SKU-081</t>
        </is>
      </c>
    </row>
    <row r="83">
      <c r="A83" t="inlineStr">
        <is>
          <t>SKU-082</t>
        </is>
      </c>
    </row>
    <row r="84">
      <c r="A84" t="inlineStr">
        <is>
          <t>SKU-083</t>
        </is>
      </c>
    </row>
    <row r="85">
      <c r="A85" t="inlineStr">
        <is>
          <t>SKU-084</t>
        </is>
      </c>
    </row>
    <row r="86">
      <c r="A86" t="inlineStr">
        <is>
          <t>SKU-085</t>
        </is>
      </c>
    </row>
    <row r="87">
      <c r="A87" t="inlineStr">
        <is>
          <t>SKU-086</t>
        </is>
      </c>
    </row>
    <row r="88">
      <c r="A88" t="inlineStr">
        <is>
          <t>SKU-087</t>
        </is>
      </c>
    </row>
    <row r="89">
      <c r="A89" t="inlineStr">
        <is>
          <t>SKU-088</t>
        </is>
      </c>
    </row>
    <row r="90">
      <c r="A90" t="inlineStr">
        <is>
          <t>SKU-089</t>
        </is>
      </c>
    </row>
    <row r="91">
      <c r="A91" t="inlineStr">
        <is>
          <t>SKU-090</t>
        </is>
      </c>
    </row>
    <row r="92">
      <c r="A92" t="inlineStr">
        <is>
          <t>SKU-091</t>
        </is>
      </c>
    </row>
    <row r="93">
      <c r="A93" t="inlineStr">
        <is>
          <t>SKU-092</t>
        </is>
      </c>
    </row>
    <row r="94">
      <c r="A94" t="inlineStr">
        <is>
          <t>SKU-093</t>
        </is>
      </c>
    </row>
    <row r="95">
      <c r="A95" t="inlineStr">
        <is>
          <t>SKU-094</t>
        </is>
      </c>
    </row>
    <row r="96">
      <c r="A96" t="inlineStr">
        <is>
          <t>SKU-095</t>
        </is>
      </c>
    </row>
    <row r="97">
      <c r="A97" t="inlineStr">
        <is>
          <t>SKU-096</t>
        </is>
      </c>
    </row>
    <row r="98">
      <c r="A98" t="inlineStr">
        <is>
          <t>SKU-097</t>
        </is>
      </c>
    </row>
    <row r="99">
      <c r="A99" t="inlineStr">
        <is>
          <t>SKU-098</t>
        </is>
      </c>
    </row>
    <row r="100">
      <c r="A100" t="inlineStr">
        <is>
          <t>SKU-099</t>
        </is>
      </c>
    </row>
    <row r="101">
      <c r="A101" t="inlineStr">
        <is>
          <t>SKU-100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BeatsPerfect</dc:creator>
  <dc:title>Inventory Tracker Studio</dc:title>
  <dc:description>Inventory Tracker Studio for replenishment decisions, stock, purchases, sales, reorder alerts, pricing, and snapshots with seeded human-scale capacity.</dc:description>
  <dc:subject>Inventory tracker spreadsheet</dc:subject>
  <dcterms:created xsi:type="dcterms:W3CDTF">2026-06-28T11:37:00Z</dcterms:created>
  <dcterms:modified xsi:type="dcterms:W3CDTF">2026-06-28T17:30:52Z</dcterms:modified>
  <cp:category>business</cp:category>
  <cp:keywords>inventory tracker, stock tracker, replenishment, reorder date, order quantity, purchases, sales, pricing spreadsheet</cp:keywords>
</cp:coreProperties>
</file>