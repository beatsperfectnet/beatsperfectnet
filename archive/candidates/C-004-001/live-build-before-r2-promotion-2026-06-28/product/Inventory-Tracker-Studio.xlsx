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85D9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up" sheetId="3" state="visible" r:id="rId3"/>
    <sheet name="Inventory" sheetId="4" state="visible" r:id="rId4"/>
    <sheet name="Purchases" sheetId="5" state="visible" r:id="rId5"/>
    <sheet name="Sales" sheetId="6" state="visible" r:id="rId6"/>
    <sheet name="Price Calculator" sheetId="7" state="visible" r:id="rId7"/>
    <sheet name="Price List" sheetId="8" state="visible" r:id="rId8"/>
    <sheet name="Help" sheetId="9" state="visible" r:id="rId9"/>
    <sheet name="List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0.0"/>
  </numFmts>
  <fonts count="13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i val="1"/>
      <color rgb="005A6472"/>
      <sz val="10"/>
    </font>
    <font>
      <name val="Inter"/>
      <b val="1"/>
      <color rgb="00183153"/>
      <sz val="11"/>
    </font>
    <font>
      <name val="Inter"/>
      <color rgb="00183153"/>
      <sz val="10"/>
    </font>
    <font>
      <name val="Inter"/>
      <color rgb="005A6472"/>
      <sz val="9"/>
    </font>
    <font>
      <name val="Inter"/>
      <color rgb="00183153"/>
      <sz val="9"/>
    </font>
    <font>
      <name val="Inter"/>
      <b val="1"/>
      <color rgb="005A6472"/>
      <sz val="8"/>
    </font>
    <font>
      <name val="IBM Plex Mono"/>
      <b val="1"/>
      <color rgb="00183153"/>
      <sz val="13"/>
    </font>
    <font>
      <name val="Inter"/>
      <b val="1"/>
      <color rgb="00183153"/>
      <sz val="9"/>
    </font>
    <font>
      <name val="IBM Plex Mono"/>
      <b val="1"/>
      <color rgb="00183153"/>
      <sz val="9"/>
    </font>
    <font>
      <name val="Inter"/>
      <b val="1"/>
      <color rgb="005A6472"/>
      <sz val="9"/>
    </font>
    <font>
      <name val="IBM Plex Mono"/>
      <b val="1"/>
      <color rgb="00183153"/>
      <sz val="10"/>
    </font>
  </fonts>
  <fills count="11">
    <fill>
      <patternFill/>
    </fill>
    <fill>
      <patternFill patternType="gray125"/>
    </fill>
    <fill>
      <patternFill patternType="solid">
        <fgColor rgb="00137A8A"/>
      </patternFill>
    </fill>
    <fill>
      <patternFill patternType="solid">
        <fgColor rgb="00F5F7F2"/>
      </patternFill>
    </fill>
    <fill>
      <patternFill patternType="solid">
        <fgColor rgb="00DDEBF7"/>
      </patternFill>
    </fill>
    <fill>
      <patternFill patternType="solid">
        <fgColor rgb="00FAFBFC"/>
      </patternFill>
    </fill>
    <fill>
      <patternFill patternType="solid">
        <fgColor rgb="00D96C47"/>
      </patternFill>
    </fill>
    <fill>
      <patternFill patternType="solid">
        <fgColor rgb="00D9A441"/>
      </patternFill>
    </fill>
    <fill>
      <patternFill patternType="solid">
        <fgColor rgb="00DDEFD8"/>
      </patternFill>
    </fill>
    <fill>
      <patternFill patternType="solid">
        <fgColor rgb="00FFF1B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8E1E8"/>
      </left>
      <right style="thin">
        <color rgb="00D8E1E8"/>
      </right>
      <top style="thin">
        <color rgb="00D8E1E8"/>
      </top>
      <bottom style="thin">
        <color rgb="00D8E1E8"/>
      </bottom>
    </border>
    <border>
      <left style="thin">
        <color rgb="00D8E1E8"/>
      </left>
      <right style="thin">
        <color rgb="00D8E1E8"/>
      </right>
      <top style="medium">
        <color rgb="00137A8A"/>
      </top>
      <bottom style="medium">
        <color rgb="00137A8A"/>
      </bottom>
    </border>
    <border>
      <left style="medium">
        <color rgb="00137A8A"/>
      </left>
      <right style="thin">
        <color rgb="00D8E1E8"/>
      </right>
      <top style="medium">
        <color rgb="00137A8A"/>
      </top>
      <bottom style="medium">
        <color rgb="00137A8A"/>
      </bottom>
    </border>
    <border>
      <left style="thin">
        <color rgb="00D8E1E8"/>
      </left>
      <right style="medium">
        <color rgb="00137A8A"/>
      </right>
      <top style="medium">
        <color rgb="00137A8A"/>
      </top>
      <bottom style="medium">
        <color rgb="00137A8A"/>
      </bottom>
    </border>
    <border>
      <left style="thin">
        <color rgb="00D8E1E8"/>
      </left>
      <right style="thin">
        <color rgb="00D8E1E8"/>
      </right>
      <top style="thin">
        <color rgb="00D8E1E8"/>
      </top>
      <bottom style="medium">
        <color rgb="00137A8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5" borderId="1" pivotButton="0" quotePrefix="0" xfId="0"/>
    <xf numFmtId="1" fontId="8" fillId="4" borderId="1" pivotButton="0" quotePrefix="0" xfId="0"/>
    <xf numFmtId="1" fontId="8" fillId="6" borderId="1" pivotButton="0" quotePrefix="0" xfId="0"/>
    <xf numFmtId="1" fontId="8" fillId="7" borderId="1" pivotButton="0" quotePrefix="0" xfId="0"/>
    <xf numFmtId="164" fontId="8" fillId="8" borderId="1" pivotButton="0" quotePrefix="0" xfId="0"/>
    <xf numFmtId="164" fontId="8" fillId="9" borderId="1" pivotButton="0" quotePrefix="0" xfId="0"/>
    <xf numFmtId="164" fontId="8" fillId="4" borderId="1" pivotButton="0" quotePrefix="0" xfId="0"/>
    <xf numFmtId="0" fontId="9" fillId="5" borderId="2" applyAlignment="1" pivotButton="0" quotePrefix="0" xfId="0">
      <alignment horizontal="center" vertical="center"/>
    </xf>
    <xf numFmtId="0" fontId="6" fillId="10" borderId="1" pivotButton="0" quotePrefix="0" xfId="0"/>
    <xf numFmtId="0" fontId="10" fillId="4" borderId="1" pivotButton="0" quotePrefix="0" xfId="0"/>
    <xf numFmtId="0" fontId="11" fillId="0" borderId="3" pivotButton="0" quotePrefix="0" xfId="0"/>
    <xf numFmtId="0" fontId="12" fillId="9" borderId="4" applyProtection="1" pivotButton="0" quotePrefix="0" xfId="0">
      <protection locked="0" hidden="0"/>
    </xf>
    <xf numFmtId="165" fontId="12" fillId="9" borderId="4" applyProtection="1" pivotButton="0" quotePrefix="0" xfId="0">
      <protection locked="0" hidden="0"/>
    </xf>
    <xf numFmtId="0" fontId="6" fillId="0" borderId="0" pivotButton="0" quotePrefix="0" xfId="0"/>
    <xf numFmtId="0" fontId="6" fillId="10" borderId="1" applyAlignment="1" pivotButton="0" quotePrefix="0" xfId="0">
      <alignment horizontal="left"/>
    </xf>
    <xf numFmtId="1" fontId="6" fillId="9" borderId="1" applyAlignment="1" applyProtection="1" pivotButton="0" quotePrefix="0" xfId="0">
      <alignment horizontal="center"/>
      <protection locked="0" hidden="0"/>
    </xf>
    <xf numFmtId="1" fontId="6" fillId="4" borderId="1" applyAlignment="1" pivotButton="0" quotePrefix="0" xfId="0">
      <alignment horizontal="center"/>
    </xf>
    <xf numFmtId="164" fontId="6" fillId="9" borderId="1" applyAlignment="1" applyProtection="1" pivotButton="0" quotePrefix="0" xfId="0">
      <alignment horizontal="center"/>
      <protection locked="0" hidden="0"/>
    </xf>
    <xf numFmtId="164" fontId="6" fillId="4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6" fillId="9" borderId="1" applyAlignment="1" applyProtection="1" pivotButton="0" quotePrefix="0" xfId="0">
      <alignment horizontal="left"/>
      <protection locked="0" hidden="0"/>
    </xf>
    <xf numFmtId="0" fontId="9" fillId="5" borderId="5" pivotButton="0" quotePrefix="0" xfId="0"/>
    <xf numFmtId="1" fontId="9" fillId="5" borderId="5" pivotButton="0" quotePrefix="0" xfId="0"/>
    <xf numFmtId="164" fontId="9" fillId="5" borderId="5" pivotButton="0" quotePrefix="0" xfId="0"/>
    <xf numFmtId="165" fontId="6" fillId="9" borderId="1" applyAlignment="1" applyProtection="1" pivotButton="0" quotePrefix="0" xfId="0">
      <alignment horizontal="left"/>
      <protection locked="0" hidden="0"/>
    </xf>
    <xf numFmtId="164" fontId="6" fillId="4" borderId="1" applyAlignment="1" applyProtection="1" pivotButton="0" quotePrefix="0" xfId="0">
      <alignment horizontal="center"/>
      <protection locked="0" hidden="0"/>
    </xf>
    <xf numFmtId="9" fontId="6" fillId="9" borderId="1" applyAlignment="1" applyProtection="1" pivotButton="0" quotePrefix="0" xfId="0">
      <alignment horizontal="center"/>
      <protection locked="0" hidden="0"/>
    </xf>
    <xf numFmtId="9" fontId="6" fillId="4" borderId="1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value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'Inventory'!K4</f>
            </strRef>
          </tx>
          <spPr>
            <a:ln>
              <a:prstDash val="solid"/>
            </a:ln>
          </spPr>
          <cat>
            <numRef>
              <f>'Inventory'!$B$5:$B$104</f>
            </numRef>
          </cat>
          <val>
            <numRef>
              <f>'Inventory'!$K$5:$K$104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BeatsPerfect</author>
  </authors>
  <commentList>
    <comment ref="A4" authorId="0" shapeId="0">
      <text>
        <t>This workbook is designed to be edited from the yellow cells only.</t>
      </text>
    </comment>
  </commentList>
</comments>
</file>

<file path=xl/comments/comment2.xml><?xml version="1.0" encoding="utf-8"?>
<comments xmlns="http://schemas.openxmlformats.org/spreadsheetml/2006/main">
  <authors>
    <author>BeatsPerfect</author>
  </authors>
  <commentList>
    <comment ref="A4" authorId="0" shapeId="0">
      <text>
        <t>Use this sheet for support and limits.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52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7</row>
      <rowOff>0</rowOff>
    </from>
    <ext cx="37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4" customWidth="1" min="2" max="2"/>
    <col width="4" customWidth="1" min="3" max="3"/>
    <col width="40" customWidth="1" min="4" max="4"/>
  </cols>
  <sheetData>
    <row r="1" ht="28" customHeight="1">
      <c r="A1" s="1" t="inlineStr">
        <is>
          <t>Inventory Tracker Studio</t>
        </is>
      </c>
    </row>
    <row r="2" ht="22" customHeight="1">
      <c r="A2" s="2" t="inlineStr">
        <is>
          <t>Start with Setup, then use Inventory to decide what to reorder, when, and how much.</t>
        </is>
      </c>
    </row>
    <row r="4">
      <c r="A4" s="3" t="inlineStr">
        <is>
          <t>What to do first</t>
        </is>
      </c>
      <c r="D4" s="3" t="inlineStr">
        <is>
          <t>Editable areas</t>
        </is>
      </c>
    </row>
    <row r="5">
      <c r="A5" s="4" t="inlineStr">
        <is>
          <t>1. Set your review date, lead time, safety stock days, pack size, fees, and target margin in Setup.</t>
        </is>
      </c>
      <c r="D5" s="4" t="inlineStr">
        <is>
          <t>Setup input cells</t>
        </is>
      </c>
    </row>
    <row r="6">
      <c r="A6" s="4" t="inlineStr">
        <is>
          <t>2. Edit the yellow cells on Inventory for your stock, suppliers, and reorder points.</t>
        </is>
      </c>
      <c r="D6" s="4" t="inlineStr">
        <is>
          <t>Inventory opening stock, reorder point, and unit cost</t>
        </is>
      </c>
    </row>
    <row r="7">
      <c r="A7" s="4" t="inlineStr">
        <is>
          <t>3. Enter purchases and sales in the log tabs; stock and profit will update automatically.</t>
        </is>
      </c>
      <c r="D7" s="4" t="inlineStr">
        <is>
          <t>Purchase log rows</t>
        </is>
      </c>
    </row>
    <row r="8">
      <c r="A8" s="4" t="inlineStr">
        <is>
          <t>4. Use Inventory to see reorder action, reorder-by date, projected stockout, days of cover, and suggested order quantity.</t>
        </is>
      </c>
      <c r="D8" s="4" t="inlineStr">
        <is>
          <t>Sales log rows</t>
        </is>
      </c>
    </row>
    <row r="9">
      <c r="A9" s="4" t="inlineStr">
        <is>
          <t>5. Use Price Calculator to test sale prices before you list items.</t>
        </is>
      </c>
      <c r="D9" s="4" t="inlineStr">
        <is>
          <t>Price Calculator inputs</t>
        </is>
      </c>
    </row>
    <row r="11">
      <c r="D11" s="3" t="inlineStr">
        <is>
          <t>Leave alone</t>
        </is>
      </c>
    </row>
    <row r="12">
      <c r="D12" s="4" t="inlineStr">
        <is>
          <t>Dashboard formulas and charts</t>
        </is>
      </c>
    </row>
    <row r="13">
      <c r="A13" s="3" t="inlineStr">
        <is>
          <t>Recovery</t>
        </is>
      </c>
      <c r="D13" s="4" t="inlineStr">
        <is>
          <t>Inventory status formulas</t>
        </is>
      </c>
    </row>
    <row r="14">
      <c r="A14" s="5" t="inlineStr">
        <is>
          <t>Keep a clean copy before heavy edits. If you damage formulas, start again from a fresh duplicate.</t>
        </is>
      </c>
      <c r="D14" s="4" t="inlineStr">
        <is>
          <t>Sales profit formulas</t>
        </is>
      </c>
    </row>
    <row r="15">
      <c r="D15" s="4" t="inlineStr">
        <is>
          <t>Price List snapshot formulas</t>
        </is>
      </c>
    </row>
    <row r="16">
      <c r="A16" s="3" t="inlineStr">
        <is>
          <t>What this is not</t>
        </is>
      </c>
    </row>
    <row r="17">
      <c r="A17" s="4" t="inlineStr">
        <is>
          <t>• Not a subscription app</t>
        </is>
      </c>
      <c r="D17" s="3" t="inlineStr">
        <is>
          <t>Seeded capacity</t>
        </is>
      </c>
    </row>
    <row r="18">
      <c r="A18" s="4" t="inlineStr">
        <is>
          <t>• Not bank-connected</t>
        </is>
      </c>
      <c r="D18" s="6" t="inlineStr">
        <is>
          <t>100 inventory rows, 300 purchase rows, 500 sales rows, 100 price calculator rows, and 100 price list rows.</t>
        </is>
      </c>
    </row>
    <row r="19">
      <c r="A19" s="4" t="inlineStr">
        <is>
          <t>• Not tax or accounting advice</t>
        </is>
      </c>
    </row>
    <row r="20">
      <c r="A20" s="4" t="inlineStr">
        <is>
          <t>• Not a live inventory service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H2"/>
    <mergeCell ref="A1:H1"/>
  </mergeCells>
  <printOptions horizontalCentered="0" verticalCentered="0"/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 ht="28" customHeight="1">
      <c r="A1" s="1" t="inlineStr">
        <is>
          <t>Dashboard</t>
        </is>
      </c>
    </row>
    <row r="2" ht="22" customHeight="1">
      <c r="A2" s="2" t="inlineStr">
        <is>
          <t>The replenishment decision surface: what to reorder, when, and how much.</t>
        </is>
      </c>
    </row>
    <row r="4">
      <c r="B4" s="7" t="inlineStr">
        <is>
          <t>Inventory rows</t>
        </is>
      </c>
      <c r="D4" s="7" t="inlineStr">
        <is>
          <t>Order now</t>
        </is>
      </c>
      <c r="F4" s="7" t="inlineStr">
        <is>
          <t>Order qty</t>
        </is>
      </c>
      <c r="H4" s="7" t="inlineStr">
        <is>
          <t>Inventory value</t>
        </is>
      </c>
      <c r="J4" s="7" t="inlineStr">
        <is>
          <t>Purchase spend</t>
        </is>
      </c>
      <c r="L4" s="7" t="inlineStr">
        <is>
          <t>Sales revenue</t>
        </is>
      </c>
      <c r="N4" s="7" t="inlineStr">
        <is>
          <t>Gross profit</t>
        </is>
      </c>
    </row>
    <row r="5">
      <c r="B5" s="8">
        <f>COUNTA(Inventory!A5:A104)</f>
        <v/>
      </c>
      <c r="D5" s="9">
        <f>COUNTIF(Inventory!S5:S104,"Order now")</f>
        <v/>
      </c>
      <c r="F5" s="10">
        <f>SUM(Inventory!Q5:Q104)</f>
        <v/>
      </c>
      <c r="H5" s="11">
        <f>SUM(Inventory!K5:K104)</f>
        <v/>
      </c>
      <c r="J5" s="12">
        <f>SUM(Purchases!G5:G304)</f>
        <v/>
      </c>
      <c r="L5" s="13">
        <f>SUM(Sales!G5:G504)</f>
        <v/>
      </c>
      <c r="N5" s="11">
        <f>SUM(Sales!I5:I504)</f>
        <v/>
      </c>
    </row>
    <row r="8">
      <c r="A8" s="3" t="inlineStr">
        <is>
          <t>Reorder action mix</t>
        </is>
      </c>
    </row>
    <row r="9">
      <c r="A9" s="14" t="inlineStr">
        <is>
          <t>Status</t>
        </is>
      </c>
      <c r="B9" s="14" t="inlineStr">
        <is>
          <t>Count</t>
        </is>
      </c>
    </row>
    <row r="10">
      <c r="A10" s="15" t="inlineStr">
        <is>
          <t>Order now</t>
        </is>
      </c>
      <c r="B10" s="16">
        <f>COUNTIF(Inventory!S5:S104,"Order now")</f>
        <v/>
      </c>
    </row>
    <row r="11">
      <c r="A11" s="15" t="inlineStr">
        <is>
          <t>Order this week</t>
        </is>
      </c>
      <c r="B11" s="16">
        <f>COUNTIF(Inventory!S5:S104,"Order this week")</f>
        <v/>
      </c>
    </row>
    <row r="12">
      <c r="A12" s="15" t="inlineStr">
        <is>
          <t>Plan reorder</t>
        </is>
      </c>
      <c r="B12" s="16">
        <f>COUNTIF(Inventory!S5:S104,"Plan reorder")</f>
        <v/>
      </c>
    </row>
    <row r="13">
      <c r="A13" s="15" t="inlineStr">
        <is>
          <t>No action</t>
        </is>
      </c>
      <c r="B13" s="16">
        <f>COUNTIF(Inventory!S5:S104,"No action")</f>
        <v/>
      </c>
    </row>
    <row r="16">
      <c r="A16" s="3" t="inlineStr">
        <is>
          <t>Top notes</t>
        </is>
      </c>
    </row>
    <row r="17">
      <c r="A17" s="4" t="inlineStr">
        <is>
          <t>• Use Setup first, then Inventory.</t>
        </is>
      </c>
    </row>
    <row r="18">
      <c r="A18" s="4" t="inlineStr">
        <is>
          <t>• Inventory outputs reorder action, reorder-by date, projected stockout date, days cover, suggested order qty, velocity, lead time, and safety stock.</t>
        </is>
      </c>
    </row>
    <row r="19">
      <c r="A19" s="4" t="inlineStr">
        <is>
          <t>• Seeded capacity: 100 inventory rows, 300 purchase rows, 500 sales rows, 100 calculator rows, 100 price-list rows.</t>
        </is>
      </c>
    </row>
    <row r="20">
      <c r="A20" s="4" t="inlineStr">
        <is>
          <t>• Purchases raise stock; Sales lower stock.</t>
        </is>
      </c>
    </row>
    <row r="21">
      <c r="A21" s="4" t="inlineStr">
        <is>
          <t>• Price Calculator helps you test margins before listing.</t>
        </is>
      </c>
    </row>
    <row r="22">
      <c r="A22" s="4" t="inlineStr">
        <is>
          <t>• Price List stores the approved price snapshot.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P1"/>
    <mergeCell ref="A2:P2"/>
  </mergeCells>
  <printOptions horizontalCentered="0" verticalCentered="0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2" customWidth="1" min="4" max="4"/>
  </cols>
  <sheetData>
    <row r="1" ht="28" customHeight="1">
      <c r="A1" s="1" t="inlineStr">
        <is>
          <t>Setup</t>
        </is>
      </c>
    </row>
    <row r="2" ht="22" customHeight="1">
      <c r="A2" s="2" t="inlineStr">
        <is>
          <t>Choose the defaults that drive replenishment, stock, and pricing formulas.</t>
        </is>
      </c>
    </row>
    <row r="4">
      <c r="A4" s="17" t="inlineStr">
        <is>
          <t>Currency symbol</t>
        </is>
      </c>
      <c r="B4" s="18" t="inlineStr">
        <is>
          <t>$</t>
        </is>
      </c>
      <c r="D4" s="3" t="inlineStr">
        <is>
          <t>Categories</t>
        </is>
      </c>
    </row>
    <row r="5">
      <c r="A5" s="17" t="inlineStr">
        <is>
          <t>Review date</t>
        </is>
      </c>
      <c r="B5" s="19" t="n">
        <v>46096</v>
      </c>
      <c r="D5" s="6" t="inlineStr">
        <is>
          <t>Accessories, Drinkware, Stationery, Home, Wall Art, Apparel</t>
        </is>
      </c>
    </row>
    <row r="6">
      <c r="A6" s="17" t="inlineStr">
        <is>
          <t>Sales lookback days</t>
        </is>
      </c>
      <c r="B6" s="18" t="n">
        <v>30</v>
      </c>
    </row>
    <row r="7">
      <c r="A7" s="17" t="inlineStr">
        <is>
          <t>Sales tax</t>
        </is>
      </c>
      <c r="B7" s="18" t="n">
        <v>0.1</v>
      </c>
      <c r="D7" s="3" t="inlineStr">
        <is>
          <t>Editable cells</t>
        </is>
      </c>
    </row>
    <row r="8">
      <c r="A8" s="17" t="inlineStr">
        <is>
          <t>Marketplace fee</t>
        </is>
      </c>
      <c r="B8" s="18" t="n">
        <v>0.13</v>
      </c>
      <c r="D8" s="20" t="inlineStr">
        <is>
          <t>Yellow input cells in Setup, Inventory, Purchases, Sales, and Price Calculator.</t>
        </is>
      </c>
    </row>
    <row r="9">
      <c r="A9" s="17" t="inlineStr">
        <is>
          <t>Target margin</t>
        </is>
      </c>
      <c r="B9" s="18" t="n">
        <v>0.45</v>
      </c>
    </row>
    <row r="10">
      <c r="A10" s="17" t="inlineStr">
        <is>
          <t>Default reorder point</t>
        </is>
      </c>
      <c r="B10" s="18" t="n">
        <v>10</v>
      </c>
    </row>
    <row r="11">
      <c r="A11" s="17" t="inlineStr">
        <is>
          <t>Lead time days</t>
        </is>
      </c>
      <c r="B11" s="18" t="n">
        <v>14</v>
      </c>
    </row>
    <row r="12">
      <c r="A12" s="17" t="inlineStr">
        <is>
          <t>Safety stock days</t>
        </is>
      </c>
      <c r="B12" s="18" t="n">
        <v>7</v>
      </c>
    </row>
    <row r="13">
      <c r="A13" s="17" t="inlineStr">
        <is>
          <t>Default pack size</t>
        </is>
      </c>
      <c r="B13" s="18" t="n">
        <v>6</v>
      </c>
      <c r="D13" s="3" t="inlineStr">
        <is>
          <t>Workbook capacity</t>
        </is>
      </c>
    </row>
    <row r="14">
      <c r="A14" s="17" t="inlineStr">
        <is>
          <t>Support note</t>
        </is>
      </c>
      <c r="B14" s="18" t="inlineStr">
        <is>
          <t>Use the workbook for stock, purchases, sales, and pricing.</t>
        </is>
      </c>
      <c r="D14" s="6" t="inlineStr">
        <is>
          <t>The delivered workbook ships with 100 inventory rows, 300 purchase rows, 500 sales rows, 100 calculator rows, and 100 price-list rows.</t>
        </is>
      </c>
    </row>
    <row r="16">
      <c r="D16" s="3" t="inlineStr">
        <is>
          <t>Unsupported</t>
        </is>
      </c>
    </row>
    <row r="17">
      <c r="D17" s="20" t="inlineStr">
        <is>
          <t>Live bank sync, tax filing, and custom bookkeeping.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F2"/>
    <mergeCell ref="A1:F1"/>
  </mergeCells>
  <dataValidations count="1">
    <dataValidation sqref="B7:B9" showDropDown="0" showInputMessage="0" showErrorMessage="0" allowBlank="0" type="decimal" operator="between">
      <formula1>0</formula1>
      <formula2>1</formula2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1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3" customWidth="1" min="5" max="5"/>
    <col width="11" customWidth="1" min="6" max="6"/>
    <col width="10" customWidth="1" min="7" max="7"/>
    <col width="11" customWidth="1" min="8" max="8"/>
    <col width="13" customWidth="1" min="9" max="9"/>
    <col width="12" customWidth="1" min="10" max="10"/>
    <col width="15" customWidth="1" min="11" max="11"/>
    <col width="17" customWidth="1" min="12" max="12"/>
    <col width="12" customWidth="1" min="13" max="13"/>
    <col width="18" customWidth="1" min="14" max="14"/>
    <col width="14" customWidth="1" min="15" max="15"/>
    <col width="13" customWidth="1" min="16" max="16"/>
    <col width="18" customWidth="1" min="17" max="17"/>
    <col width="14" customWidth="1" min="18" max="18"/>
    <col width="16" customWidth="1" min="19" max="19"/>
    <col width="14" customWidth="1" min="20" max="20"/>
    <col width="24" customWidth="1" min="21" max="21"/>
  </cols>
  <sheetData>
    <row r="1" ht="28" customHeight="1">
      <c r="A1" s="1" t="inlineStr">
        <is>
          <t>Inventory</t>
        </is>
      </c>
    </row>
    <row r="2" ht="22" customHeight="1">
      <c r="A2" s="2" t="inlineStr">
        <is>
          <t>Decide what to reorder, when to reorder it, and how much to buy.</t>
        </is>
      </c>
    </row>
    <row r="4">
      <c r="A4" s="14" t="inlineStr">
        <is>
          <t>SKU</t>
        </is>
      </c>
      <c r="B4" s="14" t="inlineStr">
        <is>
          <t>Item</t>
        </is>
      </c>
      <c r="C4" s="14" t="inlineStr">
        <is>
          <t>Category</t>
        </is>
      </c>
      <c r="D4" s="14" t="inlineStr">
        <is>
          <t>Supplier</t>
        </is>
      </c>
      <c r="E4" s="14" t="inlineStr">
        <is>
          <t>Opening Stock</t>
        </is>
      </c>
      <c r="F4" s="14" t="inlineStr">
        <is>
          <t>Purchases</t>
        </is>
      </c>
      <c r="G4" s="14" t="inlineStr">
        <is>
          <t>Sales</t>
        </is>
      </c>
      <c r="H4" s="14" t="inlineStr">
        <is>
          <t>On Hand</t>
        </is>
      </c>
      <c r="I4" s="14" t="inlineStr">
        <is>
          <t>Reorder Point</t>
        </is>
      </c>
      <c r="J4" s="14" t="inlineStr">
        <is>
          <t>Unit Cost</t>
        </is>
      </c>
      <c r="K4" s="14" t="inlineStr">
        <is>
          <t>Inventory Value</t>
        </is>
      </c>
      <c r="L4" s="14" t="inlineStr">
        <is>
          <t>Sales Velocity/Day</t>
        </is>
      </c>
      <c r="M4" s="14" t="inlineStr">
        <is>
          <t>Days Cover</t>
        </is>
      </c>
      <c r="N4" s="14" t="inlineStr">
        <is>
          <t>Projected Stockout</t>
        </is>
      </c>
      <c r="O4" s="14" t="inlineStr">
        <is>
          <t>Lead Time Used</t>
        </is>
      </c>
      <c r="P4" s="14" t="inlineStr">
        <is>
          <t>Safety Stock</t>
        </is>
      </c>
      <c r="Q4" s="14" t="inlineStr">
        <is>
          <t>Suggested Order Qty</t>
        </is>
      </c>
      <c r="R4" s="14" t="inlineStr">
        <is>
          <t>Reorder By</t>
        </is>
      </c>
      <c r="S4" s="14" t="inlineStr">
        <is>
          <t>Reorder Action</t>
        </is>
      </c>
      <c r="T4" s="14" t="inlineStr">
        <is>
          <t>Status</t>
        </is>
      </c>
      <c r="U4" s="14" t="inlineStr">
        <is>
          <t>Notes</t>
        </is>
      </c>
    </row>
    <row r="5">
      <c r="A5" s="21" t="inlineStr">
        <is>
          <t>SKU-001</t>
        </is>
      </c>
      <c r="B5" s="21" t="inlineStr">
        <is>
          <t>Canvas Tote - Sand</t>
        </is>
      </c>
      <c r="C5" s="21" t="inlineStr">
        <is>
          <t>Accessories</t>
        </is>
      </c>
      <c r="D5" s="21" t="inlineStr">
        <is>
          <t>Northstar Wholesale</t>
        </is>
      </c>
      <c r="E5" s="22" t="n">
        <v>2</v>
      </c>
      <c r="F5" s="23">
        <f>SUMIFS(Purchases!$D$5:$D$304,Purchases!$B$5:$B$304,$A5)</f>
        <v/>
      </c>
      <c r="G5" s="23">
        <f>SUMIFS(Sales!$D$5:$D$504,Sales!$B$5:$B$504,$A5)</f>
        <v/>
      </c>
      <c r="H5" s="23">
        <f>E5+F5-G5</f>
        <v/>
      </c>
      <c r="I5" s="22" t="n">
        <v>12</v>
      </c>
      <c r="J5" s="24" t="n">
        <v>0.95</v>
      </c>
      <c r="K5" s="25">
        <f>H5*J5</f>
        <v/>
      </c>
      <c r="L5" s="26">
        <f>IFERROR(SUMIFS(Sales!$D$5:$D$504,Sales!$B$5:$B$504,$A5,Sales!$A$5:$A$504,"&gt;="&amp;Setup!$B$5-Setup!$B$6,Sales!$A$5:$A$504,"&lt;="&amp;Setup!$B$5)/Setup!$B$6,0)</f>
        <v/>
      </c>
      <c r="M5" s="27">
        <f>IF(L5&lt;=0,999,H5/L5)</f>
        <v/>
      </c>
      <c r="N5" s="28">
        <f>IF(L5&lt;=0,"No recent sales",Setup!$B$5+M5)</f>
        <v/>
      </c>
      <c r="O5" s="23">
        <f>Setup!$B$11</f>
        <v/>
      </c>
      <c r="P5" s="23">
        <f>ROUNDUP(L5*Setup!$B$12,0)</f>
        <v/>
      </c>
      <c r="Q5" s="23">
        <f>IF(MAX(0,ROUNDUP((L5*(O5+Setup!$B$12))-H5,0))=0,0,CEILING(MAX(0,ROUNDUP((L5*(O5+Setup!$B$12))-H5,0)),Setup!$B$13))</f>
        <v/>
      </c>
      <c r="R5" s="28">
        <f>IF(L5&lt;=0,"No sales signal",N5-O5)</f>
        <v/>
      </c>
      <c r="S5" s="29">
        <f>IF(H5&lt;=0,"Order now",IF(R5="No sales signal","No action",IF(R5&lt;=Setup!$B$5,"Order now",IF(R5&lt;=Setup!$B$5+7,"Order this week",IF(H5&lt;=I5,"Plan reorder","No action")))))</f>
        <v/>
      </c>
      <c r="T5" s="29">
        <f>IF(H5&lt;=0,"Out of stock",IF(H5&lt;=I5,"Reorder soon","Healthy"))</f>
        <v/>
      </c>
      <c r="U5" s="30" t="inlineStr">
        <is>
          <t>Reusable carry tote / batch 1</t>
        </is>
      </c>
    </row>
    <row r="6">
      <c r="A6" s="21" t="inlineStr">
        <is>
          <t>SKU-002</t>
        </is>
      </c>
      <c r="B6" s="21" t="inlineStr">
        <is>
          <t>Canvas Tote - Olive</t>
        </is>
      </c>
      <c r="C6" s="21" t="inlineStr">
        <is>
          <t>Accessories</t>
        </is>
      </c>
      <c r="D6" s="21" t="inlineStr">
        <is>
          <t>Northstar Wholesale</t>
        </is>
      </c>
      <c r="E6" s="22" t="n">
        <v>3</v>
      </c>
      <c r="F6" s="23">
        <f>SUMIFS(Purchases!$D$5:$D$304,Purchases!$B$5:$B$304,$A6)</f>
        <v/>
      </c>
      <c r="G6" s="23">
        <f>SUMIFS(Sales!$D$5:$D$504,Sales!$B$5:$B$504,$A6)</f>
        <v/>
      </c>
      <c r="H6" s="23">
        <f>E6+F6-G6</f>
        <v/>
      </c>
      <c r="I6" s="22" t="n">
        <v>13</v>
      </c>
      <c r="J6" s="24" t="n">
        <v>1.12</v>
      </c>
      <c r="K6" s="25">
        <f>H6*J6</f>
        <v/>
      </c>
      <c r="L6" s="26">
        <f>IFERROR(SUMIFS(Sales!$D$5:$D$504,Sales!$B$5:$B$504,$A6,Sales!$A$5:$A$504,"&gt;="&amp;Setup!$B$5-Setup!$B$6,Sales!$A$5:$A$504,"&lt;="&amp;Setup!$B$5)/Setup!$B$6,0)</f>
        <v/>
      </c>
      <c r="M6" s="27">
        <f>IF(L6&lt;=0,999,H6/L6)</f>
        <v/>
      </c>
      <c r="N6" s="28">
        <f>IF(L6&lt;=0,"No recent sales",Setup!$B$5+M6)</f>
        <v/>
      </c>
      <c r="O6" s="23">
        <f>Setup!$B$11</f>
        <v/>
      </c>
      <c r="P6" s="23">
        <f>ROUNDUP(L6*Setup!$B$12,0)</f>
        <v/>
      </c>
      <c r="Q6" s="23">
        <f>IF(MAX(0,ROUNDUP((L6*(O6+Setup!$B$12))-H6,0))=0,0,CEILING(MAX(0,ROUNDUP((L6*(O6+Setup!$B$12))-H6,0)),Setup!$B$13))</f>
        <v/>
      </c>
      <c r="R6" s="28">
        <f>IF(L6&lt;=0,"No sales signal",N6-O6)</f>
        <v/>
      </c>
      <c r="S6" s="29">
        <f>IF(H6&lt;=0,"Order now",IF(R6="No sales signal","No action",IF(R6&lt;=Setup!$B$5,"Order now",IF(R6&lt;=Setup!$B$5+7,"Order this week",IF(H6&lt;=I6,"Plan reorder","No action")))))</f>
        <v/>
      </c>
      <c r="T6" s="29">
        <f>IF(H6&lt;=0,"Out of stock",IF(H6&lt;=I6,"Reorder soon","Healthy"))</f>
        <v/>
      </c>
      <c r="U6" s="30" t="inlineStr">
        <is>
          <t>Reusable carry tote / batch 1</t>
        </is>
      </c>
    </row>
    <row r="7">
      <c r="A7" s="21" t="inlineStr">
        <is>
          <t>SKU-003</t>
        </is>
      </c>
      <c r="B7" s="21" t="inlineStr">
        <is>
          <t>Canvas Tote - Slate</t>
        </is>
      </c>
      <c r="C7" s="21" t="inlineStr">
        <is>
          <t>Accessories</t>
        </is>
      </c>
      <c r="D7" s="21" t="inlineStr">
        <is>
          <t>Northstar Wholesale</t>
        </is>
      </c>
      <c r="E7" s="22" t="n">
        <v>2</v>
      </c>
      <c r="F7" s="23">
        <f>SUMIFS(Purchases!$D$5:$D$304,Purchases!$B$5:$B$304,$A7)</f>
        <v/>
      </c>
      <c r="G7" s="23">
        <f>SUMIFS(Sales!$D$5:$D$504,Sales!$B$5:$B$504,$A7)</f>
        <v/>
      </c>
      <c r="H7" s="23">
        <f>E7+F7-G7</f>
        <v/>
      </c>
      <c r="I7" s="22" t="n">
        <v>14</v>
      </c>
      <c r="J7" s="24" t="n">
        <v>1.29</v>
      </c>
      <c r="K7" s="25">
        <f>H7*J7</f>
        <v/>
      </c>
      <c r="L7" s="26">
        <f>IFERROR(SUMIFS(Sales!$D$5:$D$504,Sales!$B$5:$B$504,$A7,Sales!$A$5:$A$504,"&gt;="&amp;Setup!$B$5-Setup!$B$6,Sales!$A$5:$A$504,"&lt;="&amp;Setup!$B$5)/Setup!$B$6,0)</f>
        <v/>
      </c>
      <c r="M7" s="27">
        <f>IF(L7&lt;=0,999,H7/L7)</f>
        <v/>
      </c>
      <c r="N7" s="28">
        <f>IF(L7&lt;=0,"No recent sales",Setup!$B$5+M7)</f>
        <v/>
      </c>
      <c r="O7" s="23">
        <f>Setup!$B$11</f>
        <v/>
      </c>
      <c r="P7" s="23">
        <f>ROUNDUP(L7*Setup!$B$12,0)</f>
        <v/>
      </c>
      <c r="Q7" s="23">
        <f>IF(MAX(0,ROUNDUP((L7*(O7+Setup!$B$12))-H7,0))=0,0,CEILING(MAX(0,ROUNDUP((L7*(O7+Setup!$B$12))-H7,0)),Setup!$B$13))</f>
        <v/>
      </c>
      <c r="R7" s="28">
        <f>IF(L7&lt;=0,"No sales signal",N7-O7)</f>
        <v/>
      </c>
      <c r="S7" s="29">
        <f>IF(H7&lt;=0,"Order now",IF(R7="No sales signal","No action",IF(R7&lt;=Setup!$B$5,"Order now",IF(R7&lt;=Setup!$B$5+7,"Order this week",IF(H7&lt;=I7,"Plan reorder","No action")))))</f>
        <v/>
      </c>
      <c r="T7" s="29">
        <f>IF(H7&lt;=0,"Out of stock",IF(H7&lt;=I7,"Reorder soon","Healthy"))</f>
        <v/>
      </c>
      <c r="U7" s="30" t="inlineStr">
        <is>
          <t>Reusable carry tote / batch 1</t>
        </is>
      </c>
    </row>
    <row r="8">
      <c r="A8" s="21" t="inlineStr">
        <is>
          <t>SKU-004</t>
        </is>
      </c>
      <c r="B8" s="21" t="inlineStr">
        <is>
          <t>Canvas Tote - Coral</t>
        </is>
      </c>
      <c r="C8" s="21" t="inlineStr">
        <is>
          <t>Accessories</t>
        </is>
      </c>
      <c r="D8" s="21" t="inlineStr">
        <is>
          <t>Northstar Wholesale</t>
        </is>
      </c>
      <c r="E8" s="22" t="n">
        <v>3</v>
      </c>
      <c r="F8" s="23">
        <f>SUMIFS(Purchases!$D$5:$D$304,Purchases!$B$5:$B$304,$A8)</f>
        <v/>
      </c>
      <c r="G8" s="23">
        <f>SUMIFS(Sales!$D$5:$D$504,Sales!$B$5:$B$504,$A8)</f>
        <v/>
      </c>
      <c r="H8" s="23">
        <f>E8+F8-G8</f>
        <v/>
      </c>
      <c r="I8" s="22" t="n">
        <v>15</v>
      </c>
      <c r="J8" s="24" t="n">
        <v>1.46</v>
      </c>
      <c r="K8" s="25">
        <f>H8*J8</f>
        <v/>
      </c>
      <c r="L8" s="26">
        <f>IFERROR(SUMIFS(Sales!$D$5:$D$504,Sales!$B$5:$B$504,$A8,Sales!$A$5:$A$504,"&gt;="&amp;Setup!$B$5-Setup!$B$6,Sales!$A$5:$A$504,"&lt;="&amp;Setup!$B$5)/Setup!$B$6,0)</f>
        <v/>
      </c>
      <c r="M8" s="27">
        <f>IF(L8&lt;=0,999,H8/L8)</f>
        <v/>
      </c>
      <c r="N8" s="28">
        <f>IF(L8&lt;=0,"No recent sales",Setup!$B$5+M8)</f>
        <v/>
      </c>
      <c r="O8" s="23">
        <f>Setup!$B$11</f>
        <v/>
      </c>
      <c r="P8" s="23">
        <f>ROUNDUP(L8*Setup!$B$12,0)</f>
        <v/>
      </c>
      <c r="Q8" s="23">
        <f>IF(MAX(0,ROUNDUP((L8*(O8+Setup!$B$12))-H8,0))=0,0,CEILING(MAX(0,ROUNDUP((L8*(O8+Setup!$B$12))-H8,0)),Setup!$B$13))</f>
        <v/>
      </c>
      <c r="R8" s="28">
        <f>IF(L8&lt;=0,"No sales signal",N8-O8)</f>
        <v/>
      </c>
      <c r="S8" s="29">
        <f>IF(H8&lt;=0,"Order now",IF(R8="No sales signal","No action",IF(R8&lt;=Setup!$B$5,"Order now",IF(R8&lt;=Setup!$B$5+7,"Order this week",IF(H8&lt;=I8,"Plan reorder","No action")))))</f>
        <v/>
      </c>
      <c r="T8" s="29">
        <f>IF(H8&lt;=0,"Out of stock",IF(H8&lt;=I8,"Reorder soon","Healthy"))</f>
        <v/>
      </c>
      <c r="U8" s="30" t="inlineStr">
        <is>
          <t>Reusable carry tote / batch 1</t>
        </is>
      </c>
    </row>
    <row r="9">
      <c r="A9" s="21" t="inlineStr">
        <is>
          <t>SKU-005</t>
        </is>
      </c>
      <c r="B9" s="21" t="inlineStr">
        <is>
          <t>Canvas Tote - Natural</t>
        </is>
      </c>
      <c r="C9" s="21" t="inlineStr">
        <is>
          <t>Accessories</t>
        </is>
      </c>
      <c r="D9" s="21" t="inlineStr">
        <is>
          <t>Northstar Wholesale</t>
        </is>
      </c>
      <c r="E9" s="22" t="n">
        <v>11</v>
      </c>
      <c r="F9" s="23">
        <f>SUMIFS(Purchases!$D$5:$D$304,Purchases!$B$5:$B$304,$A9)</f>
        <v/>
      </c>
      <c r="G9" s="23">
        <f>SUMIFS(Sales!$D$5:$D$504,Sales!$B$5:$B$504,$A9)</f>
        <v/>
      </c>
      <c r="H9" s="23">
        <f>E9+F9-G9</f>
        <v/>
      </c>
      <c r="I9" s="22" t="n">
        <v>12</v>
      </c>
      <c r="J9" s="24" t="n">
        <v>1.63</v>
      </c>
      <c r="K9" s="25">
        <f>H9*J9</f>
        <v/>
      </c>
      <c r="L9" s="26">
        <f>IFERROR(SUMIFS(Sales!$D$5:$D$504,Sales!$B$5:$B$504,$A9,Sales!$A$5:$A$504,"&gt;="&amp;Setup!$B$5-Setup!$B$6,Sales!$A$5:$A$504,"&lt;="&amp;Setup!$B$5)/Setup!$B$6,0)</f>
        <v/>
      </c>
      <c r="M9" s="27">
        <f>IF(L9&lt;=0,999,H9/L9)</f>
        <v/>
      </c>
      <c r="N9" s="28">
        <f>IF(L9&lt;=0,"No recent sales",Setup!$B$5+M9)</f>
        <v/>
      </c>
      <c r="O9" s="23">
        <f>Setup!$B$11</f>
        <v/>
      </c>
      <c r="P9" s="23">
        <f>ROUNDUP(L9*Setup!$B$12,0)</f>
        <v/>
      </c>
      <c r="Q9" s="23">
        <f>IF(MAX(0,ROUNDUP((L9*(O9+Setup!$B$12))-H9,0))=0,0,CEILING(MAX(0,ROUNDUP((L9*(O9+Setup!$B$12))-H9,0)),Setup!$B$13))</f>
        <v/>
      </c>
      <c r="R9" s="28">
        <f>IF(L9&lt;=0,"No sales signal",N9-O9)</f>
        <v/>
      </c>
      <c r="S9" s="29">
        <f>IF(H9&lt;=0,"Order now",IF(R9="No sales signal","No action",IF(R9&lt;=Setup!$B$5,"Order now",IF(R9&lt;=Setup!$B$5+7,"Order this week",IF(H9&lt;=I9,"Plan reorder","No action")))))</f>
        <v/>
      </c>
      <c r="T9" s="29">
        <f>IF(H9&lt;=0,"Out of stock",IF(H9&lt;=I9,"Reorder soon","Healthy"))</f>
        <v/>
      </c>
      <c r="U9" s="30" t="inlineStr">
        <is>
          <t>Reusable carry tote / batch 1</t>
        </is>
      </c>
    </row>
    <row r="10">
      <c r="A10" s="21" t="inlineStr">
        <is>
          <t>SKU-006</t>
        </is>
      </c>
      <c r="B10" s="21" t="inlineStr">
        <is>
          <t>Ceramic Mug - Sand</t>
        </is>
      </c>
      <c r="C10" s="21" t="inlineStr">
        <is>
          <t>Drinkware</t>
        </is>
      </c>
      <c r="D10" s="21" t="inlineStr">
        <is>
          <t>Harbor Supply</t>
        </is>
      </c>
      <c r="E10" s="22" t="n">
        <v>12</v>
      </c>
      <c r="F10" s="23">
        <f>SUMIFS(Purchases!$D$5:$D$304,Purchases!$B$5:$B$304,$A10)</f>
        <v/>
      </c>
      <c r="G10" s="23">
        <f>SUMIFS(Sales!$D$5:$D$504,Sales!$B$5:$B$504,$A10)</f>
        <v/>
      </c>
      <c r="H10" s="23">
        <f>E10+F10-G10</f>
        <v/>
      </c>
      <c r="I10" s="22" t="n">
        <v>11</v>
      </c>
      <c r="J10" s="24" t="n">
        <v>2.1</v>
      </c>
      <c r="K10" s="25">
        <f>H10*J10</f>
        <v/>
      </c>
      <c r="L10" s="26">
        <f>IFERROR(SUMIFS(Sales!$D$5:$D$504,Sales!$B$5:$B$504,$A10,Sales!$A$5:$A$504,"&gt;="&amp;Setup!$B$5-Setup!$B$6,Sales!$A$5:$A$504,"&lt;="&amp;Setup!$B$5)/Setup!$B$6,0)</f>
        <v/>
      </c>
      <c r="M10" s="27">
        <f>IF(L10&lt;=0,999,H10/L10)</f>
        <v/>
      </c>
      <c r="N10" s="28">
        <f>IF(L10&lt;=0,"No recent sales",Setup!$B$5+M10)</f>
        <v/>
      </c>
      <c r="O10" s="23">
        <f>Setup!$B$11</f>
        <v/>
      </c>
      <c r="P10" s="23">
        <f>ROUNDUP(L10*Setup!$B$12,0)</f>
        <v/>
      </c>
      <c r="Q10" s="23">
        <f>IF(MAX(0,ROUNDUP((L10*(O10+Setup!$B$12))-H10,0))=0,0,CEILING(MAX(0,ROUNDUP((L10*(O10+Setup!$B$12))-H10,0)),Setup!$B$13))</f>
        <v/>
      </c>
      <c r="R10" s="28">
        <f>IF(L10&lt;=0,"No sales signal",N10-O10)</f>
        <v/>
      </c>
      <c r="S10" s="29">
        <f>IF(H10&lt;=0,"Order now",IF(R10="No sales signal","No action",IF(R10&lt;=Setup!$B$5,"Order now",IF(R10&lt;=Setup!$B$5+7,"Order this week",IF(H10&lt;=I10,"Plan reorder","No action")))))</f>
        <v/>
      </c>
      <c r="T10" s="29">
        <f>IF(H10&lt;=0,"Out of stock",IF(H10&lt;=I10,"Reorder soon","Healthy"))</f>
        <v/>
      </c>
      <c r="U10" s="30" t="inlineStr">
        <is>
          <t>Gloss finish mug / batch 1</t>
        </is>
      </c>
    </row>
    <row r="11">
      <c r="A11" s="21" t="inlineStr">
        <is>
          <t>SKU-007</t>
        </is>
      </c>
      <c r="B11" s="21" t="inlineStr">
        <is>
          <t>Ceramic Mug - Olive</t>
        </is>
      </c>
      <c r="C11" s="21" t="inlineStr">
        <is>
          <t>Drinkware</t>
        </is>
      </c>
      <c r="D11" s="21" t="inlineStr">
        <is>
          <t>Harbor Supply</t>
        </is>
      </c>
      <c r="E11" s="22" t="n">
        <v>10</v>
      </c>
      <c r="F11" s="23">
        <f>SUMIFS(Purchases!$D$5:$D$304,Purchases!$B$5:$B$304,$A11)</f>
        <v/>
      </c>
      <c r="G11" s="23">
        <f>SUMIFS(Sales!$D$5:$D$504,Sales!$B$5:$B$504,$A11)</f>
        <v/>
      </c>
      <c r="H11" s="23">
        <f>E11+F11-G11</f>
        <v/>
      </c>
      <c r="I11" s="22" t="n">
        <v>12</v>
      </c>
      <c r="J11" s="24" t="n">
        <v>2.27</v>
      </c>
      <c r="K11" s="25">
        <f>H11*J11</f>
        <v/>
      </c>
      <c r="L11" s="26">
        <f>IFERROR(SUMIFS(Sales!$D$5:$D$504,Sales!$B$5:$B$504,$A11,Sales!$A$5:$A$504,"&gt;="&amp;Setup!$B$5-Setup!$B$6,Sales!$A$5:$A$504,"&lt;="&amp;Setup!$B$5)/Setup!$B$6,0)</f>
        <v/>
      </c>
      <c r="M11" s="27">
        <f>IF(L11&lt;=0,999,H11/L11)</f>
        <v/>
      </c>
      <c r="N11" s="28">
        <f>IF(L11&lt;=0,"No recent sales",Setup!$B$5+M11)</f>
        <v/>
      </c>
      <c r="O11" s="23">
        <f>Setup!$B$11</f>
        <v/>
      </c>
      <c r="P11" s="23">
        <f>ROUNDUP(L11*Setup!$B$12,0)</f>
        <v/>
      </c>
      <c r="Q11" s="23">
        <f>IF(MAX(0,ROUNDUP((L11*(O11+Setup!$B$12))-H11,0))=0,0,CEILING(MAX(0,ROUNDUP((L11*(O11+Setup!$B$12))-H11,0)),Setup!$B$13))</f>
        <v/>
      </c>
      <c r="R11" s="28">
        <f>IF(L11&lt;=0,"No sales signal",N11-O11)</f>
        <v/>
      </c>
      <c r="S11" s="29">
        <f>IF(H11&lt;=0,"Order now",IF(R11="No sales signal","No action",IF(R11&lt;=Setup!$B$5,"Order now",IF(R11&lt;=Setup!$B$5+7,"Order this week",IF(H11&lt;=I11,"Plan reorder","No action")))))</f>
        <v/>
      </c>
      <c r="T11" s="29">
        <f>IF(H11&lt;=0,"Out of stock",IF(H11&lt;=I11,"Reorder soon","Healthy"))</f>
        <v/>
      </c>
      <c r="U11" s="30" t="inlineStr">
        <is>
          <t>Gloss finish mug / batch 1</t>
        </is>
      </c>
    </row>
    <row r="12">
      <c r="A12" s="21" t="inlineStr">
        <is>
          <t>SKU-008</t>
        </is>
      </c>
      <c r="B12" s="21" t="inlineStr">
        <is>
          <t>Ceramic Mug - Slate</t>
        </is>
      </c>
      <c r="C12" s="21" t="inlineStr">
        <is>
          <t>Drinkware</t>
        </is>
      </c>
      <c r="D12" s="21" t="inlineStr">
        <is>
          <t>Harbor Supply</t>
        </is>
      </c>
      <c r="E12" s="22" t="n">
        <v>11</v>
      </c>
      <c r="F12" s="23">
        <f>SUMIFS(Purchases!$D$5:$D$304,Purchases!$B$5:$B$304,$A12)</f>
        <v/>
      </c>
      <c r="G12" s="23">
        <f>SUMIFS(Sales!$D$5:$D$504,Sales!$B$5:$B$504,$A12)</f>
        <v/>
      </c>
      <c r="H12" s="23">
        <f>E12+F12-G12</f>
        <v/>
      </c>
      <c r="I12" s="22" t="n">
        <v>13</v>
      </c>
      <c r="J12" s="24" t="n">
        <v>2.44</v>
      </c>
      <c r="K12" s="25">
        <f>H12*J12</f>
        <v/>
      </c>
      <c r="L12" s="26">
        <f>IFERROR(SUMIFS(Sales!$D$5:$D$504,Sales!$B$5:$B$504,$A12,Sales!$A$5:$A$504,"&gt;="&amp;Setup!$B$5-Setup!$B$6,Sales!$A$5:$A$504,"&lt;="&amp;Setup!$B$5)/Setup!$B$6,0)</f>
        <v/>
      </c>
      <c r="M12" s="27">
        <f>IF(L12&lt;=0,999,H12/L12)</f>
        <v/>
      </c>
      <c r="N12" s="28">
        <f>IF(L12&lt;=0,"No recent sales",Setup!$B$5+M12)</f>
        <v/>
      </c>
      <c r="O12" s="23">
        <f>Setup!$B$11</f>
        <v/>
      </c>
      <c r="P12" s="23">
        <f>ROUNDUP(L12*Setup!$B$12,0)</f>
        <v/>
      </c>
      <c r="Q12" s="23">
        <f>IF(MAX(0,ROUNDUP((L12*(O12+Setup!$B$12))-H12,0))=0,0,CEILING(MAX(0,ROUNDUP((L12*(O12+Setup!$B$12))-H12,0)),Setup!$B$13))</f>
        <v/>
      </c>
      <c r="R12" s="28">
        <f>IF(L12&lt;=0,"No sales signal",N12-O12)</f>
        <v/>
      </c>
      <c r="S12" s="29">
        <f>IF(H12&lt;=0,"Order now",IF(R12="No sales signal","No action",IF(R12&lt;=Setup!$B$5,"Order now",IF(R12&lt;=Setup!$B$5+7,"Order this week",IF(H12&lt;=I12,"Plan reorder","No action")))))</f>
        <v/>
      </c>
      <c r="T12" s="29">
        <f>IF(H12&lt;=0,"Out of stock",IF(H12&lt;=I12,"Reorder soon","Healthy"))</f>
        <v/>
      </c>
      <c r="U12" s="30" t="inlineStr">
        <is>
          <t>Gloss finish mug / batch 1</t>
        </is>
      </c>
    </row>
    <row r="13">
      <c r="A13" s="21" t="inlineStr">
        <is>
          <t>SKU-009</t>
        </is>
      </c>
      <c r="B13" s="21" t="inlineStr">
        <is>
          <t>Ceramic Mug - Coral</t>
        </is>
      </c>
      <c r="C13" s="21" t="inlineStr">
        <is>
          <t>Drinkware</t>
        </is>
      </c>
      <c r="D13" s="21" t="inlineStr">
        <is>
          <t>Harbor Supply</t>
        </is>
      </c>
      <c r="E13" s="22" t="n">
        <v>12</v>
      </c>
      <c r="F13" s="23">
        <f>SUMIFS(Purchases!$D$5:$D$304,Purchases!$B$5:$B$304,$A13)</f>
        <v/>
      </c>
      <c r="G13" s="23">
        <f>SUMIFS(Sales!$D$5:$D$504,Sales!$B$5:$B$504,$A13)</f>
        <v/>
      </c>
      <c r="H13" s="23">
        <f>E13+F13-G13</f>
        <v/>
      </c>
      <c r="I13" s="22" t="n">
        <v>10</v>
      </c>
      <c r="J13" s="24" t="n">
        <v>2.61</v>
      </c>
      <c r="K13" s="25">
        <f>H13*J13</f>
        <v/>
      </c>
      <c r="L13" s="26">
        <f>IFERROR(SUMIFS(Sales!$D$5:$D$504,Sales!$B$5:$B$504,$A13,Sales!$A$5:$A$504,"&gt;="&amp;Setup!$B$5-Setup!$B$6,Sales!$A$5:$A$504,"&lt;="&amp;Setup!$B$5)/Setup!$B$6,0)</f>
        <v/>
      </c>
      <c r="M13" s="27">
        <f>IF(L13&lt;=0,999,H13/L13)</f>
        <v/>
      </c>
      <c r="N13" s="28">
        <f>IF(L13&lt;=0,"No recent sales",Setup!$B$5+M13)</f>
        <v/>
      </c>
      <c r="O13" s="23">
        <f>Setup!$B$11</f>
        <v/>
      </c>
      <c r="P13" s="23">
        <f>ROUNDUP(L13*Setup!$B$12,0)</f>
        <v/>
      </c>
      <c r="Q13" s="23">
        <f>IF(MAX(0,ROUNDUP((L13*(O13+Setup!$B$12))-H13,0))=0,0,CEILING(MAX(0,ROUNDUP((L13*(O13+Setup!$B$12))-H13,0)),Setup!$B$13))</f>
        <v/>
      </c>
      <c r="R13" s="28">
        <f>IF(L13&lt;=0,"No sales signal",N13-O13)</f>
        <v/>
      </c>
      <c r="S13" s="29">
        <f>IF(H13&lt;=0,"Order now",IF(R13="No sales signal","No action",IF(R13&lt;=Setup!$B$5,"Order now",IF(R13&lt;=Setup!$B$5+7,"Order this week",IF(H13&lt;=I13,"Plan reorder","No action")))))</f>
        <v/>
      </c>
      <c r="T13" s="29">
        <f>IF(H13&lt;=0,"Out of stock",IF(H13&lt;=I13,"Reorder soon","Healthy"))</f>
        <v/>
      </c>
      <c r="U13" s="30" t="inlineStr">
        <is>
          <t>Gloss finish mug / batch 1</t>
        </is>
      </c>
    </row>
    <row r="14">
      <c r="A14" s="21" t="inlineStr">
        <is>
          <t>SKU-010</t>
        </is>
      </c>
      <c r="B14" s="21" t="inlineStr">
        <is>
          <t>Ceramic Mug - Natural</t>
        </is>
      </c>
      <c r="C14" s="21" t="inlineStr">
        <is>
          <t>Drinkware</t>
        </is>
      </c>
      <c r="D14" s="21" t="inlineStr">
        <is>
          <t>Harbor Supply</t>
        </is>
      </c>
      <c r="E14" s="22" t="n">
        <v>10</v>
      </c>
      <c r="F14" s="23">
        <f>SUMIFS(Purchases!$D$5:$D$304,Purchases!$B$5:$B$304,$A14)</f>
        <v/>
      </c>
      <c r="G14" s="23">
        <f>SUMIFS(Sales!$D$5:$D$504,Sales!$B$5:$B$504,$A14)</f>
        <v/>
      </c>
      <c r="H14" s="23">
        <f>E14+F14-G14</f>
        <v/>
      </c>
      <c r="I14" s="22" t="n">
        <v>11</v>
      </c>
      <c r="J14" s="24" t="n">
        <v>2.78</v>
      </c>
      <c r="K14" s="25">
        <f>H14*J14</f>
        <v/>
      </c>
      <c r="L14" s="26">
        <f>IFERROR(SUMIFS(Sales!$D$5:$D$504,Sales!$B$5:$B$504,$A14,Sales!$A$5:$A$504,"&gt;="&amp;Setup!$B$5-Setup!$B$6,Sales!$A$5:$A$504,"&lt;="&amp;Setup!$B$5)/Setup!$B$6,0)</f>
        <v/>
      </c>
      <c r="M14" s="27">
        <f>IF(L14&lt;=0,999,H14/L14)</f>
        <v/>
      </c>
      <c r="N14" s="28">
        <f>IF(L14&lt;=0,"No recent sales",Setup!$B$5+M14)</f>
        <v/>
      </c>
      <c r="O14" s="23">
        <f>Setup!$B$11</f>
        <v/>
      </c>
      <c r="P14" s="23">
        <f>ROUNDUP(L14*Setup!$B$12,0)</f>
        <v/>
      </c>
      <c r="Q14" s="23">
        <f>IF(MAX(0,ROUNDUP((L14*(O14+Setup!$B$12))-H14,0))=0,0,CEILING(MAX(0,ROUNDUP((L14*(O14+Setup!$B$12))-H14,0)),Setup!$B$13))</f>
        <v/>
      </c>
      <c r="R14" s="28">
        <f>IF(L14&lt;=0,"No sales signal",N14-O14)</f>
        <v/>
      </c>
      <c r="S14" s="29">
        <f>IF(H14&lt;=0,"Order now",IF(R14="No sales signal","No action",IF(R14&lt;=Setup!$B$5,"Order now",IF(R14&lt;=Setup!$B$5+7,"Order this week",IF(H14&lt;=I14,"Plan reorder","No action")))))</f>
        <v/>
      </c>
      <c r="T14" s="29">
        <f>IF(H14&lt;=0,"Out of stock",IF(H14&lt;=I14,"Reorder soon","Healthy"))</f>
        <v/>
      </c>
      <c r="U14" s="30" t="inlineStr">
        <is>
          <t>Gloss finish mug / batch 1</t>
        </is>
      </c>
    </row>
    <row r="15">
      <c r="A15" s="21" t="inlineStr">
        <is>
          <t>SKU-011</t>
        </is>
      </c>
      <c r="B15" s="21" t="inlineStr">
        <is>
          <t>A5 Notebook - Sand</t>
        </is>
      </c>
      <c r="C15" s="21" t="inlineStr">
        <is>
          <t>Stationery</t>
        </is>
      </c>
      <c r="D15" s="21" t="inlineStr">
        <is>
          <t>Paper Trail Co.</t>
        </is>
      </c>
      <c r="E15" s="22" t="n">
        <v>43</v>
      </c>
      <c r="F15" s="23">
        <f>SUMIFS(Purchases!$D$5:$D$304,Purchases!$B$5:$B$304,$A15)</f>
        <v/>
      </c>
      <c r="G15" s="23">
        <f>SUMIFS(Sales!$D$5:$D$504,Sales!$B$5:$B$504,$A15)</f>
        <v/>
      </c>
      <c r="H15" s="23">
        <f>E15+F15-G15</f>
        <v/>
      </c>
      <c r="I15" s="22" t="n">
        <v>20</v>
      </c>
      <c r="J15" s="24" t="n">
        <v>1.25</v>
      </c>
      <c r="K15" s="25">
        <f>H15*J15</f>
        <v/>
      </c>
      <c r="L15" s="26">
        <f>IFERROR(SUMIFS(Sales!$D$5:$D$504,Sales!$B$5:$B$504,$A15,Sales!$A$5:$A$504,"&gt;="&amp;Setup!$B$5-Setup!$B$6,Sales!$A$5:$A$504,"&lt;="&amp;Setup!$B$5)/Setup!$B$6,0)</f>
        <v/>
      </c>
      <c r="M15" s="27">
        <f>IF(L15&lt;=0,999,H15/L15)</f>
        <v/>
      </c>
      <c r="N15" s="28">
        <f>IF(L15&lt;=0,"No recent sales",Setup!$B$5+M15)</f>
        <v/>
      </c>
      <c r="O15" s="23">
        <f>Setup!$B$11</f>
        <v/>
      </c>
      <c r="P15" s="23">
        <f>ROUNDUP(L15*Setup!$B$12,0)</f>
        <v/>
      </c>
      <c r="Q15" s="23">
        <f>IF(MAX(0,ROUNDUP((L15*(O15+Setup!$B$12))-H15,0))=0,0,CEILING(MAX(0,ROUNDUP((L15*(O15+Setup!$B$12))-H15,0)),Setup!$B$13))</f>
        <v/>
      </c>
      <c r="R15" s="28">
        <f>IF(L15&lt;=0,"No sales signal",N15-O15)</f>
        <v/>
      </c>
      <c r="S15" s="29">
        <f>IF(H15&lt;=0,"Order now",IF(R15="No sales signal","No action",IF(R15&lt;=Setup!$B$5,"Order now",IF(R15&lt;=Setup!$B$5+7,"Order this week",IF(H15&lt;=I15,"Plan reorder","No action")))))</f>
        <v/>
      </c>
      <c r="T15" s="29">
        <f>IF(H15&lt;=0,"Out of stock",IF(H15&lt;=I15,"Reorder soon","Healthy"))</f>
        <v/>
      </c>
      <c r="U15" s="30" t="inlineStr">
        <is>
          <t>Sewn binding notebook / batch 1</t>
        </is>
      </c>
    </row>
    <row r="16">
      <c r="A16" s="21" t="inlineStr">
        <is>
          <t>SKU-012</t>
        </is>
      </c>
      <c r="B16" s="21" t="inlineStr">
        <is>
          <t>A5 Notebook - Olive</t>
        </is>
      </c>
      <c r="C16" s="21" t="inlineStr">
        <is>
          <t>Stationery</t>
        </is>
      </c>
      <c r="D16" s="21" t="inlineStr">
        <is>
          <t>Paper Trail Co.</t>
        </is>
      </c>
      <c r="E16" s="22" t="n">
        <v>45</v>
      </c>
      <c r="F16" s="23">
        <f>SUMIFS(Purchases!$D$5:$D$304,Purchases!$B$5:$B$304,$A16)</f>
        <v/>
      </c>
      <c r="G16" s="23">
        <f>SUMIFS(Sales!$D$5:$D$504,Sales!$B$5:$B$504,$A16)</f>
        <v/>
      </c>
      <c r="H16" s="23">
        <f>E16+F16-G16</f>
        <v/>
      </c>
      <c r="I16" s="22" t="n">
        <v>21</v>
      </c>
      <c r="J16" s="24" t="n">
        <v>1.42</v>
      </c>
      <c r="K16" s="25">
        <f>H16*J16</f>
        <v/>
      </c>
      <c r="L16" s="26">
        <f>IFERROR(SUMIFS(Sales!$D$5:$D$504,Sales!$B$5:$B$504,$A16,Sales!$A$5:$A$504,"&gt;="&amp;Setup!$B$5-Setup!$B$6,Sales!$A$5:$A$504,"&lt;="&amp;Setup!$B$5)/Setup!$B$6,0)</f>
        <v/>
      </c>
      <c r="M16" s="27">
        <f>IF(L16&lt;=0,999,H16/L16)</f>
        <v/>
      </c>
      <c r="N16" s="28">
        <f>IF(L16&lt;=0,"No recent sales",Setup!$B$5+M16)</f>
        <v/>
      </c>
      <c r="O16" s="23">
        <f>Setup!$B$11</f>
        <v/>
      </c>
      <c r="P16" s="23">
        <f>ROUNDUP(L16*Setup!$B$12,0)</f>
        <v/>
      </c>
      <c r="Q16" s="23">
        <f>IF(MAX(0,ROUNDUP((L16*(O16+Setup!$B$12))-H16,0))=0,0,CEILING(MAX(0,ROUNDUP((L16*(O16+Setup!$B$12))-H16,0)),Setup!$B$13))</f>
        <v/>
      </c>
      <c r="R16" s="28">
        <f>IF(L16&lt;=0,"No sales signal",N16-O16)</f>
        <v/>
      </c>
      <c r="S16" s="29">
        <f>IF(H16&lt;=0,"Order now",IF(R16="No sales signal","No action",IF(R16&lt;=Setup!$B$5,"Order now",IF(R16&lt;=Setup!$B$5+7,"Order this week",IF(H16&lt;=I16,"Plan reorder","No action")))))</f>
        <v/>
      </c>
      <c r="T16" s="29">
        <f>IF(H16&lt;=0,"Out of stock",IF(H16&lt;=I16,"Reorder soon","Healthy"))</f>
        <v/>
      </c>
      <c r="U16" s="30" t="inlineStr">
        <is>
          <t>Sewn binding notebook / batch 1</t>
        </is>
      </c>
    </row>
    <row r="17">
      <c r="A17" s="21" t="inlineStr">
        <is>
          <t>SKU-013</t>
        </is>
      </c>
      <c r="B17" s="21" t="inlineStr">
        <is>
          <t>A5 Notebook - Slate</t>
        </is>
      </c>
      <c r="C17" s="21" t="inlineStr">
        <is>
          <t>Stationery</t>
        </is>
      </c>
      <c r="D17" s="21" t="inlineStr">
        <is>
          <t>Paper Trail Co.</t>
        </is>
      </c>
      <c r="E17" s="22" t="n">
        <v>35</v>
      </c>
      <c r="F17" s="23">
        <f>SUMIFS(Purchases!$D$5:$D$304,Purchases!$B$5:$B$304,$A17)</f>
        <v/>
      </c>
      <c r="G17" s="23">
        <f>SUMIFS(Sales!$D$5:$D$504,Sales!$B$5:$B$504,$A17)</f>
        <v/>
      </c>
      <c r="H17" s="23">
        <f>E17+F17-G17</f>
        <v/>
      </c>
      <c r="I17" s="22" t="n">
        <v>18</v>
      </c>
      <c r="J17" s="24" t="n">
        <v>1.59</v>
      </c>
      <c r="K17" s="25">
        <f>H17*J17</f>
        <v/>
      </c>
      <c r="L17" s="26">
        <f>IFERROR(SUMIFS(Sales!$D$5:$D$504,Sales!$B$5:$B$504,$A17,Sales!$A$5:$A$504,"&gt;="&amp;Setup!$B$5-Setup!$B$6,Sales!$A$5:$A$504,"&lt;="&amp;Setup!$B$5)/Setup!$B$6,0)</f>
        <v/>
      </c>
      <c r="M17" s="27">
        <f>IF(L17&lt;=0,999,H17/L17)</f>
        <v/>
      </c>
      <c r="N17" s="28">
        <f>IF(L17&lt;=0,"No recent sales",Setup!$B$5+M17)</f>
        <v/>
      </c>
      <c r="O17" s="23">
        <f>Setup!$B$11</f>
        <v/>
      </c>
      <c r="P17" s="23">
        <f>ROUNDUP(L17*Setup!$B$12,0)</f>
        <v/>
      </c>
      <c r="Q17" s="23">
        <f>IF(MAX(0,ROUNDUP((L17*(O17+Setup!$B$12))-H17,0))=0,0,CEILING(MAX(0,ROUNDUP((L17*(O17+Setup!$B$12))-H17,0)),Setup!$B$13))</f>
        <v/>
      </c>
      <c r="R17" s="28">
        <f>IF(L17&lt;=0,"No sales signal",N17-O17)</f>
        <v/>
      </c>
      <c r="S17" s="29">
        <f>IF(H17&lt;=0,"Order now",IF(R17="No sales signal","No action",IF(R17&lt;=Setup!$B$5,"Order now",IF(R17&lt;=Setup!$B$5+7,"Order this week",IF(H17&lt;=I17,"Plan reorder","No action")))))</f>
        <v/>
      </c>
      <c r="T17" s="29">
        <f>IF(H17&lt;=0,"Out of stock",IF(H17&lt;=I17,"Reorder soon","Healthy"))</f>
        <v/>
      </c>
      <c r="U17" s="30" t="inlineStr">
        <is>
          <t>Sewn binding notebook / batch 1</t>
        </is>
      </c>
    </row>
    <row r="18">
      <c r="A18" s="21" t="inlineStr">
        <is>
          <t>SKU-014</t>
        </is>
      </c>
      <c r="B18" s="21" t="inlineStr">
        <is>
          <t>A5 Notebook - Coral</t>
        </is>
      </c>
      <c r="C18" s="21" t="inlineStr">
        <is>
          <t>Stationery</t>
        </is>
      </c>
      <c r="D18" s="21" t="inlineStr">
        <is>
          <t>Paper Trail Co.</t>
        </is>
      </c>
      <c r="E18" s="22" t="n">
        <v>37</v>
      </c>
      <c r="F18" s="23">
        <f>SUMIFS(Purchases!$D$5:$D$304,Purchases!$B$5:$B$304,$A18)</f>
        <v/>
      </c>
      <c r="G18" s="23">
        <f>SUMIFS(Sales!$D$5:$D$504,Sales!$B$5:$B$504,$A18)</f>
        <v/>
      </c>
      <c r="H18" s="23">
        <f>E18+F18-G18</f>
        <v/>
      </c>
      <c r="I18" s="22" t="n">
        <v>19</v>
      </c>
      <c r="J18" s="24" t="n">
        <v>1.76</v>
      </c>
      <c r="K18" s="25">
        <f>H18*J18</f>
        <v/>
      </c>
      <c r="L18" s="26">
        <f>IFERROR(SUMIFS(Sales!$D$5:$D$504,Sales!$B$5:$B$504,$A18,Sales!$A$5:$A$504,"&gt;="&amp;Setup!$B$5-Setup!$B$6,Sales!$A$5:$A$504,"&lt;="&amp;Setup!$B$5)/Setup!$B$6,0)</f>
        <v/>
      </c>
      <c r="M18" s="27">
        <f>IF(L18&lt;=0,999,H18/L18)</f>
        <v/>
      </c>
      <c r="N18" s="28">
        <f>IF(L18&lt;=0,"No recent sales",Setup!$B$5+M18)</f>
        <v/>
      </c>
      <c r="O18" s="23">
        <f>Setup!$B$11</f>
        <v/>
      </c>
      <c r="P18" s="23">
        <f>ROUNDUP(L18*Setup!$B$12,0)</f>
        <v/>
      </c>
      <c r="Q18" s="23">
        <f>IF(MAX(0,ROUNDUP((L18*(O18+Setup!$B$12))-H18,0))=0,0,CEILING(MAX(0,ROUNDUP((L18*(O18+Setup!$B$12))-H18,0)),Setup!$B$13))</f>
        <v/>
      </c>
      <c r="R18" s="28">
        <f>IF(L18&lt;=0,"No sales signal",N18-O18)</f>
        <v/>
      </c>
      <c r="S18" s="29">
        <f>IF(H18&lt;=0,"Order now",IF(R18="No sales signal","No action",IF(R18&lt;=Setup!$B$5,"Order now",IF(R18&lt;=Setup!$B$5+7,"Order this week",IF(H18&lt;=I18,"Plan reorder","No action")))))</f>
        <v/>
      </c>
      <c r="T18" s="29">
        <f>IF(H18&lt;=0,"Out of stock",IF(H18&lt;=I18,"Reorder soon","Healthy"))</f>
        <v/>
      </c>
      <c r="U18" s="30" t="inlineStr">
        <is>
          <t>Sewn binding notebook / batch 1</t>
        </is>
      </c>
    </row>
    <row r="19">
      <c r="A19" s="21" t="inlineStr">
        <is>
          <t>SKU-015</t>
        </is>
      </c>
      <c r="B19" s="21" t="inlineStr">
        <is>
          <t>A5 Notebook - Natural</t>
        </is>
      </c>
      <c r="C19" s="21" t="inlineStr">
        <is>
          <t>Stationery</t>
        </is>
      </c>
      <c r="D19" s="21" t="inlineStr">
        <is>
          <t>Paper Trail Co.</t>
        </is>
      </c>
      <c r="E19" s="22" t="n">
        <v>39</v>
      </c>
      <c r="F19" s="23">
        <f>SUMIFS(Purchases!$D$5:$D$304,Purchases!$B$5:$B$304,$A19)</f>
        <v/>
      </c>
      <c r="G19" s="23">
        <f>SUMIFS(Sales!$D$5:$D$504,Sales!$B$5:$B$504,$A19)</f>
        <v/>
      </c>
      <c r="H19" s="23">
        <f>E19+F19-G19</f>
        <v/>
      </c>
      <c r="I19" s="22" t="n">
        <v>20</v>
      </c>
      <c r="J19" s="24" t="n">
        <v>1.93</v>
      </c>
      <c r="K19" s="25">
        <f>H19*J19</f>
        <v/>
      </c>
      <c r="L19" s="26">
        <f>IFERROR(SUMIFS(Sales!$D$5:$D$504,Sales!$B$5:$B$504,$A19,Sales!$A$5:$A$504,"&gt;="&amp;Setup!$B$5-Setup!$B$6,Sales!$A$5:$A$504,"&lt;="&amp;Setup!$B$5)/Setup!$B$6,0)</f>
        <v/>
      </c>
      <c r="M19" s="27">
        <f>IF(L19&lt;=0,999,H19/L19)</f>
        <v/>
      </c>
      <c r="N19" s="28">
        <f>IF(L19&lt;=0,"No recent sales",Setup!$B$5+M19)</f>
        <v/>
      </c>
      <c r="O19" s="23">
        <f>Setup!$B$11</f>
        <v/>
      </c>
      <c r="P19" s="23">
        <f>ROUNDUP(L19*Setup!$B$12,0)</f>
        <v/>
      </c>
      <c r="Q19" s="23">
        <f>IF(MAX(0,ROUNDUP((L19*(O19+Setup!$B$12))-H19,0))=0,0,CEILING(MAX(0,ROUNDUP((L19*(O19+Setup!$B$12))-H19,0)),Setup!$B$13))</f>
        <v/>
      </c>
      <c r="R19" s="28">
        <f>IF(L19&lt;=0,"No sales signal",N19-O19)</f>
        <v/>
      </c>
      <c r="S19" s="29">
        <f>IF(H19&lt;=0,"Order now",IF(R19="No sales signal","No action",IF(R19&lt;=Setup!$B$5,"Order now",IF(R19&lt;=Setup!$B$5+7,"Order this week",IF(H19&lt;=I19,"Plan reorder","No action")))))</f>
        <v/>
      </c>
      <c r="T19" s="29">
        <f>IF(H19&lt;=0,"Out of stock",IF(H19&lt;=I19,"Reorder soon","Healthy"))</f>
        <v/>
      </c>
      <c r="U19" s="30" t="inlineStr">
        <is>
          <t>Sewn binding notebook / batch 1</t>
        </is>
      </c>
    </row>
    <row r="20">
      <c r="A20" s="21" t="inlineStr">
        <is>
          <t>SKU-016</t>
        </is>
      </c>
      <c r="B20" s="21" t="inlineStr">
        <is>
          <t>Sticker Pack - Sand</t>
        </is>
      </c>
      <c r="C20" s="21" t="inlineStr">
        <is>
          <t>Stationery</t>
        </is>
      </c>
      <c r="D20" s="21" t="inlineStr">
        <is>
          <t>Paper Trail Co.</t>
        </is>
      </c>
      <c r="E20" s="22" t="n">
        <v>49</v>
      </c>
      <c r="F20" s="23">
        <f>SUMIFS(Purchases!$D$5:$D$304,Purchases!$B$5:$B$304,$A20)</f>
        <v/>
      </c>
      <c r="G20" s="23">
        <f>SUMIFS(Sales!$D$5:$D$504,Sales!$B$5:$B$504,$A20)</f>
        <v/>
      </c>
      <c r="H20" s="23">
        <f>E20+F20-G20</f>
        <v/>
      </c>
      <c r="I20" s="22" t="n">
        <v>31</v>
      </c>
      <c r="J20" s="24" t="n">
        <v>0.22</v>
      </c>
      <c r="K20" s="25">
        <f>H20*J20</f>
        <v/>
      </c>
      <c r="L20" s="26">
        <f>IFERROR(SUMIFS(Sales!$D$5:$D$504,Sales!$B$5:$B$504,$A20,Sales!$A$5:$A$504,"&gt;="&amp;Setup!$B$5-Setup!$B$6,Sales!$A$5:$A$504,"&lt;="&amp;Setup!$B$5)/Setup!$B$6,0)</f>
        <v/>
      </c>
      <c r="M20" s="27">
        <f>IF(L20&lt;=0,999,H20/L20)</f>
        <v/>
      </c>
      <c r="N20" s="28">
        <f>IF(L20&lt;=0,"No recent sales",Setup!$B$5+M20)</f>
        <v/>
      </c>
      <c r="O20" s="23">
        <f>Setup!$B$11</f>
        <v/>
      </c>
      <c r="P20" s="23">
        <f>ROUNDUP(L20*Setup!$B$12,0)</f>
        <v/>
      </c>
      <c r="Q20" s="23">
        <f>IF(MAX(0,ROUNDUP((L20*(O20+Setup!$B$12))-H20,0))=0,0,CEILING(MAX(0,ROUNDUP((L20*(O20+Setup!$B$12))-H20,0)),Setup!$B$13))</f>
        <v/>
      </c>
      <c r="R20" s="28">
        <f>IF(L20&lt;=0,"No sales signal",N20-O20)</f>
        <v/>
      </c>
      <c r="S20" s="29">
        <f>IF(H20&lt;=0,"Order now",IF(R20="No sales signal","No action",IF(R20&lt;=Setup!$B$5,"Order now",IF(R20&lt;=Setup!$B$5+7,"Order this week",IF(H20&lt;=I20,"Plan reorder","No action")))))</f>
        <v/>
      </c>
      <c r="T20" s="29">
        <f>IF(H20&lt;=0,"Out of stock",IF(H20&lt;=I20,"Reorder soon","Healthy"))</f>
        <v/>
      </c>
      <c r="U20" s="30" t="inlineStr">
        <is>
          <t>Vinyl decal pack / batch 1</t>
        </is>
      </c>
    </row>
    <row r="21">
      <c r="A21" s="21" t="inlineStr">
        <is>
          <t>SKU-017</t>
        </is>
      </c>
      <c r="B21" s="21" t="inlineStr">
        <is>
          <t>Sticker Pack - Olive</t>
        </is>
      </c>
      <c r="C21" s="21" t="inlineStr">
        <is>
          <t>Stationery</t>
        </is>
      </c>
      <c r="D21" s="21" t="inlineStr">
        <is>
          <t>Paper Trail Co.</t>
        </is>
      </c>
      <c r="E21" s="22" t="n">
        <v>51</v>
      </c>
      <c r="F21" s="23">
        <f>SUMIFS(Purchases!$D$5:$D$304,Purchases!$B$5:$B$304,$A21)</f>
        <v/>
      </c>
      <c r="G21" s="23">
        <f>SUMIFS(Sales!$D$5:$D$504,Sales!$B$5:$B$504,$A21)</f>
        <v/>
      </c>
      <c r="H21" s="23">
        <f>E21+F21-G21</f>
        <v/>
      </c>
      <c r="I21" s="22" t="n">
        <v>28</v>
      </c>
      <c r="J21" s="24" t="n">
        <v>0.39</v>
      </c>
      <c r="K21" s="25">
        <f>H21*J21</f>
        <v/>
      </c>
      <c r="L21" s="26">
        <f>IFERROR(SUMIFS(Sales!$D$5:$D$504,Sales!$B$5:$B$504,$A21,Sales!$A$5:$A$504,"&gt;="&amp;Setup!$B$5-Setup!$B$6,Sales!$A$5:$A$504,"&lt;="&amp;Setup!$B$5)/Setup!$B$6,0)</f>
        <v/>
      </c>
      <c r="M21" s="27">
        <f>IF(L21&lt;=0,999,H21/L21)</f>
        <v/>
      </c>
      <c r="N21" s="28">
        <f>IF(L21&lt;=0,"No recent sales",Setup!$B$5+M21)</f>
        <v/>
      </c>
      <c r="O21" s="23">
        <f>Setup!$B$11</f>
        <v/>
      </c>
      <c r="P21" s="23">
        <f>ROUNDUP(L21*Setup!$B$12,0)</f>
        <v/>
      </c>
      <c r="Q21" s="23">
        <f>IF(MAX(0,ROUNDUP((L21*(O21+Setup!$B$12))-H21,0))=0,0,CEILING(MAX(0,ROUNDUP((L21*(O21+Setup!$B$12))-H21,0)),Setup!$B$13))</f>
        <v/>
      </c>
      <c r="R21" s="28">
        <f>IF(L21&lt;=0,"No sales signal",N21-O21)</f>
        <v/>
      </c>
      <c r="S21" s="29">
        <f>IF(H21&lt;=0,"Order now",IF(R21="No sales signal","No action",IF(R21&lt;=Setup!$B$5,"Order now",IF(R21&lt;=Setup!$B$5+7,"Order this week",IF(H21&lt;=I21,"Plan reorder","No action")))))</f>
        <v/>
      </c>
      <c r="T21" s="29">
        <f>IF(H21&lt;=0,"Out of stock",IF(H21&lt;=I21,"Reorder soon","Healthy"))</f>
        <v/>
      </c>
      <c r="U21" s="30" t="inlineStr">
        <is>
          <t>Vinyl decal pack / batch 1</t>
        </is>
      </c>
    </row>
    <row r="22">
      <c r="A22" s="21" t="inlineStr">
        <is>
          <t>SKU-018</t>
        </is>
      </c>
      <c r="B22" s="21" t="inlineStr">
        <is>
          <t>Sticker Pack - Slate</t>
        </is>
      </c>
      <c r="C22" s="21" t="inlineStr">
        <is>
          <t>Stationery</t>
        </is>
      </c>
      <c r="D22" s="21" t="inlineStr">
        <is>
          <t>Paper Trail Co.</t>
        </is>
      </c>
      <c r="E22" s="22" t="n">
        <v>53</v>
      </c>
      <c r="F22" s="23">
        <f>SUMIFS(Purchases!$D$5:$D$304,Purchases!$B$5:$B$304,$A22)</f>
        <v/>
      </c>
      <c r="G22" s="23">
        <f>SUMIFS(Sales!$D$5:$D$504,Sales!$B$5:$B$504,$A22)</f>
        <v/>
      </c>
      <c r="H22" s="23">
        <f>E22+F22-G22</f>
        <v/>
      </c>
      <c r="I22" s="22" t="n">
        <v>29</v>
      </c>
      <c r="J22" s="24" t="n">
        <v>0.5600000000000001</v>
      </c>
      <c r="K22" s="25">
        <f>H22*J22</f>
        <v/>
      </c>
      <c r="L22" s="26">
        <f>IFERROR(SUMIFS(Sales!$D$5:$D$504,Sales!$B$5:$B$504,$A22,Sales!$A$5:$A$504,"&gt;="&amp;Setup!$B$5-Setup!$B$6,Sales!$A$5:$A$504,"&lt;="&amp;Setup!$B$5)/Setup!$B$6,0)</f>
        <v/>
      </c>
      <c r="M22" s="27">
        <f>IF(L22&lt;=0,999,H22/L22)</f>
        <v/>
      </c>
      <c r="N22" s="28">
        <f>IF(L22&lt;=0,"No recent sales",Setup!$B$5+M22)</f>
        <v/>
      </c>
      <c r="O22" s="23">
        <f>Setup!$B$11</f>
        <v/>
      </c>
      <c r="P22" s="23">
        <f>ROUNDUP(L22*Setup!$B$12,0)</f>
        <v/>
      </c>
      <c r="Q22" s="23">
        <f>IF(MAX(0,ROUNDUP((L22*(O22+Setup!$B$12))-H22,0))=0,0,CEILING(MAX(0,ROUNDUP((L22*(O22+Setup!$B$12))-H22,0)),Setup!$B$13))</f>
        <v/>
      </c>
      <c r="R22" s="28">
        <f>IF(L22&lt;=0,"No sales signal",N22-O22)</f>
        <v/>
      </c>
      <c r="S22" s="29">
        <f>IF(H22&lt;=0,"Order now",IF(R22="No sales signal","No action",IF(R22&lt;=Setup!$B$5,"Order now",IF(R22&lt;=Setup!$B$5+7,"Order this week",IF(H22&lt;=I22,"Plan reorder","No action")))))</f>
        <v/>
      </c>
      <c r="T22" s="29">
        <f>IF(H22&lt;=0,"Out of stock",IF(H22&lt;=I22,"Reorder soon","Healthy"))</f>
        <v/>
      </c>
      <c r="U22" s="30" t="inlineStr">
        <is>
          <t>Vinyl decal pack / batch 1</t>
        </is>
      </c>
    </row>
    <row r="23">
      <c r="A23" s="21" t="inlineStr">
        <is>
          <t>SKU-019</t>
        </is>
      </c>
      <c r="B23" s="21" t="inlineStr">
        <is>
          <t>Sticker Pack - Coral</t>
        </is>
      </c>
      <c r="C23" s="21" t="inlineStr">
        <is>
          <t>Stationery</t>
        </is>
      </c>
      <c r="D23" s="21" t="inlineStr">
        <is>
          <t>Paper Trail Co.</t>
        </is>
      </c>
      <c r="E23" s="22" t="n">
        <v>43</v>
      </c>
      <c r="F23" s="23">
        <f>SUMIFS(Purchases!$D$5:$D$304,Purchases!$B$5:$B$304,$A23)</f>
        <v/>
      </c>
      <c r="G23" s="23">
        <f>SUMIFS(Sales!$D$5:$D$504,Sales!$B$5:$B$504,$A23)</f>
        <v/>
      </c>
      <c r="H23" s="23">
        <f>E23+F23-G23</f>
        <v/>
      </c>
      <c r="I23" s="22" t="n">
        <v>30</v>
      </c>
      <c r="J23" s="24" t="n">
        <v>0.73</v>
      </c>
      <c r="K23" s="25">
        <f>H23*J23</f>
        <v/>
      </c>
      <c r="L23" s="26">
        <f>IFERROR(SUMIFS(Sales!$D$5:$D$504,Sales!$B$5:$B$504,$A23,Sales!$A$5:$A$504,"&gt;="&amp;Setup!$B$5-Setup!$B$6,Sales!$A$5:$A$504,"&lt;="&amp;Setup!$B$5)/Setup!$B$6,0)</f>
        <v/>
      </c>
      <c r="M23" s="27">
        <f>IF(L23&lt;=0,999,H23/L23)</f>
        <v/>
      </c>
      <c r="N23" s="28">
        <f>IF(L23&lt;=0,"No recent sales",Setup!$B$5+M23)</f>
        <v/>
      </c>
      <c r="O23" s="23">
        <f>Setup!$B$11</f>
        <v/>
      </c>
      <c r="P23" s="23">
        <f>ROUNDUP(L23*Setup!$B$12,0)</f>
        <v/>
      </c>
      <c r="Q23" s="23">
        <f>IF(MAX(0,ROUNDUP((L23*(O23+Setup!$B$12))-H23,0))=0,0,CEILING(MAX(0,ROUNDUP((L23*(O23+Setup!$B$12))-H23,0)),Setup!$B$13))</f>
        <v/>
      </c>
      <c r="R23" s="28">
        <f>IF(L23&lt;=0,"No sales signal",N23-O23)</f>
        <v/>
      </c>
      <c r="S23" s="29">
        <f>IF(H23&lt;=0,"Order now",IF(R23="No sales signal","No action",IF(R23&lt;=Setup!$B$5,"Order now",IF(R23&lt;=Setup!$B$5+7,"Order this week",IF(H23&lt;=I23,"Plan reorder","No action")))))</f>
        <v/>
      </c>
      <c r="T23" s="29">
        <f>IF(H23&lt;=0,"Out of stock",IF(H23&lt;=I23,"Reorder soon","Healthy"))</f>
        <v/>
      </c>
      <c r="U23" s="30" t="inlineStr">
        <is>
          <t>Vinyl decal pack / batch 1</t>
        </is>
      </c>
    </row>
    <row r="24">
      <c r="A24" s="21" t="inlineStr">
        <is>
          <t>SKU-020</t>
        </is>
      </c>
      <c r="B24" s="21" t="inlineStr">
        <is>
          <t>Sticker Pack - Natural</t>
        </is>
      </c>
      <c r="C24" s="21" t="inlineStr">
        <is>
          <t>Stationery</t>
        </is>
      </c>
      <c r="D24" s="21" t="inlineStr">
        <is>
          <t>Paper Trail Co.</t>
        </is>
      </c>
      <c r="E24" s="22" t="n">
        <v>45</v>
      </c>
      <c r="F24" s="23">
        <f>SUMIFS(Purchases!$D$5:$D$304,Purchases!$B$5:$B$304,$A24)</f>
        <v/>
      </c>
      <c r="G24" s="23">
        <f>SUMIFS(Sales!$D$5:$D$504,Sales!$B$5:$B$504,$A24)</f>
        <v/>
      </c>
      <c r="H24" s="23">
        <f>E24+F24-G24</f>
        <v/>
      </c>
      <c r="I24" s="22" t="n">
        <v>31</v>
      </c>
      <c r="J24" s="24" t="n">
        <v>0.9</v>
      </c>
      <c r="K24" s="25">
        <f>H24*J24</f>
        <v/>
      </c>
      <c r="L24" s="26">
        <f>IFERROR(SUMIFS(Sales!$D$5:$D$504,Sales!$B$5:$B$504,$A24,Sales!$A$5:$A$504,"&gt;="&amp;Setup!$B$5-Setup!$B$6,Sales!$A$5:$A$504,"&lt;="&amp;Setup!$B$5)/Setup!$B$6,0)</f>
        <v/>
      </c>
      <c r="M24" s="27">
        <f>IF(L24&lt;=0,999,H24/L24)</f>
        <v/>
      </c>
      <c r="N24" s="28">
        <f>IF(L24&lt;=0,"No recent sales",Setup!$B$5+M24)</f>
        <v/>
      </c>
      <c r="O24" s="23">
        <f>Setup!$B$11</f>
        <v/>
      </c>
      <c r="P24" s="23">
        <f>ROUNDUP(L24*Setup!$B$12,0)</f>
        <v/>
      </c>
      <c r="Q24" s="23">
        <f>IF(MAX(0,ROUNDUP((L24*(O24+Setup!$B$12))-H24,0))=0,0,CEILING(MAX(0,ROUNDUP((L24*(O24+Setup!$B$12))-H24,0)),Setup!$B$13))</f>
        <v/>
      </c>
      <c r="R24" s="28">
        <f>IF(L24&lt;=0,"No sales signal",N24-O24)</f>
        <v/>
      </c>
      <c r="S24" s="29">
        <f>IF(H24&lt;=0,"Order now",IF(R24="No sales signal","No action",IF(R24&lt;=Setup!$B$5,"Order now",IF(R24&lt;=Setup!$B$5+7,"Order this week",IF(H24&lt;=I24,"Plan reorder","No action")))))</f>
        <v/>
      </c>
      <c r="T24" s="29">
        <f>IF(H24&lt;=0,"Out of stock",IF(H24&lt;=I24,"Reorder soon","Healthy"))</f>
        <v/>
      </c>
      <c r="U24" s="30" t="inlineStr">
        <is>
          <t>Vinyl decal pack / batch 1</t>
        </is>
      </c>
    </row>
    <row r="25">
      <c r="A25" s="21" t="inlineStr">
        <is>
          <t>SKU-021</t>
        </is>
      </c>
      <c r="B25" s="21" t="inlineStr">
        <is>
          <t>Soy Candle - Sand</t>
        </is>
      </c>
      <c r="C25" s="21" t="inlineStr">
        <is>
          <t>Home</t>
        </is>
      </c>
      <c r="D25" s="21" t="inlineStr">
        <is>
          <t>Northstar Wholesale</t>
        </is>
      </c>
      <c r="E25" s="22" t="n">
        <v>22</v>
      </c>
      <c r="F25" s="23">
        <f>SUMIFS(Purchases!$D$5:$D$304,Purchases!$B$5:$B$304,$A25)</f>
        <v/>
      </c>
      <c r="G25" s="23">
        <f>SUMIFS(Sales!$D$5:$D$504,Sales!$B$5:$B$504,$A25)</f>
        <v/>
      </c>
      <c r="H25" s="23">
        <f>E25+F25-G25</f>
        <v/>
      </c>
      <c r="I25" s="22" t="n">
        <v>8</v>
      </c>
      <c r="J25" s="24" t="n">
        <v>3.1</v>
      </c>
      <c r="K25" s="25">
        <f>H25*J25</f>
        <v/>
      </c>
      <c r="L25" s="26">
        <f>IFERROR(SUMIFS(Sales!$D$5:$D$504,Sales!$B$5:$B$504,$A25,Sales!$A$5:$A$504,"&gt;="&amp;Setup!$B$5-Setup!$B$6,Sales!$A$5:$A$504,"&lt;="&amp;Setup!$B$5)/Setup!$B$6,0)</f>
        <v/>
      </c>
      <c r="M25" s="27">
        <f>IF(L25&lt;=0,999,H25/L25)</f>
        <v/>
      </c>
      <c r="N25" s="28">
        <f>IF(L25&lt;=0,"No recent sales",Setup!$B$5+M25)</f>
        <v/>
      </c>
      <c r="O25" s="23">
        <f>Setup!$B$11</f>
        <v/>
      </c>
      <c r="P25" s="23">
        <f>ROUNDUP(L25*Setup!$B$12,0)</f>
        <v/>
      </c>
      <c r="Q25" s="23">
        <f>IF(MAX(0,ROUNDUP((L25*(O25+Setup!$B$12))-H25,0))=0,0,CEILING(MAX(0,ROUNDUP((L25*(O25+Setup!$B$12))-H25,0)),Setup!$B$13))</f>
        <v/>
      </c>
      <c r="R25" s="28">
        <f>IF(L25&lt;=0,"No sales signal",N25-O25)</f>
        <v/>
      </c>
      <c r="S25" s="29">
        <f>IF(H25&lt;=0,"Order now",IF(R25="No sales signal","No action",IF(R25&lt;=Setup!$B$5,"Order now",IF(R25&lt;=Setup!$B$5+7,"Order this week",IF(H25&lt;=I25,"Plan reorder","No action")))))</f>
        <v/>
      </c>
      <c r="T25" s="29">
        <f>IF(H25&lt;=0,"Out of stock",IF(H25&lt;=I25,"Reorder soon","Healthy"))</f>
        <v/>
      </c>
      <c r="U25" s="30" t="inlineStr">
        <is>
          <t>8 oz amber jar / batch 2</t>
        </is>
      </c>
    </row>
    <row r="26">
      <c r="A26" s="21" t="inlineStr">
        <is>
          <t>SKU-022</t>
        </is>
      </c>
      <c r="B26" s="21" t="inlineStr">
        <is>
          <t>Soy Candle - Olive</t>
        </is>
      </c>
      <c r="C26" s="21" t="inlineStr">
        <is>
          <t>Home</t>
        </is>
      </c>
      <c r="D26" s="21" t="inlineStr">
        <is>
          <t>Northstar Wholesale</t>
        </is>
      </c>
      <c r="E26" s="22" t="n">
        <v>24</v>
      </c>
      <c r="F26" s="23">
        <f>SUMIFS(Purchases!$D$5:$D$304,Purchases!$B$5:$B$304,$A26)</f>
        <v/>
      </c>
      <c r="G26" s="23">
        <f>SUMIFS(Sales!$D$5:$D$504,Sales!$B$5:$B$504,$A26)</f>
        <v/>
      </c>
      <c r="H26" s="23">
        <f>E26+F26-G26</f>
        <v/>
      </c>
      <c r="I26" s="22" t="n">
        <v>9</v>
      </c>
      <c r="J26" s="24" t="n">
        <v>3.27</v>
      </c>
      <c r="K26" s="25">
        <f>H26*J26</f>
        <v/>
      </c>
      <c r="L26" s="26">
        <f>IFERROR(SUMIFS(Sales!$D$5:$D$504,Sales!$B$5:$B$504,$A26,Sales!$A$5:$A$504,"&gt;="&amp;Setup!$B$5-Setup!$B$6,Sales!$A$5:$A$504,"&lt;="&amp;Setup!$B$5)/Setup!$B$6,0)</f>
        <v/>
      </c>
      <c r="M26" s="27">
        <f>IF(L26&lt;=0,999,H26/L26)</f>
        <v/>
      </c>
      <c r="N26" s="28">
        <f>IF(L26&lt;=0,"No recent sales",Setup!$B$5+M26)</f>
        <v/>
      </c>
      <c r="O26" s="23">
        <f>Setup!$B$11</f>
        <v/>
      </c>
      <c r="P26" s="23">
        <f>ROUNDUP(L26*Setup!$B$12,0)</f>
        <v/>
      </c>
      <c r="Q26" s="23">
        <f>IF(MAX(0,ROUNDUP((L26*(O26+Setup!$B$12))-H26,0))=0,0,CEILING(MAX(0,ROUNDUP((L26*(O26+Setup!$B$12))-H26,0)),Setup!$B$13))</f>
        <v/>
      </c>
      <c r="R26" s="28">
        <f>IF(L26&lt;=0,"No sales signal",N26-O26)</f>
        <v/>
      </c>
      <c r="S26" s="29">
        <f>IF(H26&lt;=0,"Order now",IF(R26="No sales signal","No action",IF(R26&lt;=Setup!$B$5,"Order now",IF(R26&lt;=Setup!$B$5+7,"Order this week",IF(H26&lt;=I26,"Plan reorder","No action")))))</f>
        <v/>
      </c>
      <c r="T26" s="29">
        <f>IF(H26&lt;=0,"Out of stock",IF(H26&lt;=I26,"Reorder soon","Healthy"))</f>
        <v/>
      </c>
      <c r="U26" s="30" t="inlineStr">
        <is>
          <t>8 oz amber jar / batch 2</t>
        </is>
      </c>
    </row>
    <row r="27">
      <c r="A27" s="21" t="inlineStr">
        <is>
          <t>SKU-023</t>
        </is>
      </c>
      <c r="B27" s="21" t="inlineStr">
        <is>
          <t>Soy Candle - Slate</t>
        </is>
      </c>
      <c r="C27" s="21" t="inlineStr">
        <is>
          <t>Home</t>
        </is>
      </c>
      <c r="D27" s="21" t="inlineStr">
        <is>
          <t>Northstar Wholesale</t>
        </is>
      </c>
      <c r="E27" s="22" t="n">
        <v>26</v>
      </c>
      <c r="F27" s="23">
        <f>SUMIFS(Purchases!$D$5:$D$304,Purchases!$B$5:$B$304,$A27)</f>
        <v/>
      </c>
      <c r="G27" s="23">
        <f>SUMIFS(Sales!$D$5:$D$504,Sales!$B$5:$B$504,$A27)</f>
        <v/>
      </c>
      <c r="H27" s="23">
        <f>E27+F27-G27</f>
        <v/>
      </c>
      <c r="I27" s="22" t="n">
        <v>10</v>
      </c>
      <c r="J27" s="24" t="n">
        <v>3.44</v>
      </c>
      <c r="K27" s="25">
        <f>H27*J27</f>
        <v/>
      </c>
      <c r="L27" s="26">
        <f>IFERROR(SUMIFS(Sales!$D$5:$D$504,Sales!$B$5:$B$504,$A27,Sales!$A$5:$A$504,"&gt;="&amp;Setup!$B$5-Setup!$B$6,Sales!$A$5:$A$504,"&lt;="&amp;Setup!$B$5)/Setup!$B$6,0)</f>
        <v/>
      </c>
      <c r="M27" s="27">
        <f>IF(L27&lt;=0,999,H27/L27)</f>
        <v/>
      </c>
      <c r="N27" s="28">
        <f>IF(L27&lt;=0,"No recent sales",Setup!$B$5+M27)</f>
        <v/>
      </c>
      <c r="O27" s="23">
        <f>Setup!$B$11</f>
        <v/>
      </c>
      <c r="P27" s="23">
        <f>ROUNDUP(L27*Setup!$B$12,0)</f>
        <v/>
      </c>
      <c r="Q27" s="23">
        <f>IF(MAX(0,ROUNDUP((L27*(O27+Setup!$B$12))-H27,0))=0,0,CEILING(MAX(0,ROUNDUP((L27*(O27+Setup!$B$12))-H27,0)),Setup!$B$13))</f>
        <v/>
      </c>
      <c r="R27" s="28">
        <f>IF(L27&lt;=0,"No sales signal",N27-O27)</f>
        <v/>
      </c>
      <c r="S27" s="29">
        <f>IF(H27&lt;=0,"Order now",IF(R27="No sales signal","No action",IF(R27&lt;=Setup!$B$5,"Order now",IF(R27&lt;=Setup!$B$5+7,"Order this week",IF(H27&lt;=I27,"Plan reorder","No action")))))</f>
        <v/>
      </c>
      <c r="T27" s="29">
        <f>IF(H27&lt;=0,"Out of stock",IF(H27&lt;=I27,"Reorder soon","Healthy"))</f>
        <v/>
      </c>
      <c r="U27" s="30" t="inlineStr">
        <is>
          <t>8 oz amber jar / batch 2</t>
        </is>
      </c>
    </row>
    <row r="28">
      <c r="A28" s="21" t="inlineStr">
        <is>
          <t>SKU-024</t>
        </is>
      </c>
      <c r="B28" s="21" t="inlineStr">
        <is>
          <t>Soy Candle - Coral</t>
        </is>
      </c>
      <c r="C28" s="21" t="inlineStr">
        <is>
          <t>Home</t>
        </is>
      </c>
      <c r="D28" s="21" t="inlineStr">
        <is>
          <t>Northstar Wholesale</t>
        </is>
      </c>
      <c r="E28" s="22" t="n">
        <v>28</v>
      </c>
      <c r="F28" s="23">
        <f>SUMIFS(Purchases!$D$5:$D$304,Purchases!$B$5:$B$304,$A28)</f>
        <v/>
      </c>
      <c r="G28" s="23">
        <f>SUMIFS(Sales!$D$5:$D$504,Sales!$B$5:$B$504,$A28)</f>
        <v/>
      </c>
      <c r="H28" s="23">
        <f>E28+F28-G28</f>
        <v/>
      </c>
      <c r="I28" s="22" t="n">
        <v>11</v>
      </c>
      <c r="J28" s="24" t="n">
        <v>3.61</v>
      </c>
      <c r="K28" s="25">
        <f>H28*J28</f>
        <v/>
      </c>
      <c r="L28" s="26">
        <f>IFERROR(SUMIFS(Sales!$D$5:$D$504,Sales!$B$5:$B$504,$A28,Sales!$A$5:$A$504,"&gt;="&amp;Setup!$B$5-Setup!$B$6,Sales!$A$5:$A$504,"&lt;="&amp;Setup!$B$5)/Setup!$B$6,0)</f>
        <v/>
      </c>
      <c r="M28" s="27">
        <f>IF(L28&lt;=0,999,H28/L28)</f>
        <v/>
      </c>
      <c r="N28" s="28">
        <f>IF(L28&lt;=0,"No recent sales",Setup!$B$5+M28)</f>
        <v/>
      </c>
      <c r="O28" s="23">
        <f>Setup!$B$11</f>
        <v/>
      </c>
      <c r="P28" s="23">
        <f>ROUNDUP(L28*Setup!$B$12,0)</f>
        <v/>
      </c>
      <c r="Q28" s="23">
        <f>IF(MAX(0,ROUNDUP((L28*(O28+Setup!$B$12))-H28,0))=0,0,CEILING(MAX(0,ROUNDUP((L28*(O28+Setup!$B$12))-H28,0)),Setup!$B$13))</f>
        <v/>
      </c>
      <c r="R28" s="28">
        <f>IF(L28&lt;=0,"No sales signal",N28-O28)</f>
        <v/>
      </c>
      <c r="S28" s="29">
        <f>IF(H28&lt;=0,"Order now",IF(R28="No sales signal","No action",IF(R28&lt;=Setup!$B$5,"Order now",IF(R28&lt;=Setup!$B$5+7,"Order this week",IF(H28&lt;=I28,"Plan reorder","No action")))))</f>
        <v/>
      </c>
      <c r="T28" s="29">
        <f>IF(H28&lt;=0,"Out of stock",IF(H28&lt;=I28,"Reorder soon","Healthy"))</f>
        <v/>
      </c>
      <c r="U28" s="30" t="inlineStr">
        <is>
          <t>8 oz amber jar / batch 2</t>
        </is>
      </c>
    </row>
    <row r="29">
      <c r="A29" s="21" t="inlineStr">
        <is>
          <t>SKU-025</t>
        </is>
      </c>
      <c r="B29" s="21" t="inlineStr">
        <is>
          <t>Soy Candle - Natural</t>
        </is>
      </c>
      <c r="C29" s="21" t="inlineStr">
        <is>
          <t>Home</t>
        </is>
      </c>
      <c r="D29" s="21" t="inlineStr">
        <is>
          <t>Northstar Wholesale</t>
        </is>
      </c>
      <c r="E29" s="22" t="n">
        <v>18</v>
      </c>
      <c r="F29" s="23">
        <f>SUMIFS(Purchases!$D$5:$D$304,Purchases!$B$5:$B$304,$A29)</f>
        <v/>
      </c>
      <c r="G29" s="23">
        <f>SUMIFS(Sales!$D$5:$D$504,Sales!$B$5:$B$504,$A29)</f>
        <v/>
      </c>
      <c r="H29" s="23">
        <f>E29+F29-G29</f>
        <v/>
      </c>
      <c r="I29" s="22" t="n">
        <v>8</v>
      </c>
      <c r="J29" s="24" t="n">
        <v>3.78</v>
      </c>
      <c r="K29" s="25">
        <f>H29*J29</f>
        <v/>
      </c>
      <c r="L29" s="26">
        <f>IFERROR(SUMIFS(Sales!$D$5:$D$504,Sales!$B$5:$B$504,$A29,Sales!$A$5:$A$504,"&gt;="&amp;Setup!$B$5-Setup!$B$6,Sales!$A$5:$A$504,"&lt;="&amp;Setup!$B$5)/Setup!$B$6,0)</f>
        <v/>
      </c>
      <c r="M29" s="27">
        <f>IF(L29&lt;=0,999,H29/L29)</f>
        <v/>
      </c>
      <c r="N29" s="28">
        <f>IF(L29&lt;=0,"No recent sales",Setup!$B$5+M29)</f>
        <v/>
      </c>
      <c r="O29" s="23">
        <f>Setup!$B$11</f>
        <v/>
      </c>
      <c r="P29" s="23">
        <f>ROUNDUP(L29*Setup!$B$12,0)</f>
        <v/>
      </c>
      <c r="Q29" s="23">
        <f>IF(MAX(0,ROUNDUP((L29*(O29+Setup!$B$12))-H29,0))=0,0,CEILING(MAX(0,ROUNDUP((L29*(O29+Setup!$B$12))-H29,0)),Setup!$B$13))</f>
        <v/>
      </c>
      <c r="R29" s="28">
        <f>IF(L29&lt;=0,"No sales signal",N29-O29)</f>
        <v/>
      </c>
      <c r="S29" s="29">
        <f>IF(H29&lt;=0,"Order now",IF(R29="No sales signal","No action",IF(R29&lt;=Setup!$B$5,"Order now",IF(R29&lt;=Setup!$B$5+7,"Order this week",IF(H29&lt;=I29,"Plan reorder","No action")))))</f>
        <v/>
      </c>
      <c r="T29" s="29">
        <f>IF(H29&lt;=0,"Out of stock",IF(H29&lt;=I29,"Reorder soon","Healthy"))</f>
        <v/>
      </c>
      <c r="U29" s="30" t="inlineStr">
        <is>
          <t>8 oz amber jar / batch 2</t>
        </is>
      </c>
    </row>
    <row r="30">
      <c r="A30" s="21" t="inlineStr">
        <is>
          <t>SKU-026</t>
        </is>
      </c>
      <c r="B30" s="21" t="inlineStr">
        <is>
          <t>Keychain - Sand</t>
        </is>
      </c>
      <c r="C30" s="21" t="inlineStr">
        <is>
          <t>Accessories</t>
        </is>
      </c>
      <c r="D30" s="21" t="inlineStr">
        <is>
          <t>Luma Imports</t>
        </is>
      </c>
      <c r="E30" s="22" t="n">
        <v>32</v>
      </c>
      <c r="F30" s="23">
        <f>SUMIFS(Purchases!$D$5:$D$304,Purchases!$B$5:$B$304,$A30)</f>
        <v/>
      </c>
      <c r="G30" s="23">
        <f>SUMIFS(Sales!$D$5:$D$504,Sales!$B$5:$B$504,$A30)</f>
        <v/>
      </c>
      <c r="H30" s="23">
        <f>E30+F30-G30</f>
        <v/>
      </c>
      <c r="I30" s="22" t="n">
        <v>15</v>
      </c>
      <c r="J30" s="24" t="n">
        <v>0.5600000000000001</v>
      </c>
      <c r="K30" s="25">
        <f>H30*J30</f>
        <v/>
      </c>
      <c r="L30" s="26">
        <f>IFERROR(SUMIFS(Sales!$D$5:$D$504,Sales!$B$5:$B$504,$A30,Sales!$A$5:$A$504,"&gt;="&amp;Setup!$B$5-Setup!$B$6,Sales!$A$5:$A$504,"&lt;="&amp;Setup!$B$5)/Setup!$B$6,0)</f>
        <v/>
      </c>
      <c r="M30" s="27">
        <f>IF(L30&lt;=0,999,H30/L30)</f>
        <v/>
      </c>
      <c r="N30" s="28">
        <f>IF(L30&lt;=0,"No recent sales",Setup!$B$5+M30)</f>
        <v/>
      </c>
      <c r="O30" s="23">
        <f>Setup!$B$11</f>
        <v/>
      </c>
      <c r="P30" s="23">
        <f>ROUNDUP(L30*Setup!$B$12,0)</f>
        <v/>
      </c>
      <c r="Q30" s="23">
        <f>IF(MAX(0,ROUNDUP((L30*(O30+Setup!$B$12))-H30,0))=0,0,CEILING(MAX(0,ROUNDUP((L30*(O30+Setup!$B$12))-H30,0)),Setup!$B$13))</f>
        <v/>
      </c>
      <c r="R30" s="28">
        <f>IF(L30&lt;=0,"No sales signal",N30-O30)</f>
        <v/>
      </c>
      <c r="S30" s="29">
        <f>IF(H30&lt;=0,"Order now",IF(R30="No sales signal","No action",IF(R30&lt;=Setup!$B$5,"Order now",IF(R30&lt;=Setup!$B$5+7,"Order this week",IF(H30&lt;=I30,"Plan reorder","No action")))))</f>
        <v/>
      </c>
      <c r="T30" s="29">
        <f>IF(H30&lt;=0,"Out of stock",IF(H30&lt;=I30,"Reorder soon","Healthy"))</f>
        <v/>
      </c>
      <c r="U30" s="30" t="inlineStr">
        <is>
          <t>Metal logo keychain / batch 2</t>
        </is>
      </c>
    </row>
    <row r="31">
      <c r="A31" s="21" t="inlineStr">
        <is>
          <t>SKU-027</t>
        </is>
      </c>
      <c r="B31" s="21" t="inlineStr">
        <is>
          <t>Keychain - Olive</t>
        </is>
      </c>
      <c r="C31" s="21" t="inlineStr">
        <is>
          <t>Accessories</t>
        </is>
      </c>
      <c r="D31" s="21" t="inlineStr">
        <is>
          <t>Luma Imports</t>
        </is>
      </c>
      <c r="E31" s="22" t="n">
        <v>34</v>
      </c>
      <c r="F31" s="23">
        <f>SUMIFS(Purchases!$D$5:$D$304,Purchases!$B$5:$B$304,$A31)</f>
        <v/>
      </c>
      <c r="G31" s="23">
        <f>SUMIFS(Sales!$D$5:$D$504,Sales!$B$5:$B$504,$A31)</f>
        <v/>
      </c>
      <c r="H31" s="23">
        <f>E31+F31-G31</f>
        <v/>
      </c>
      <c r="I31" s="22" t="n">
        <v>16</v>
      </c>
      <c r="J31" s="24" t="n">
        <v>0.73</v>
      </c>
      <c r="K31" s="25">
        <f>H31*J31</f>
        <v/>
      </c>
      <c r="L31" s="26">
        <f>IFERROR(SUMIFS(Sales!$D$5:$D$504,Sales!$B$5:$B$504,$A31,Sales!$A$5:$A$504,"&gt;="&amp;Setup!$B$5-Setup!$B$6,Sales!$A$5:$A$504,"&lt;="&amp;Setup!$B$5)/Setup!$B$6,0)</f>
        <v/>
      </c>
      <c r="M31" s="27">
        <f>IF(L31&lt;=0,999,H31/L31)</f>
        <v/>
      </c>
      <c r="N31" s="28">
        <f>IF(L31&lt;=0,"No recent sales",Setup!$B$5+M31)</f>
        <v/>
      </c>
      <c r="O31" s="23">
        <f>Setup!$B$11</f>
        <v/>
      </c>
      <c r="P31" s="23">
        <f>ROUNDUP(L31*Setup!$B$12,0)</f>
        <v/>
      </c>
      <c r="Q31" s="23">
        <f>IF(MAX(0,ROUNDUP((L31*(O31+Setup!$B$12))-H31,0))=0,0,CEILING(MAX(0,ROUNDUP((L31*(O31+Setup!$B$12))-H31,0)),Setup!$B$13))</f>
        <v/>
      </c>
      <c r="R31" s="28">
        <f>IF(L31&lt;=0,"No sales signal",N31-O31)</f>
        <v/>
      </c>
      <c r="S31" s="29">
        <f>IF(H31&lt;=0,"Order now",IF(R31="No sales signal","No action",IF(R31&lt;=Setup!$B$5,"Order now",IF(R31&lt;=Setup!$B$5+7,"Order this week",IF(H31&lt;=I31,"Plan reorder","No action")))))</f>
        <v/>
      </c>
      <c r="T31" s="29">
        <f>IF(H31&lt;=0,"Out of stock",IF(H31&lt;=I31,"Reorder soon","Healthy"))</f>
        <v/>
      </c>
      <c r="U31" s="30" t="inlineStr">
        <is>
          <t>Metal logo keychain / batch 2</t>
        </is>
      </c>
    </row>
    <row r="32">
      <c r="A32" s="21" t="inlineStr">
        <is>
          <t>SKU-028</t>
        </is>
      </c>
      <c r="B32" s="21" t="inlineStr">
        <is>
          <t>Keychain - Slate</t>
        </is>
      </c>
      <c r="C32" s="21" t="inlineStr">
        <is>
          <t>Accessories</t>
        </is>
      </c>
      <c r="D32" s="21" t="inlineStr">
        <is>
          <t>Luma Imports</t>
        </is>
      </c>
      <c r="E32" s="22" t="n">
        <v>36</v>
      </c>
      <c r="F32" s="23">
        <f>SUMIFS(Purchases!$D$5:$D$304,Purchases!$B$5:$B$304,$A32)</f>
        <v/>
      </c>
      <c r="G32" s="23">
        <f>SUMIFS(Sales!$D$5:$D$504,Sales!$B$5:$B$504,$A32)</f>
        <v/>
      </c>
      <c r="H32" s="23">
        <f>E32+F32-G32</f>
        <v/>
      </c>
      <c r="I32" s="22" t="n">
        <v>17</v>
      </c>
      <c r="J32" s="24" t="n">
        <v>0.9</v>
      </c>
      <c r="K32" s="25">
        <f>H32*J32</f>
        <v/>
      </c>
      <c r="L32" s="26">
        <f>IFERROR(SUMIFS(Sales!$D$5:$D$504,Sales!$B$5:$B$504,$A32,Sales!$A$5:$A$504,"&gt;="&amp;Setup!$B$5-Setup!$B$6,Sales!$A$5:$A$504,"&lt;="&amp;Setup!$B$5)/Setup!$B$6,0)</f>
        <v/>
      </c>
      <c r="M32" s="27">
        <f>IF(L32&lt;=0,999,H32/L32)</f>
        <v/>
      </c>
      <c r="N32" s="28">
        <f>IF(L32&lt;=0,"No recent sales",Setup!$B$5+M32)</f>
        <v/>
      </c>
      <c r="O32" s="23">
        <f>Setup!$B$11</f>
        <v/>
      </c>
      <c r="P32" s="23">
        <f>ROUNDUP(L32*Setup!$B$12,0)</f>
        <v/>
      </c>
      <c r="Q32" s="23">
        <f>IF(MAX(0,ROUNDUP((L32*(O32+Setup!$B$12))-H32,0))=0,0,CEILING(MAX(0,ROUNDUP((L32*(O32+Setup!$B$12))-H32,0)),Setup!$B$13))</f>
        <v/>
      </c>
      <c r="R32" s="28">
        <f>IF(L32&lt;=0,"No sales signal",N32-O32)</f>
        <v/>
      </c>
      <c r="S32" s="29">
        <f>IF(H32&lt;=0,"Order now",IF(R32="No sales signal","No action",IF(R32&lt;=Setup!$B$5,"Order now",IF(R32&lt;=Setup!$B$5+7,"Order this week",IF(H32&lt;=I32,"Plan reorder","No action")))))</f>
        <v/>
      </c>
      <c r="T32" s="29">
        <f>IF(H32&lt;=0,"Out of stock",IF(H32&lt;=I32,"Reorder soon","Healthy"))</f>
        <v/>
      </c>
      <c r="U32" s="30" t="inlineStr">
        <is>
          <t>Metal logo keychain / batch 2</t>
        </is>
      </c>
    </row>
    <row r="33">
      <c r="A33" s="21" t="inlineStr">
        <is>
          <t>SKU-029</t>
        </is>
      </c>
      <c r="B33" s="21" t="inlineStr">
        <is>
          <t>Keychain - Coral</t>
        </is>
      </c>
      <c r="C33" s="21" t="inlineStr">
        <is>
          <t>Accessories</t>
        </is>
      </c>
      <c r="D33" s="21" t="inlineStr">
        <is>
          <t>Luma Imports</t>
        </is>
      </c>
      <c r="E33" s="22" t="n">
        <v>38</v>
      </c>
      <c r="F33" s="23">
        <f>SUMIFS(Purchases!$D$5:$D$304,Purchases!$B$5:$B$304,$A33)</f>
        <v/>
      </c>
      <c r="G33" s="23">
        <f>SUMIFS(Sales!$D$5:$D$504,Sales!$B$5:$B$504,$A33)</f>
        <v/>
      </c>
      <c r="H33" s="23">
        <f>E33+F33-G33</f>
        <v/>
      </c>
      <c r="I33" s="22" t="n">
        <v>14</v>
      </c>
      <c r="J33" s="24" t="n">
        <v>1.07</v>
      </c>
      <c r="K33" s="25">
        <f>H33*J33</f>
        <v/>
      </c>
      <c r="L33" s="26">
        <f>IFERROR(SUMIFS(Sales!$D$5:$D$504,Sales!$B$5:$B$504,$A33,Sales!$A$5:$A$504,"&gt;="&amp;Setup!$B$5-Setup!$B$6,Sales!$A$5:$A$504,"&lt;="&amp;Setup!$B$5)/Setup!$B$6,0)</f>
        <v/>
      </c>
      <c r="M33" s="27">
        <f>IF(L33&lt;=0,999,H33/L33)</f>
        <v/>
      </c>
      <c r="N33" s="28">
        <f>IF(L33&lt;=0,"No recent sales",Setup!$B$5+M33)</f>
        <v/>
      </c>
      <c r="O33" s="23">
        <f>Setup!$B$11</f>
        <v/>
      </c>
      <c r="P33" s="23">
        <f>ROUNDUP(L33*Setup!$B$12,0)</f>
        <v/>
      </c>
      <c r="Q33" s="23">
        <f>IF(MAX(0,ROUNDUP((L33*(O33+Setup!$B$12))-H33,0))=0,0,CEILING(MAX(0,ROUNDUP((L33*(O33+Setup!$B$12))-H33,0)),Setup!$B$13))</f>
        <v/>
      </c>
      <c r="R33" s="28">
        <f>IF(L33&lt;=0,"No sales signal",N33-O33)</f>
        <v/>
      </c>
      <c r="S33" s="29">
        <f>IF(H33&lt;=0,"Order now",IF(R33="No sales signal","No action",IF(R33&lt;=Setup!$B$5,"Order now",IF(R33&lt;=Setup!$B$5+7,"Order this week",IF(H33&lt;=I33,"Plan reorder","No action")))))</f>
        <v/>
      </c>
      <c r="T33" s="29">
        <f>IF(H33&lt;=0,"Out of stock",IF(H33&lt;=I33,"Reorder soon","Healthy"))</f>
        <v/>
      </c>
      <c r="U33" s="30" t="inlineStr">
        <is>
          <t>Metal logo keychain / batch 2</t>
        </is>
      </c>
    </row>
    <row r="34">
      <c r="A34" s="21" t="inlineStr">
        <is>
          <t>SKU-030</t>
        </is>
      </c>
      <c r="B34" s="21" t="inlineStr">
        <is>
          <t>Keychain - Natural</t>
        </is>
      </c>
      <c r="C34" s="21" t="inlineStr">
        <is>
          <t>Accessories</t>
        </is>
      </c>
      <c r="D34" s="21" t="inlineStr">
        <is>
          <t>Luma Imports</t>
        </is>
      </c>
      <c r="E34" s="22" t="n">
        <v>40</v>
      </c>
      <c r="F34" s="23">
        <f>SUMIFS(Purchases!$D$5:$D$304,Purchases!$B$5:$B$304,$A34)</f>
        <v/>
      </c>
      <c r="G34" s="23">
        <f>SUMIFS(Sales!$D$5:$D$504,Sales!$B$5:$B$504,$A34)</f>
        <v/>
      </c>
      <c r="H34" s="23">
        <f>E34+F34-G34</f>
        <v/>
      </c>
      <c r="I34" s="22" t="n">
        <v>15</v>
      </c>
      <c r="J34" s="24" t="n">
        <v>1.24</v>
      </c>
      <c r="K34" s="25">
        <f>H34*J34</f>
        <v/>
      </c>
      <c r="L34" s="26">
        <f>IFERROR(SUMIFS(Sales!$D$5:$D$504,Sales!$B$5:$B$504,$A34,Sales!$A$5:$A$504,"&gt;="&amp;Setup!$B$5-Setup!$B$6,Sales!$A$5:$A$504,"&lt;="&amp;Setup!$B$5)/Setup!$B$6,0)</f>
        <v/>
      </c>
      <c r="M34" s="27">
        <f>IF(L34&lt;=0,999,H34/L34)</f>
        <v/>
      </c>
      <c r="N34" s="28">
        <f>IF(L34&lt;=0,"No recent sales",Setup!$B$5+M34)</f>
        <v/>
      </c>
      <c r="O34" s="23">
        <f>Setup!$B$11</f>
        <v/>
      </c>
      <c r="P34" s="23">
        <f>ROUNDUP(L34*Setup!$B$12,0)</f>
        <v/>
      </c>
      <c r="Q34" s="23">
        <f>IF(MAX(0,ROUNDUP((L34*(O34+Setup!$B$12))-H34,0))=0,0,CEILING(MAX(0,ROUNDUP((L34*(O34+Setup!$B$12))-H34,0)),Setup!$B$13))</f>
        <v/>
      </c>
      <c r="R34" s="28">
        <f>IF(L34&lt;=0,"No sales signal",N34-O34)</f>
        <v/>
      </c>
      <c r="S34" s="29">
        <f>IF(H34&lt;=0,"Order now",IF(R34="No sales signal","No action",IF(R34&lt;=Setup!$B$5,"Order now",IF(R34&lt;=Setup!$B$5+7,"Order this week",IF(H34&lt;=I34,"Plan reorder","No action")))))</f>
        <v/>
      </c>
      <c r="T34" s="29">
        <f>IF(H34&lt;=0,"Out of stock",IF(H34&lt;=I34,"Reorder soon","Healthy"))</f>
        <v/>
      </c>
      <c r="U34" s="30" t="inlineStr">
        <is>
          <t>Metal logo keychain / batch 2</t>
        </is>
      </c>
    </row>
    <row r="35">
      <c r="A35" s="21" t="inlineStr">
        <is>
          <t>SKU-031</t>
        </is>
      </c>
      <c r="B35" s="21" t="inlineStr">
        <is>
          <t>Water Bottle - Sand</t>
        </is>
      </c>
      <c r="C35" s="21" t="inlineStr">
        <is>
          <t>Drinkware</t>
        </is>
      </c>
      <c r="D35" s="21" t="inlineStr">
        <is>
          <t>Harbor Supply</t>
        </is>
      </c>
      <c r="E35" s="22" t="n">
        <v>21</v>
      </c>
      <c r="F35" s="23">
        <f>SUMIFS(Purchases!$D$5:$D$304,Purchases!$B$5:$B$304,$A35)</f>
        <v/>
      </c>
      <c r="G35" s="23">
        <f>SUMIFS(Sales!$D$5:$D$504,Sales!$B$5:$B$504,$A35)</f>
        <v/>
      </c>
      <c r="H35" s="23">
        <f>E35+F35-G35</f>
        <v/>
      </c>
      <c r="I35" s="22" t="n">
        <v>11</v>
      </c>
      <c r="J35" s="24" t="n">
        <v>4.33</v>
      </c>
      <c r="K35" s="25">
        <f>H35*J35</f>
        <v/>
      </c>
      <c r="L35" s="26">
        <f>IFERROR(SUMIFS(Sales!$D$5:$D$504,Sales!$B$5:$B$504,$A35,Sales!$A$5:$A$504,"&gt;="&amp;Setup!$B$5-Setup!$B$6,Sales!$A$5:$A$504,"&lt;="&amp;Setup!$B$5)/Setup!$B$6,0)</f>
        <v/>
      </c>
      <c r="M35" s="27">
        <f>IF(L35&lt;=0,999,H35/L35)</f>
        <v/>
      </c>
      <c r="N35" s="28">
        <f>IF(L35&lt;=0,"No recent sales",Setup!$B$5+M35)</f>
        <v/>
      </c>
      <c r="O35" s="23">
        <f>Setup!$B$11</f>
        <v/>
      </c>
      <c r="P35" s="23">
        <f>ROUNDUP(L35*Setup!$B$12,0)</f>
        <v/>
      </c>
      <c r="Q35" s="23">
        <f>IF(MAX(0,ROUNDUP((L35*(O35+Setup!$B$12))-H35,0))=0,0,CEILING(MAX(0,ROUNDUP((L35*(O35+Setup!$B$12))-H35,0)),Setup!$B$13))</f>
        <v/>
      </c>
      <c r="R35" s="28">
        <f>IF(L35&lt;=0,"No sales signal",N35-O35)</f>
        <v/>
      </c>
      <c r="S35" s="29">
        <f>IF(H35&lt;=0,"Order now",IF(R35="No sales signal","No action",IF(R35&lt;=Setup!$B$5,"Order now",IF(R35&lt;=Setup!$B$5+7,"Order this week",IF(H35&lt;=I35,"Plan reorder","No action")))))</f>
        <v/>
      </c>
      <c r="T35" s="29">
        <f>IF(H35&lt;=0,"Out of stock",IF(H35&lt;=I35,"Reorder soon","Healthy"))</f>
        <v/>
      </c>
      <c r="U35" s="30" t="inlineStr">
        <is>
          <t>Insulated steel bottle / batch 2</t>
        </is>
      </c>
    </row>
    <row r="36">
      <c r="A36" s="21" t="inlineStr">
        <is>
          <t>SKU-032</t>
        </is>
      </c>
      <c r="B36" s="21" t="inlineStr">
        <is>
          <t>Water Bottle - Olive</t>
        </is>
      </c>
      <c r="C36" s="21" t="inlineStr">
        <is>
          <t>Drinkware</t>
        </is>
      </c>
      <c r="D36" s="21" t="inlineStr">
        <is>
          <t>Harbor Supply</t>
        </is>
      </c>
      <c r="E36" s="22" t="n">
        <v>23</v>
      </c>
      <c r="F36" s="23">
        <f>SUMIFS(Purchases!$D$5:$D$304,Purchases!$B$5:$B$304,$A36)</f>
        <v/>
      </c>
      <c r="G36" s="23">
        <f>SUMIFS(Sales!$D$5:$D$504,Sales!$B$5:$B$504,$A36)</f>
        <v/>
      </c>
      <c r="H36" s="23">
        <f>E36+F36-G36</f>
        <v/>
      </c>
      <c r="I36" s="22" t="n">
        <v>12</v>
      </c>
      <c r="J36" s="24" t="n">
        <v>4.5</v>
      </c>
      <c r="K36" s="25">
        <f>H36*J36</f>
        <v/>
      </c>
      <c r="L36" s="26">
        <f>IFERROR(SUMIFS(Sales!$D$5:$D$504,Sales!$B$5:$B$504,$A36,Sales!$A$5:$A$504,"&gt;="&amp;Setup!$B$5-Setup!$B$6,Sales!$A$5:$A$504,"&lt;="&amp;Setup!$B$5)/Setup!$B$6,0)</f>
        <v/>
      </c>
      <c r="M36" s="27">
        <f>IF(L36&lt;=0,999,H36/L36)</f>
        <v/>
      </c>
      <c r="N36" s="28">
        <f>IF(L36&lt;=0,"No recent sales",Setup!$B$5+M36)</f>
        <v/>
      </c>
      <c r="O36" s="23">
        <f>Setup!$B$11</f>
        <v/>
      </c>
      <c r="P36" s="23">
        <f>ROUNDUP(L36*Setup!$B$12,0)</f>
        <v/>
      </c>
      <c r="Q36" s="23">
        <f>IF(MAX(0,ROUNDUP((L36*(O36+Setup!$B$12))-H36,0))=0,0,CEILING(MAX(0,ROUNDUP((L36*(O36+Setup!$B$12))-H36,0)),Setup!$B$13))</f>
        <v/>
      </c>
      <c r="R36" s="28">
        <f>IF(L36&lt;=0,"No sales signal",N36-O36)</f>
        <v/>
      </c>
      <c r="S36" s="29">
        <f>IF(H36&lt;=0,"Order now",IF(R36="No sales signal","No action",IF(R36&lt;=Setup!$B$5,"Order now",IF(R36&lt;=Setup!$B$5+7,"Order this week",IF(H36&lt;=I36,"Plan reorder","No action")))))</f>
        <v/>
      </c>
      <c r="T36" s="29">
        <f>IF(H36&lt;=0,"Out of stock",IF(H36&lt;=I36,"Reorder soon","Healthy"))</f>
        <v/>
      </c>
      <c r="U36" s="30" t="inlineStr">
        <is>
          <t>Insulated steel bottle / batch 2</t>
        </is>
      </c>
    </row>
    <row r="37">
      <c r="A37" s="21" t="inlineStr">
        <is>
          <t>SKU-033</t>
        </is>
      </c>
      <c r="B37" s="21" t="inlineStr">
        <is>
          <t>Water Bottle - Slate</t>
        </is>
      </c>
      <c r="C37" s="21" t="inlineStr">
        <is>
          <t>Drinkware</t>
        </is>
      </c>
      <c r="D37" s="21" t="inlineStr">
        <is>
          <t>Harbor Supply</t>
        </is>
      </c>
      <c r="E37" s="22" t="n">
        <v>25</v>
      </c>
      <c r="F37" s="23">
        <f>SUMIFS(Purchases!$D$5:$D$304,Purchases!$B$5:$B$304,$A37)</f>
        <v/>
      </c>
      <c r="G37" s="23">
        <f>SUMIFS(Sales!$D$5:$D$504,Sales!$B$5:$B$504,$A37)</f>
        <v/>
      </c>
      <c r="H37" s="23">
        <f>E37+F37-G37</f>
        <v/>
      </c>
      <c r="I37" s="22" t="n">
        <v>9</v>
      </c>
      <c r="J37" s="24" t="n">
        <v>4.67</v>
      </c>
      <c r="K37" s="25">
        <f>H37*J37</f>
        <v/>
      </c>
      <c r="L37" s="26">
        <f>IFERROR(SUMIFS(Sales!$D$5:$D$504,Sales!$B$5:$B$504,$A37,Sales!$A$5:$A$504,"&gt;="&amp;Setup!$B$5-Setup!$B$6,Sales!$A$5:$A$504,"&lt;="&amp;Setup!$B$5)/Setup!$B$6,0)</f>
        <v/>
      </c>
      <c r="M37" s="27">
        <f>IF(L37&lt;=0,999,H37/L37)</f>
        <v/>
      </c>
      <c r="N37" s="28">
        <f>IF(L37&lt;=0,"No recent sales",Setup!$B$5+M37)</f>
        <v/>
      </c>
      <c r="O37" s="23">
        <f>Setup!$B$11</f>
        <v/>
      </c>
      <c r="P37" s="23">
        <f>ROUNDUP(L37*Setup!$B$12,0)</f>
        <v/>
      </c>
      <c r="Q37" s="23">
        <f>IF(MAX(0,ROUNDUP((L37*(O37+Setup!$B$12))-H37,0))=0,0,CEILING(MAX(0,ROUNDUP((L37*(O37+Setup!$B$12))-H37,0)),Setup!$B$13))</f>
        <v/>
      </c>
      <c r="R37" s="28">
        <f>IF(L37&lt;=0,"No sales signal",N37-O37)</f>
        <v/>
      </c>
      <c r="S37" s="29">
        <f>IF(H37&lt;=0,"Order now",IF(R37="No sales signal","No action",IF(R37&lt;=Setup!$B$5,"Order now",IF(R37&lt;=Setup!$B$5+7,"Order this week",IF(H37&lt;=I37,"Plan reorder","No action")))))</f>
        <v/>
      </c>
      <c r="T37" s="29">
        <f>IF(H37&lt;=0,"Out of stock",IF(H37&lt;=I37,"Reorder soon","Healthy"))</f>
        <v/>
      </c>
      <c r="U37" s="30" t="inlineStr">
        <is>
          <t>Insulated steel bottle / batch 2</t>
        </is>
      </c>
    </row>
    <row r="38">
      <c r="A38" s="21" t="inlineStr">
        <is>
          <t>SKU-034</t>
        </is>
      </c>
      <c r="B38" s="21" t="inlineStr">
        <is>
          <t>Water Bottle - Coral</t>
        </is>
      </c>
      <c r="C38" s="21" t="inlineStr">
        <is>
          <t>Drinkware</t>
        </is>
      </c>
      <c r="D38" s="21" t="inlineStr">
        <is>
          <t>Harbor Supply</t>
        </is>
      </c>
      <c r="E38" s="22" t="n">
        <v>27</v>
      </c>
      <c r="F38" s="23">
        <f>SUMIFS(Purchases!$D$5:$D$304,Purchases!$B$5:$B$304,$A38)</f>
        <v/>
      </c>
      <c r="G38" s="23">
        <f>SUMIFS(Sales!$D$5:$D$504,Sales!$B$5:$B$504,$A38)</f>
        <v/>
      </c>
      <c r="H38" s="23">
        <f>E38+F38-G38</f>
        <v/>
      </c>
      <c r="I38" s="22" t="n">
        <v>10</v>
      </c>
      <c r="J38" s="24" t="n">
        <v>4.84</v>
      </c>
      <c r="K38" s="25">
        <f>H38*J38</f>
        <v/>
      </c>
      <c r="L38" s="26">
        <f>IFERROR(SUMIFS(Sales!$D$5:$D$504,Sales!$B$5:$B$504,$A38,Sales!$A$5:$A$504,"&gt;="&amp;Setup!$B$5-Setup!$B$6,Sales!$A$5:$A$504,"&lt;="&amp;Setup!$B$5)/Setup!$B$6,0)</f>
        <v/>
      </c>
      <c r="M38" s="27">
        <f>IF(L38&lt;=0,999,H38/L38)</f>
        <v/>
      </c>
      <c r="N38" s="28">
        <f>IF(L38&lt;=0,"No recent sales",Setup!$B$5+M38)</f>
        <v/>
      </c>
      <c r="O38" s="23">
        <f>Setup!$B$11</f>
        <v/>
      </c>
      <c r="P38" s="23">
        <f>ROUNDUP(L38*Setup!$B$12,0)</f>
        <v/>
      </c>
      <c r="Q38" s="23">
        <f>IF(MAX(0,ROUNDUP((L38*(O38+Setup!$B$12))-H38,0))=0,0,CEILING(MAX(0,ROUNDUP((L38*(O38+Setup!$B$12))-H38,0)),Setup!$B$13))</f>
        <v/>
      </c>
      <c r="R38" s="28">
        <f>IF(L38&lt;=0,"No sales signal",N38-O38)</f>
        <v/>
      </c>
      <c r="S38" s="29">
        <f>IF(H38&lt;=0,"Order now",IF(R38="No sales signal","No action",IF(R38&lt;=Setup!$B$5,"Order now",IF(R38&lt;=Setup!$B$5+7,"Order this week",IF(H38&lt;=I38,"Plan reorder","No action")))))</f>
        <v/>
      </c>
      <c r="T38" s="29">
        <f>IF(H38&lt;=0,"Out of stock",IF(H38&lt;=I38,"Reorder soon","Healthy"))</f>
        <v/>
      </c>
      <c r="U38" s="30" t="inlineStr">
        <is>
          <t>Insulated steel bottle / batch 2</t>
        </is>
      </c>
    </row>
    <row r="39">
      <c r="A39" s="21" t="inlineStr">
        <is>
          <t>SKU-035</t>
        </is>
      </c>
      <c r="B39" s="21" t="inlineStr">
        <is>
          <t>Water Bottle - Natural</t>
        </is>
      </c>
      <c r="C39" s="21" t="inlineStr">
        <is>
          <t>Drinkware</t>
        </is>
      </c>
      <c r="D39" s="21" t="inlineStr">
        <is>
          <t>Harbor Supply</t>
        </is>
      </c>
      <c r="E39" s="22" t="n">
        <v>29</v>
      </c>
      <c r="F39" s="23">
        <f>SUMIFS(Purchases!$D$5:$D$304,Purchases!$B$5:$B$304,$A39)</f>
        <v/>
      </c>
      <c r="G39" s="23">
        <f>SUMIFS(Sales!$D$5:$D$504,Sales!$B$5:$B$504,$A39)</f>
        <v/>
      </c>
      <c r="H39" s="23">
        <f>E39+F39-G39</f>
        <v/>
      </c>
      <c r="I39" s="22" t="n">
        <v>11</v>
      </c>
      <c r="J39" s="24" t="n">
        <v>5.01</v>
      </c>
      <c r="K39" s="25">
        <f>H39*J39</f>
        <v/>
      </c>
      <c r="L39" s="26">
        <f>IFERROR(SUMIFS(Sales!$D$5:$D$504,Sales!$B$5:$B$504,$A39,Sales!$A$5:$A$504,"&gt;="&amp;Setup!$B$5-Setup!$B$6,Sales!$A$5:$A$504,"&lt;="&amp;Setup!$B$5)/Setup!$B$6,0)</f>
        <v/>
      </c>
      <c r="M39" s="27">
        <f>IF(L39&lt;=0,999,H39/L39)</f>
        <v/>
      </c>
      <c r="N39" s="28">
        <f>IF(L39&lt;=0,"No recent sales",Setup!$B$5+M39)</f>
        <v/>
      </c>
      <c r="O39" s="23">
        <f>Setup!$B$11</f>
        <v/>
      </c>
      <c r="P39" s="23">
        <f>ROUNDUP(L39*Setup!$B$12,0)</f>
        <v/>
      </c>
      <c r="Q39" s="23">
        <f>IF(MAX(0,ROUNDUP((L39*(O39+Setup!$B$12))-H39,0))=0,0,CEILING(MAX(0,ROUNDUP((L39*(O39+Setup!$B$12))-H39,0)),Setup!$B$13))</f>
        <v/>
      </c>
      <c r="R39" s="28">
        <f>IF(L39&lt;=0,"No sales signal",N39-O39)</f>
        <v/>
      </c>
      <c r="S39" s="29">
        <f>IF(H39&lt;=0,"Order now",IF(R39="No sales signal","No action",IF(R39&lt;=Setup!$B$5,"Order now",IF(R39&lt;=Setup!$B$5+7,"Order this week",IF(H39&lt;=I39,"Plan reorder","No action")))))</f>
        <v/>
      </c>
      <c r="T39" s="29">
        <f>IF(H39&lt;=0,"Out of stock",IF(H39&lt;=I39,"Reorder soon","Healthy"))</f>
        <v/>
      </c>
      <c r="U39" s="30" t="inlineStr">
        <is>
          <t>Insulated steel bottle / batch 2</t>
        </is>
      </c>
    </row>
    <row r="40">
      <c r="A40" s="21" t="inlineStr">
        <is>
          <t>SKU-036</t>
        </is>
      </c>
      <c r="B40" s="21" t="inlineStr">
        <is>
          <t>Print Set - Sand</t>
        </is>
      </c>
      <c r="C40" s="21" t="inlineStr">
        <is>
          <t>Wall Art</t>
        </is>
      </c>
      <c r="D40" s="21" t="inlineStr">
        <is>
          <t>Studio Nine</t>
        </is>
      </c>
      <c r="E40" s="22" t="n">
        <v>35</v>
      </c>
      <c r="F40" s="23">
        <f>SUMIFS(Purchases!$D$5:$D$304,Purchases!$B$5:$B$304,$A40)</f>
        <v/>
      </c>
      <c r="G40" s="23">
        <f>SUMIFS(Sales!$D$5:$D$504,Sales!$B$5:$B$504,$A40)</f>
        <v/>
      </c>
      <c r="H40" s="23">
        <f>E40+F40-G40</f>
        <v/>
      </c>
      <c r="I40" s="22" t="n">
        <v>14</v>
      </c>
      <c r="J40" s="24" t="n">
        <v>1.88</v>
      </c>
      <c r="K40" s="25">
        <f>H40*J40</f>
        <v/>
      </c>
      <c r="L40" s="26">
        <f>IFERROR(SUMIFS(Sales!$D$5:$D$504,Sales!$B$5:$B$504,$A40,Sales!$A$5:$A$504,"&gt;="&amp;Setup!$B$5-Setup!$B$6,Sales!$A$5:$A$504,"&lt;="&amp;Setup!$B$5)/Setup!$B$6,0)</f>
        <v/>
      </c>
      <c r="M40" s="27">
        <f>IF(L40&lt;=0,999,H40/L40)</f>
        <v/>
      </c>
      <c r="N40" s="28">
        <f>IF(L40&lt;=0,"No recent sales",Setup!$B$5+M40)</f>
        <v/>
      </c>
      <c r="O40" s="23">
        <f>Setup!$B$11</f>
        <v/>
      </c>
      <c r="P40" s="23">
        <f>ROUNDUP(L40*Setup!$B$12,0)</f>
        <v/>
      </c>
      <c r="Q40" s="23">
        <f>IF(MAX(0,ROUNDUP((L40*(O40+Setup!$B$12))-H40,0))=0,0,CEILING(MAX(0,ROUNDUP((L40*(O40+Setup!$B$12))-H40,0)),Setup!$B$13))</f>
        <v/>
      </c>
      <c r="R40" s="28">
        <f>IF(L40&lt;=0,"No sales signal",N40-O40)</f>
        <v/>
      </c>
      <c r="S40" s="29">
        <f>IF(H40&lt;=0,"Order now",IF(R40="No sales signal","No action",IF(R40&lt;=Setup!$B$5,"Order now",IF(R40&lt;=Setup!$B$5+7,"Order this week",IF(H40&lt;=I40,"Plan reorder","No action")))))</f>
        <v/>
      </c>
      <c r="T40" s="29">
        <f>IF(H40&lt;=0,"Out of stock",IF(H40&lt;=I40,"Reorder soon","Healthy"))</f>
        <v/>
      </c>
      <c r="U40" s="30" t="inlineStr">
        <is>
          <t>2-piece art print set / batch 2</t>
        </is>
      </c>
    </row>
    <row r="41">
      <c r="A41" s="21" t="inlineStr">
        <is>
          <t>SKU-037</t>
        </is>
      </c>
      <c r="B41" s="21" t="inlineStr">
        <is>
          <t>Print Set - Olive</t>
        </is>
      </c>
      <c r="C41" s="21" t="inlineStr">
        <is>
          <t>Wall Art</t>
        </is>
      </c>
      <c r="D41" s="21" t="inlineStr">
        <is>
          <t>Studio Nine</t>
        </is>
      </c>
      <c r="E41" s="22" t="n">
        <v>25</v>
      </c>
      <c r="F41" s="23">
        <f>SUMIFS(Purchases!$D$5:$D$304,Purchases!$B$5:$B$304,$A41)</f>
        <v/>
      </c>
      <c r="G41" s="23">
        <f>SUMIFS(Sales!$D$5:$D$504,Sales!$B$5:$B$504,$A41)</f>
        <v/>
      </c>
      <c r="H41" s="23">
        <f>E41+F41-G41</f>
        <v/>
      </c>
      <c r="I41" s="22" t="n">
        <v>11</v>
      </c>
      <c r="J41" s="24" t="n">
        <v>2.05</v>
      </c>
      <c r="K41" s="25">
        <f>H41*J41</f>
        <v/>
      </c>
      <c r="L41" s="26">
        <f>IFERROR(SUMIFS(Sales!$D$5:$D$504,Sales!$B$5:$B$504,$A41,Sales!$A$5:$A$504,"&gt;="&amp;Setup!$B$5-Setup!$B$6,Sales!$A$5:$A$504,"&lt;="&amp;Setup!$B$5)/Setup!$B$6,0)</f>
        <v/>
      </c>
      <c r="M41" s="27">
        <f>IF(L41&lt;=0,999,H41/L41)</f>
        <v/>
      </c>
      <c r="N41" s="28">
        <f>IF(L41&lt;=0,"No recent sales",Setup!$B$5+M41)</f>
        <v/>
      </c>
      <c r="O41" s="23">
        <f>Setup!$B$11</f>
        <v/>
      </c>
      <c r="P41" s="23">
        <f>ROUNDUP(L41*Setup!$B$12,0)</f>
        <v/>
      </c>
      <c r="Q41" s="23">
        <f>IF(MAX(0,ROUNDUP((L41*(O41+Setup!$B$12))-H41,0))=0,0,CEILING(MAX(0,ROUNDUP((L41*(O41+Setup!$B$12))-H41,0)),Setup!$B$13))</f>
        <v/>
      </c>
      <c r="R41" s="28">
        <f>IF(L41&lt;=0,"No sales signal",N41-O41)</f>
        <v/>
      </c>
      <c r="S41" s="29">
        <f>IF(H41&lt;=0,"Order now",IF(R41="No sales signal","No action",IF(R41&lt;=Setup!$B$5,"Order now",IF(R41&lt;=Setup!$B$5+7,"Order this week",IF(H41&lt;=I41,"Plan reorder","No action")))))</f>
        <v/>
      </c>
      <c r="T41" s="29">
        <f>IF(H41&lt;=0,"Out of stock",IF(H41&lt;=I41,"Reorder soon","Healthy"))</f>
        <v/>
      </c>
      <c r="U41" s="30" t="inlineStr">
        <is>
          <t>2-piece art print set / batch 2</t>
        </is>
      </c>
    </row>
    <row r="42">
      <c r="A42" s="21" t="inlineStr">
        <is>
          <t>SKU-038</t>
        </is>
      </c>
      <c r="B42" s="21" t="inlineStr">
        <is>
          <t>Print Set - Slate</t>
        </is>
      </c>
      <c r="C42" s="21" t="inlineStr">
        <is>
          <t>Wall Art</t>
        </is>
      </c>
      <c r="D42" s="21" t="inlineStr">
        <is>
          <t>Studio Nine</t>
        </is>
      </c>
      <c r="E42" s="22" t="n">
        <v>27</v>
      </c>
      <c r="F42" s="23">
        <f>SUMIFS(Purchases!$D$5:$D$304,Purchases!$B$5:$B$304,$A42)</f>
        <v/>
      </c>
      <c r="G42" s="23">
        <f>SUMIFS(Sales!$D$5:$D$504,Sales!$B$5:$B$504,$A42)</f>
        <v/>
      </c>
      <c r="H42" s="23">
        <f>E42+F42-G42</f>
        <v/>
      </c>
      <c r="I42" s="22" t="n">
        <v>12</v>
      </c>
      <c r="J42" s="24" t="n">
        <v>2.22</v>
      </c>
      <c r="K42" s="25">
        <f>H42*J42</f>
        <v/>
      </c>
      <c r="L42" s="26">
        <f>IFERROR(SUMIFS(Sales!$D$5:$D$504,Sales!$B$5:$B$504,$A42,Sales!$A$5:$A$504,"&gt;="&amp;Setup!$B$5-Setup!$B$6,Sales!$A$5:$A$504,"&lt;="&amp;Setup!$B$5)/Setup!$B$6,0)</f>
        <v/>
      </c>
      <c r="M42" s="27">
        <f>IF(L42&lt;=0,999,H42/L42)</f>
        <v/>
      </c>
      <c r="N42" s="28">
        <f>IF(L42&lt;=0,"No recent sales",Setup!$B$5+M42)</f>
        <v/>
      </c>
      <c r="O42" s="23">
        <f>Setup!$B$11</f>
        <v/>
      </c>
      <c r="P42" s="23">
        <f>ROUNDUP(L42*Setup!$B$12,0)</f>
        <v/>
      </c>
      <c r="Q42" s="23">
        <f>IF(MAX(0,ROUNDUP((L42*(O42+Setup!$B$12))-H42,0))=0,0,CEILING(MAX(0,ROUNDUP((L42*(O42+Setup!$B$12))-H42,0)),Setup!$B$13))</f>
        <v/>
      </c>
      <c r="R42" s="28">
        <f>IF(L42&lt;=0,"No sales signal",N42-O42)</f>
        <v/>
      </c>
      <c r="S42" s="29">
        <f>IF(H42&lt;=0,"Order now",IF(R42="No sales signal","No action",IF(R42&lt;=Setup!$B$5,"Order now",IF(R42&lt;=Setup!$B$5+7,"Order this week",IF(H42&lt;=I42,"Plan reorder","No action")))))</f>
        <v/>
      </c>
      <c r="T42" s="29">
        <f>IF(H42&lt;=0,"Out of stock",IF(H42&lt;=I42,"Reorder soon","Healthy"))</f>
        <v/>
      </c>
      <c r="U42" s="30" t="inlineStr">
        <is>
          <t>2-piece art print set / batch 2</t>
        </is>
      </c>
    </row>
    <row r="43">
      <c r="A43" s="21" t="inlineStr">
        <is>
          <t>SKU-039</t>
        </is>
      </c>
      <c r="B43" s="21" t="inlineStr">
        <is>
          <t>Print Set - Coral</t>
        </is>
      </c>
      <c r="C43" s="21" t="inlineStr">
        <is>
          <t>Wall Art</t>
        </is>
      </c>
      <c r="D43" s="21" t="inlineStr">
        <is>
          <t>Studio Nine</t>
        </is>
      </c>
      <c r="E43" s="22" t="n">
        <v>29</v>
      </c>
      <c r="F43" s="23">
        <f>SUMIFS(Purchases!$D$5:$D$304,Purchases!$B$5:$B$304,$A43)</f>
        <v/>
      </c>
      <c r="G43" s="23">
        <f>SUMIFS(Sales!$D$5:$D$504,Sales!$B$5:$B$504,$A43)</f>
        <v/>
      </c>
      <c r="H43" s="23">
        <f>E43+F43-G43</f>
        <v/>
      </c>
      <c r="I43" s="22" t="n">
        <v>13</v>
      </c>
      <c r="J43" s="24" t="n">
        <v>2.39</v>
      </c>
      <c r="K43" s="25">
        <f>H43*J43</f>
        <v/>
      </c>
      <c r="L43" s="26">
        <f>IFERROR(SUMIFS(Sales!$D$5:$D$504,Sales!$B$5:$B$504,$A43,Sales!$A$5:$A$504,"&gt;="&amp;Setup!$B$5-Setup!$B$6,Sales!$A$5:$A$504,"&lt;="&amp;Setup!$B$5)/Setup!$B$6,0)</f>
        <v/>
      </c>
      <c r="M43" s="27">
        <f>IF(L43&lt;=0,999,H43/L43)</f>
        <v/>
      </c>
      <c r="N43" s="28">
        <f>IF(L43&lt;=0,"No recent sales",Setup!$B$5+M43)</f>
        <v/>
      </c>
      <c r="O43" s="23">
        <f>Setup!$B$11</f>
        <v/>
      </c>
      <c r="P43" s="23">
        <f>ROUNDUP(L43*Setup!$B$12,0)</f>
        <v/>
      </c>
      <c r="Q43" s="23">
        <f>IF(MAX(0,ROUNDUP((L43*(O43+Setup!$B$12))-H43,0))=0,0,CEILING(MAX(0,ROUNDUP((L43*(O43+Setup!$B$12))-H43,0)),Setup!$B$13))</f>
        <v/>
      </c>
      <c r="R43" s="28">
        <f>IF(L43&lt;=0,"No sales signal",N43-O43)</f>
        <v/>
      </c>
      <c r="S43" s="29">
        <f>IF(H43&lt;=0,"Order now",IF(R43="No sales signal","No action",IF(R43&lt;=Setup!$B$5,"Order now",IF(R43&lt;=Setup!$B$5+7,"Order this week",IF(H43&lt;=I43,"Plan reorder","No action")))))</f>
        <v/>
      </c>
      <c r="T43" s="29">
        <f>IF(H43&lt;=0,"Out of stock",IF(H43&lt;=I43,"Reorder soon","Healthy"))</f>
        <v/>
      </c>
      <c r="U43" s="30" t="inlineStr">
        <is>
          <t>2-piece art print set / batch 2</t>
        </is>
      </c>
    </row>
    <row r="44">
      <c r="A44" s="21" t="inlineStr">
        <is>
          <t>SKU-040</t>
        </is>
      </c>
      <c r="B44" s="21" t="inlineStr">
        <is>
          <t>Print Set - Natural</t>
        </is>
      </c>
      <c r="C44" s="21" t="inlineStr">
        <is>
          <t>Wall Art</t>
        </is>
      </c>
      <c r="D44" s="21" t="inlineStr">
        <is>
          <t>Studio Nine</t>
        </is>
      </c>
      <c r="E44" s="22" t="n">
        <v>31</v>
      </c>
      <c r="F44" s="23">
        <f>SUMIFS(Purchases!$D$5:$D$304,Purchases!$B$5:$B$304,$A44)</f>
        <v/>
      </c>
      <c r="G44" s="23">
        <f>SUMIFS(Sales!$D$5:$D$504,Sales!$B$5:$B$504,$A44)</f>
        <v/>
      </c>
      <c r="H44" s="23">
        <f>E44+F44-G44</f>
        <v/>
      </c>
      <c r="I44" s="22" t="n">
        <v>14</v>
      </c>
      <c r="J44" s="24" t="n">
        <v>2.56</v>
      </c>
      <c r="K44" s="25">
        <f>H44*J44</f>
        <v/>
      </c>
      <c r="L44" s="26">
        <f>IFERROR(SUMIFS(Sales!$D$5:$D$504,Sales!$B$5:$B$504,$A44,Sales!$A$5:$A$504,"&gt;="&amp;Setup!$B$5-Setup!$B$6,Sales!$A$5:$A$504,"&lt;="&amp;Setup!$B$5)/Setup!$B$6,0)</f>
        <v/>
      </c>
      <c r="M44" s="27">
        <f>IF(L44&lt;=0,999,H44/L44)</f>
        <v/>
      </c>
      <c r="N44" s="28">
        <f>IF(L44&lt;=0,"No recent sales",Setup!$B$5+M44)</f>
        <v/>
      </c>
      <c r="O44" s="23">
        <f>Setup!$B$11</f>
        <v/>
      </c>
      <c r="P44" s="23">
        <f>ROUNDUP(L44*Setup!$B$12,0)</f>
        <v/>
      </c>
      <c r="Q44" s="23">
        <f>IF(MAX(0,ROUNDUP((L44*(O44+Setup!$B$12))-H44,0))=0,0,CEILING(MAX(0,ROUNDUP((L44*(O44+Setup!$B$12))-H44,0)),Setup!$B$13))</f>
        <v/>
      </c>
      <c r="R44" s="28">
        <f>IF(L44&lt;=0,"No sales signal",N44-O44)</f>
        <v/>
      </c>
      <c r="S44" s="29">
        <f>IF(H44&lt;=0,"Order now",IF(R44="No sales signal","No action",IF(R44&lt;=Setup!$B$5,"Order now",IF(R44&lt;=Setup!$B$5+7,"Order this week",IF(H44&lt;=I44,"Plan reorder","No action")))))</f>
        <v/>
      </c>
      <c r="T44" s="29">
        <f>IF(H44&lt;=0,"Out of stock",IF(H44&lt;=I44,"Reorder soon","Healthy"))</f>
        <v/>
      </c>
      <c r="U44" s="30" t="inlineStr">
        <is>
          <t>2-piece art print set / batch 2</t>
        </is>
      </c>
    </row>
    <row r="45">
      <c r="A45" s="21" t="inlineStr">
        <is>
          <t>SKU-041</t>
        </is>
      </c>
      <c r="B45" s="21" t="inlineStr">
        <is>
          <t>Phone Grip - Sand</t>
        </is>
      </c>
      <c r="C45" s="21" t="inlineStr">
        <is>
          <t>Accessories</t>
        </is>
      </c>
      <c r="D45" s="21" t="inlineStr">
        <is>
          <t>Luma Imports</t>
        </is>
      </c>
      <c r="E45" s="22" t="n">
        <v>64</v>
      </c>
      <c r="F45" s="23">
        <f>SUMIFS(Purchases!$D$5:$D$304,Purchases!$B$5:$B$304,$A45)</f>
        <v/>
      </c>
      <c r="G45" s="23">
        <f>SUMIFS(Sales!$D$5:$D$504,Sales!$B$5:$B$504,$A45)</f>
        <v/>
      </c>
      <c r="H45" s="23">
        <f>E45+F45-G45</f>
        <v/>
      </c>
      <c r="I45" s="22" t="n">
        <v>20</v>
      </c>
      <c r="J45" s="24" t="n">
        <v>0.7</v>
      </c>
      <c r="K45" s="25">
        <f>H45*J45</f>
        <v/>
      </c>
      <c r="L45" s="26">
        <f>IFERROR(SUMIFS(Sales!$D$5:$D$504,Sales!$B$5:$B$504,$A45,Sales!$A$5:$A$504,"&gt;="&amp;Setup!$B$5-Setup!$B$6,Sales!$A$5:$A$504,"&lt;="&amp;Setup!$B$5)/Setup!$B$6,0)</f>
        <v/>
      </c>
      <c r="M45" s="27">
        <f>IF(L45&lt;=0,999,H45/L45)</f>
        <v/>
      </c>
      <c r="N45" s="28">
        <f>IF(L45&lt;=0,"No recent sales",Setup!$B$5+M45)</f>
        <v/>
      </c>
      <c r="O45" s="23">
        <f>Setup!$B$11</f>
        <v/>
      </c>
      <c r="P45" s="23">
        <f>ROUNDUP(L45*Setup!$B$12,0)</f>
        <v/>
      </c>
      <c r="Q45" s="23">
        <f>IF(MAX(0,ROUNDUP((L45*(O45+Setup!$B$12))-H45,0))=0,0,CEILING(MAX(0,ROUNDUP((L45*(O45+Setup!$B$12))-H45,0)),Setup!$B$13))</f>
        <v/>
      </c>
      <c r="R45" s="28">
        <f>IF(L45&lt;=0,"No sales signal",N45-O45)</f>
        <v/>
      </c>
      <c r="S45" s="29">
        <f>IF(H45&lt;=0,"Order now",IF(R45="No sales signal","No action",IF(R45&lt;=Setup!$B$5,"Order now",IF(R45&lt;=Setup!$B$5+7,"Order this week",IF(H45&lt;=I45,"Plan reorder","No action")))))</f>
        <v/>
      </c>
      <c r="T45" s="29">
        <f>IF(H45&lt;=0,"Out of stock",IF(H45&lt;=I45,"Reorder soon","Healthy"))</f>
        <v/>
      </c>
      <c r="U45" s="30" t="inlineStr">
        <is>
          <t>Silicone grip stand / batch 3</t>
        </is>
      </c>
    </row>
    <row r="46">
      <c r="A46" s="21" t="inlineStr">
        <is>
          <t>SKU-042</t>
        </is>
      </c>
      <c r="B46" s="21" t="inlineStr">
        <is>
          <t>Phone Grip - Olive</t>
        </is>
      </c>
      <c r="C46" s="21" t="inlineStr">
        <is>
          <t>Accessories</t>
        </is>
      </c>
      <c r="D46" s="21" t="inlineStr">
        <is>
          <t>Luma Imports</t>
        </is>
      </c>
      <c r="E46" s="22" t="n">
        <v>66</v>
      </c>
      <c r="F46" s="23">
        <f>SUMIFS(Purchases!$D$5:$D$304,Purchases!$B$5:$B$304,$A46)</f>
        <v/>
      </c>
      <c r="G46" s="23">
        <f>SUMIFS(Sales!$D$5:$D$504,Sales!$B$5:$B$504,$A46)</f>
        <v/>
      </c>
      <c r="H46" s="23">
        <f>E46+F46-G46</f>
        <v/>
      </c>
      <c r="I46" s="22" t="n">
        <v>21</v>
      </c>
      <c r="J46" s="24" t="n">
        <v>0.87</v>
      </c>
      <c r="K46" s="25">
        <f>H46*J46</f>
        <v/>
      </c>
      <c r="L46" s="26">
        <f>IFERROR(SUMIFS(Sales!$D$5:$D$504,Sales!$B$5:$B$504,$A46,Sales!$A$5:$A$504,"&gt;="&amp;Setup!$B$5-Setup!$B$6,Sales!$A$5:$A$504,"&lt;="&amp;Setup!$B$5)/Setup!$B$6,0)</f>
        <v/>
      </c>
      <c r="M46" s="27">
        <f>IF(L46&lt;=0,999,H46/L46)</f>
        <v/>
      </c>
      <c r="N46" s="28">
        <f>IF(L46&lt;=0,"No recent sales",Setup!$B$5+M46)</f>
        <v/>
      </c>
      <c r="O46" s="23">
        <f>Setup!$B$11</f>
        <v/>
      </c>
      <c r="P46" s="23">
        <f>ROUNDUP(L46*Setup!$B$12,0)</f>
        <v/>
      </c>
      <c r="Q46" s="23">
        <f>IF(MAX(0,ROUNDUP((L46*(O46+Setup!$B$12))-H46,0))=0,0,CEILING(MAX(0,ROUNDUP((L46*(O46+Setup!$B$12))-H46,0)),Setup!$B$13))</f>
        <v/>
      </c>
      <c r="R46" s="28">
        <f>IF(L46&lt;=0,"No sales signal",N46-O46)</f>
        <v/>
      </c>
      <c r="S46" s="29">
        <f>IF(H46&lt;=0,"Order now",IF(R46="No sales signal","No action",IF(R46&lt;=Setup!$B$5,"Order now",IF(R46&lt;=Setup!$B$5+7,"Order this week",IF(H46&lt;=I46,"Plan reorder","No action")))))</f>
        <v/>
      </c>
      <c r="T46" s="29">
        <f>IF(H46&lt;=0,"Out of stock",IF(H46&lt;=I46,"Reorder soon","Healthy"))</f>
        <v/>
      </c>
      <c r="U46" s="30" t="inlineStr">
        <is>
          <t>Silicone grip stand / batch 3</t>
        </is>
      </c>
    </row>
    <row r="47">
      <c r="A47" s="21" t="inlineStr">
        <is>
          <t>SKU-043</t>
        </is>
      </c>
      <c r="B47" s="21" t="inlineStr">
        <is>
          <t>Phone Grip - Slate</t>
        </is>
      </c>
      <c r="C47" s="21" t="inlineStr">
        <is>
          <t>Accessories</t>
        </is>
      </c>
      <c r="D47" s="21" t="inlineStr">
        <is>
          <t>Luma Imports</t>
        </is>
      </c>
      <c r="E47" s="22" t="n">
        <v>56</v>
      </c>
      <c r="F47" s="23">
        <f>SUMIFS(Purchases!$D$5:$D$304,Purchases!$B$5:$B$304,$A47)</f>
        <v/>
      </c>
      <c r="G47" s="23">
        <f>SUMIFS(Sales!$D$5:$D$504,Sales!$B$5:$B$504,$A47)</f>
        <v/>
      </c>
      <c r="H47" s="23">
        <f>E47+F47-G47</f>
        <v/>
      </c>
      <c r="I47" s="22" t="n">
        <v>22</v>
      </c>
      <c r="J47" s="24" t="n">
        <v>1.04</v>
      </c>
      <c r="K47" s="25">
        <f>H47*J47</f>
        <v/>
      </c>
      <c r="L47" s="26">
        <f>IFERROR(SUMIFS(Sales!$D$5:$D$504,Sales!$B$5:$B$504,$A47,Sales!$A$5:$A$504,"&gt;="&amp;Setup!$B$5-Setup!$B$6,Sales!$A$5:$A$504,"&lt;="&amp;Setup!$B$5)/Setup!$B$6,0)</f>
        <v/>
      </c>
      <c r="M47" s="27">
        <f>IF(L47&lt;=0,999,H47/L47)</f>
        <v/>
      </c>
      <c r="N47" s="28">
        <f>IF(L47&lt;=0,"No recent sales",Setup!$B$5+M47)</f>
        <v/>
      </c>
      <c r="O47" s="23">
        <f>Setup!$B$11</f>
        <v/>
      </c>
      <c r="P47" s="23">
        <f>ROUNDUP(L47*Setup!$B$12,0)</f>
        <v/>
      </c>
      <c r="Q47" s="23">
        <f>IF(MAX(0,ROUNDUP((L47*(O47+Setup!$B$12))-H47,0))=0,0,CEILING(MAX(0,ROUNDUP((L47*(O47+Setup!$B$12))-H47,0)),Setup!$B$13))</f>
        <v/>
      </c>
      <c r="R47" s="28">
        <f>IF(L47&lt;=0,"No sales signal",N47-O47)</f>
        <v/>
      </c>
      <c r="S47" s="29">
        <f>IF(H47&lt;=0,"Order now",IF(R47="No sales signal","No action",IF(R47&lt;=Setup!$B$5,"Order now",IF(R47&lt;=Setup!$B$5+7,"Order this week",IF(H47&lt;=I47,"Plan reorder","No action")))))</f>
        <v/>
      </c>
      <c r="T47" s="29">
        <f>IF(H47&lt;=0,"Out of stock",IF(H47&lt;=I47,"Reorder soon","Healthy"))</f>
        <v/>
      </c>
      <c r="U47" s="30" t="inlineStr">
        <is>
          <t>Silicone grip stand / batch 3</t>
        </is>
      </c>
    </row>
    <row r="48">
      <c r="A48" s="21" t="inlineStr">
        <is>
          <t>SKU-044</t>
        </is>
      </c>
      <c r="B48" s="21" t="inlineStr">
        <is>
          <t>Phone Grip - Coral</t>
        </is>
      </c>
      <c r="C48" s="21" t="inlineStr">
        <is>
          <t>Accessories</t>
        </is>
      </c>
      <c r="D48" s="21" t="inlineStr">
        <is>
          <t>Luma Imports</t>
        </is>
      </c>
      <c r="E48" s="22" t="n">
        <v>58</v>
      </c>
      <c r="F48" s="23">
        <f>SUMIFS(Purchases!$D$5:$D$304,Purchases!$B$5:$B$304,$A48)</f>
        <v/>
      </c>
      <c r="G48" s="23">
        <f>SUMIFS(Sales!$D$5:$D$504,Sales!$B$5:$B$504,$A48)</f>
        <v/>
      </c>
      <c r="H48" s="23">
        <f>E48+F48-G48</f>
        <v/>
      </c>
      <c r="I48" s="22" t="n">
        <v>23</v>
      </c>
      <c r="J48" s="24" t="n">
        <v>1.21</v>
      </c>
      <c r="K48" s="25">
        <f>H48*J48</f>
        <v/>
      </c>
      <c r="L48" s="26">
        <f>IFERROR(SUMIFS(Sales!$D$5:$D$504,Sales!$B$5:$B$504,$A48,Sales!$A$5:$A$504,"&gt;="&amp;Setup!$B$5-Setup!$B$6,Sales!$A$5:$A$504,"&lt;="&amp;Setup!$B$5)/Setup!$B$6,0)</f>
        <v/>
      </c>
      <c r="M48" s="27">
        <f>IF(L48&lt;=0,999,H48/L48)</f>
        <v/>
      </c>
      <c r="N48" s="28">
        <f>IF(L48&lt;=0,"No recent sales",Setup!$B$5+M48)</f>
        <v/>
      </c>
      <c r="O48" s="23">
        <f>Setup!$B$11</f>
        <v/>
      </c>
      <c r="P48" s="23">
        <f>ROUNDUP(L48*Setup!$B$12,0)</f>
        <v/>
      </c>
      <c r="Q48" s="23">
        <f>IF(MAX(0,ROUNDUP((L48*(O48+Setup!$B$12))-H48,0))=0,0,CEILING(MAX(0,ROUNDUP((L48*(O48+Setup!$B$12))-H48,0)),Setup!$B$13))</f>
        <v/>
      </c>
      <c r="R48" s="28">
        <f>IF(L48&lt;=0,"No sales signal",N48-O48)</f>
        <v/>
      </c>
      <c r="S48" s="29">
        <f>IF(H48&lt;=0,"Order now",IF(R48="No sales signal","No action",IF(R48&lt;=Setup!$B$5,"Order now",IF(R48&lt;=Setup!$B$5+7,"Order this week",IF(H48&lt;=I48,"Plan reorder","No action")))))</f>
        <v/>
      </c>
      <c r="T48" s="29">
        <f>IF(H48&lt;=0,"Out of stock",IF(H48&lt;=I48,"Reorder soon","Healthy"))</f>
        <v/>
      </c>
      <c r="U48" s="30" t="inlineStr">
        <is>
          <t>Silicone grip stand / batch 3</t>
        </is>
      </c>
    </row>
    <row r="49">
      <c r="A49" s="21" t="inlineStr">
        <is>
          <t>SKU-045</t>
        </is>
      </c>
      <c r="B49" s="21" t="inlineStr">
        <is>
          <t>Phone Grip - Natural</t>
        </is>
      </c>
      <c r="C49" s="21" t="inlineStr">
        <is>
          <t>Accessories</t>
        </is>
      </c>
      <c r="D49" s="21" t="inlineStr">
        <is>
          <t>Luma Imports</t>
        </is>
      </c>
      <c r="E49" s="22" t="n">
        <v>60</v>
      </c>
      <c r="F49" s="23">
        <f>SUMIFS(Purchases!$D$5:$D$304,Purchases!$B$5:$B$304,$A49)</f>
        <v/>
      </c>
      <c r="G49" s="23">
        <f>SUMIFS(Sales!$D$5:$D$504,Sales!$B$5:$B$504,$A49)</f>
        <v/>
      </c>
      <c r="H49" s="23">
        <f>E49+F49-G49</f>
        <v/>
      </c>
      <c r="I49" s="22" t="n">
        <v>20</v>
      </c>
      <c r="J49" s="24" t="n">
        <v>1.38</v>
      </c>
      <c r="K49" s="25">
        <f>H49*J49</f>
        <v/>
      </c>
      <c r="L49" s="26">
        <f>IFERROR(SUMIFS(Sales!$D$5:$D$504,Sales!$B$5:$B$504,$A49,Sales!$A$5:$A$504,"&gt;="&amp;Setup!$B$5-Setup!$B$6,Sales!$A$5:$A$504,"&lt;="&amp;Setup!$B$5)/Setup!$B$6,0)</f>
        <v/>
      </c>
      <c r="M49" s="27">
        <f>IF(L49&lt;=0,999,H49/L49)</f>
        <v/>
      </c>
      <c r="N49" s="28">
        <f>IF(L49&lt;=0,"No recent sales",Setup!$B$5+M49)</f>
        <v/>
      </c>
      <c r="O49" s="23">
        <f>Setup!$B$11</f>
        <v/>
      </c>
      <c r="P49" s="23">
        <f>ROUNDUP(L49*Setup!$B$12,0)</f>
        <v/>
      </c>
      <c r="Q49" s="23">
        <f>IF(MAX(0,ROUNDUP((L49*(O49+Setup!$B$12))-H49,0))=0,0,CEILING(MAX(0,ROUNDUP((L49*(O49+Setup!$B$12))-H49,0)),Setup!$B$13))</f>
        <v/>
      </c>
      <c r="R49" s="28">
        <f>IF(L49&lt;=0,"No sales signal",N49-O49)</f>
        <v/>
      </c>
      <c r="S49" s="29">
        <f>IF(H49&lt;=0,"Order now",IF(R49="No sales signal","No action",IF(R49&lt;=Setup!$B$5,"Order now",IF(R49&lt;=Setup!$B$5+7,"Order this week",IF(H49&lt;=I49,"Plan reorder","No action")))))</f>
        <v/>
      </c>
      <c r="T49" s="29">
        <f>IF(H49&lt;=0,"Out of stock",IF(H49&lt;=I49,"Reorder soon","Healthy"))</f>
        <v/>
      </c>
      <c r="U49" s="30" t="inlineStr">
        <is>
          <t>Silicone grip stand / batch 3</t>
        </is>
      </c>
    </row>
    <row r="50">
      <c r="A50" s="21" t="inlineStr">
        <is>
          <t>SKU-046</t>
        </is>
      </c>
      <c r="B50" s="21" t="inlineStr">
        <is>
          <t>Crew Socks - Sand</t>
        </is>
      </c>
      <c r="C50" s="21" t="inlineStr">
        <is>
          <t>Apparel</t>
        </is>
      </c>
      <c r="D50" s="21" t="inlineStr">
        <is>
          <t>Northstar Wholesale</t>
        </is>
      </c>
      <c r="E50" s="22" t="n">
        <v>40</v>
      </c>
      <c r="F50" s="23">
        <f>SUMIFS(Purchases!$D$5:$D$304,Purchases!$B$5:$B$304,$A50)</f>
        <v/>
      </c>
      <c r="G50" s="23">
        <f>SUMIFS(Sales!$D$5:$D$504,Sales!$B$5:$B$504,$A50)</f>
        <v/>
      </c>
      <c r="H50" s="23">
        <f>E50+F50-G50</f>
        <v/>
      </c>
      <c r="I50" s="22" t="n">
        <v>16</v>
      </c>
      <c r="J50" s="24" t="n">
        <v>1.78</v>
      </c>
      <c r="K50" s="25">
        <f>H50*J50</f>
        <v/>
      </c>
      <c r="L50" s="26">
        <f>IFERROR(SUMIFS(Sales!$D$5:$D$504,Sales!$B$5:$B$504,$A50,Sales!$A$5:$A$504,"&gt;="&amp;Setup!$B$5-Setup!$B$6,Sales!$A$5:$A$504,"&lt;="&amp;Setup!$B$5)/Setup!$B$6,0)</f>
        <v/>
      </c>
      <c r="M50" s="27">
        <f>IF(L50&lt;=0,999,H50/L50)</f>
        <v/>
      </c>
      <c r="N50" s="28">
        <f>IF(L50&lt;=0,"No recent sales",Setup!$B$5+M50)</f>
        <v/>
      </c>
      <c r="O50" s="23">
        <f>Setup!$B$11</f>
        <v/>
      </c>
      <c r="P50" s="23">
        <f>ROUNDUP(L50*Setup!$B$12,0)</f>
        <v/>
      </c>
      <c r="Q50" s="23">
        <f>IF(MAX(0,ROUNDUP((L50*(O50+Setup!$B$12))-H50,0))=0,0,CEILING(MAX(0,ROUNDUP((L50*(O50+Setup!$B$12))-H50,0)),Setup!$B$13))</f>
        <v/>
      </c>
      <c r="R50" s="28">
        <f>IF(L50&lt;=0,"No sales signal",N50-O50)</f>
        <v/>
      </c>
      <c r="S50" s="29">
        <f>IF(H50&lt;=0,"Order now",IF(R50="No sales signal","No action",IF(R50&lt;=Setup!$B$5,"Order now",IF(R50&lt;=Setup!$B$5+7,"Order this week",IF(H50&lt;=I50,"Plan reorder","No action")))))</f>
        <v/>
      </c>
      <c r="T50" s="29">
        <f>IF(H50&lt;=0,"Out of stock",IF(H50&lt;=I50,"Reorder soon","Healthy"))</f>
        <v/>
      </c>
      <c r="U50" s="30" t="inlineStr">
        <is>
          <t>One-size crew socks / batch 3</t>
        </is>
      </c>
    </row>
    <row r="51">
      <c r="A51" s="21" t="inlineStr">
        <is>
          <t>SKU-047</t>
        </is>
      </c>
      <c r="B51" s="21" t="inlineStr">
        <is>
          <t>Crew Socks - Olive</t>
        </is>
      </c>
      <c r="C51" s="21" t="inlineStr">
        <is>
          <t>Apparel</t>
        </is>
      </c>
      <c r="D51" s="21" t="inlineStr">
        <is>
          <t>Northstar Wholesale</t>
        </is>
      </c>
      <c r="E51" s="22" t="n">
        <v>42</v>
      </c>
      <c r="F51" s="23">
        <f>SUMIFS(Purchases!$D$5:$D$304,Purchases!$B$5:$B$304,$A51)</f>
        <v/>
      </c>
      <c r="G51" s="23">
        <f>SUMIFS(Sales!$D$5:$D$504,Sales!$B$5:$B$504,$A51)</f>
        <v/>
      </c>
      <c r="H51" s="23">
        <f>E51+F51-G51</f>
        <v/>
      </c>
      <c r="I51" s="22" t="n">
        <v>17</v>
      </c>
      <c r="J51" s="24" t="n">
        <v>1.95</v>
      </c>
      <c r="K51" s="25">
        <f>H51*J51</f>
        <v/>
      </c>
      <c r="L51" s="26">
        <f>IFERROR(SUMIFS(Sales!$D$5:$D$504,Sales!$B$5:$B$504,$A51,Sales!$A$5:$A$504,"&gt;="&amp;Setup!$B$5-Setup!$B$6,Sales!$A$5:$A$504,"&lt;="&amp;Setup!$B$5)/Setup!$B$6,0)</f>
        <v/>
      </c>
      <c r="M51" s="27">
        <f>IF(L51&lt;=0,999,H51/L51)</f>
        <v/>
      </c>
      <c r="N51" s="28">
        <f>IF(L51&lt;=0,"No recent sales",Setup!$B$5+M51)</f>
        <v/>
      </c>
      <c r="O51" s="23">
        <f>Setup!$B$11</f>
        <v/>
      </c>
      <c r="P51" s="23">
        <f>ROUNDUP(L51*Setup!$B$12,0)</f>
        <v/>
      </c>
      <c r="Q51" s="23">
        <f>IF(MAX(0,ROUNDUP((L51*(O51+Setup!$B$12))-H51,0))=0,0,CEILING(MAX(0,ROUNDUP((L51*(O51+Setup!$B$12))-H51,0)),Setup!$B$13))</f>
        <v/>
      </c>
      <c r="R51" s="28">
        <f>IF(L51&lt;=0,"No sales signal",N51-O51)</f>
        <v/>
      </c>
      <c r="S51" s="29">
        <f>IF(H51&lt;=0,"Order now",IF(R51="No sales signal","No action",IF(R51&lt;=Setup!$B$5,"Order now",IF(R51&lt;=Setup!$B$5+7,"Order this week",IF(H51&lt;=I51,"Plan reorder","No action")))))</f>
        <v/>
      </c>
      <c r="T51" s="29">
        <f>IF(H51&lt;=0,"Out of stock",IF(H51&lt;=I51,"Reorder soon","Healthy"))</f>
        <v/>
      </c>
      <c r="U51" s="30" t="inlineStr">
        <is>
          <t>One-size crew socks / batch 3</t>
        </is>
      </c>
    </row>
    <row r="52">
      <c r="A52" s="21" t="inlineStr">
        <is>
          <t>SKU-048</t>
        </is>
      </c>
      <c r="B52" s="21" t="inlineStr">
        <is>
          <t>Crew Socks - Slate</t>
        </is>
      </c>
      <c r="C52" s="21" t="inlineStr">
        <is>
          <t>Apparel</t>
        </is>
      </c>
      <c r="D52" s="21" t="inlineStr">
        <is>
          <t>Northstar Wholesale</t>
        </is>
      </c>
      <c r="E52" s="22" t="n">
        <v>44</v>
      </c>
      <c r="F52" s="23">
        <f>SUMIFS(Purchases!$D$5:$D$304,Purchases!$B$5:$B$304,$A52)</f>
        <v/>
      </c>
      <c r="G52" s="23">
        <f>SUMIFS(Sales!$D$5:$D$504,Sales!$B$5:$B$504,$A52)</f>
        <v/>
      </c>
      <c r="H52" s="23">
        <f>E52+F52-G52</f>
        <v/>
      </c>
      <c r="I52" s="22" t="n">
        <v>18</v>
      </c>
      <c r="J52" s="24" t="n">
        <v>2.12</v>
      </c>
      <c r="K52" s="25">
        <f>H52*J52</f>
        <v/>
      </c>
      <c r="L52" s="26">
        <f>IFERROR(SUMIFS(Sales!$D$5:$D$504,Sales!$B$5:$B$504,$A52,Sales!$A$5:$A$504,"&gt;="&amp;Setup!$B$5-Setup!$B$6,Sales!$A$5:$A$504,"&lt;="&amp;Setup!$B$5)/Setup!$B$6,0)</f>
        <v/>
      </c>
      <c r="M52" s="27">
        <f>IF(L52&lt;=0,999,H52/L52)</f>
        <v/>
      </c>
      <c r="N52" s="28">
        <f>IF(L52&lt;=0,"No recent sales",Setup!$B$5+M52)</f>
        <v/>
      </c>
      <c r="O52" s="23">
        <f>Setup!$B$11</f>
        <v/>
      </c>
      <c r="P52" s="23">
        <f>ROUNDUP(L52*Setup!$B$12,0)</f>
        <v/>
      </c>
      <c r="Q52" s="23">
        <f>IF(MAX(0,ROUNDUP((L52*(O52+Setup!$B$12))-H52,0))=0,0,CEILING(MAX(0,ROUNDUP((L52*(O52+Setup!$B$12))-H52,0)),Setup!$B$13))</f>
        <v/>
      </c>
      <c r="R52" s="28">
        <f>IF(L52&lt;=0,"No sales signal",N52-O52)</f>
        <v/>
      </c>
      <c r="S52" s="29">
        <f>IF(H52&lt;=0,"Order now",IF(R52="No sales signal","No action",IF(R52&lt;=Setup!$B$5,"Order now",IF(R52&lt;=Setup!$B$5+7,"Order this week",IF(H52&lt;=I52,"Plan reorder","No action")))))</f>
        <v/>
      </c>
      <c r="T52" s="29">
        <f>IF(H52&lt;=0,"Out of stock",IF(H52&lt;=I52,"Reorder soon","Healthy"))</f>
        <v/>
      </c>
      <c r="U52" s="30" t="inlineStr">
        <is>
          <t>One-size crew socks / batch 3</t>
        </is>
      </c>
    </row>
    <row r="53">
      <c r="A53" s="21" t="inlineStr">
        <is>
          <t>SKU-049</t>
        </is>
      </c>
      <c r="B53" s="21" t="inlineStr">
        <is>
          <t>Crew Socks - Coral</t>
        </is>
      </c>
      <c r="C53" s="21" t="inlineStr">
        <is>
          <t>Apparel</t>
        </is>
      </c>
      <c r="D53" s="21" t="inlineStr">
        <is>
          <t>Northstar Wholesale</t>
        </is>
      </c>
      <c r="E53" s="22" t="n">
        <v>34</v>
      </c>
      <c r="F53" s="23">
        <f>SUMIFS(Purchases!$D$5:$D$304,Purchases!$B$5:$B$304,$A53)</f>
        <v/>
      </c>
      <c r="G53" s="23">
        <f>SUMIFS(Sales!$D$5:$D$504,Sales!$B$5:$B$504,$A53)</f>
        <v/>
      </c>
      <c r="H53" s="23">
        <f>E53+F53-G53</f>
        <v/>
      </c>
      <c r="I53" s="22" t="n">
        <v>15</v>
      </c>
      <c r="J53" s="24" t="n">
        <v>2.29</v>
      </c>
      <c r="K53" s="25">
        <f>H53*J53</f>
        <v/>
      </c>
      <c r="L53" s="26">
        <f>IFERROR(SUMIFS(Sales!$D$5:$D$504,Sales!$B$5:$B$504,$A53,Sales!$A$5:$A$504,"&gt;="&amp;Setup!$B$5-Setup!$B$6,Sales!$A$5:$A$504,"&lt;="&amp;Setup!$B$5)/Setup!$B$6,0)</f>
        <v/>
      </c>
      <c r="M53" s="27">
        <f>IF(L53&lt;=0,999,H53/L53)</f>
        <v/>
      </c>
      <c r="N53" s="28">
        <f>IF(L53&lt;=0,"No recent sales",Setup!$B$5+M53)</f>
        <v/>
      </c>
      <c r="O53" s="23">
        <f>Setup!$B$11</f>
        <v/>
      </c>
      <c r="P53" s="23">
        <f>ROUNDUP(L53*Setup!$B$12,0)</f>
        <v/>
      </c>
      <c r="Q53" s="23">
        <f>IF(MAX(0,ROUNDUP((L53*(O53+Setup!$B$12))-H53,0))=0,0,CEILING(MAX(0,ROUNDUP((L53*(O53+Setup!$B$12))-H53,0)),Setup!$B$13))</f>
        <v/>
      </c>
      <c r="R53" s="28">
        <f>IF(L53&lt;=0,"No sales signal",N53-O53)</f>
        <v/>
      </c>
      <c r="S53" s="29">
        <f>IF(H53&lt;=0,"Order now",IF(R53="No sales signal","No action",IF(R53&lt;=Setup!$B$5,"Order now",IF(R53&lt;=Setup!$B$5+7,"Order this week",IF(H53&lt;=I53,"Plan reorder","No action")))))</f>
        <v/>
      </c>
      <c r="T53" s="29">
        <f>IF(H53&lt;=0,"Out of stock",IF(H53&lt;=I53,"Reorder soon","Healthy"))</f>
        <v/>
      </c>
      <c r="U53" s="30" t="inlineStr">
        <is>
          <t>One-size crew socks / batch 3</t>
        </is>
      </c>
    </row>
    <row r="54">
      <c r="A54" s="21" t="inlineStr">
        <is>
          <t>SKU-050</t>
        </is>
      </c>
      <c r="B54" s="21" t="inlineStr">
        <is>
          <t>Crew Socks - Natural</t>
        </is>
      </c>
      <c r="C54" s="21" t="inlineStr">
        <is>
          <t>Apparel</t>
        </is>
      </c>
      <c r="D54" s="21" t="inlineStr">
        <is>
          <t>Northstar Wholesale</t>
        </is>
      </c>
      <c r="E54" s="22" t="n">
        <v>36</v>
      </c>
      <c r="F54" s="23">
        <f>SUMIFS(Purchases!$D$5:$D$304,Purchases!$B$5:$B$304,$A54)</f>
        <v/>
      </c>
      <c r="G54" s="23">
        <f>SUMIFS(Sales!$D$5:$D$504,Sales!$B$5:$B$504,$A54)</f>
        <v/>
      </c>
      <c r="H54" s="23">
        <f>E54+F54-G54</f>
        <v/>
      </c>
      <c r="I54" s="22" t="n">
        <v>16</v>
      </c>
      <c r="J54" s="24" t="n">
        <v>2.46</v>
      </c>
      <c r="K54" s="25">
        <f>H54*J54</f>
        <v/>
      </c>
      <c r="L54" s="26">
        <f>IFERROR(SUMIFS(Sales!$D$5:$D$504,Sales!$B$5:$B$504,$A54,Sales!$A$5:$A$504,"&gt;="&amp;Setup!$B$5-Setup!$B$6,Sales!$A$5:$A$504,"&lt;="&amp;Setup!$B$5)/Setup!$B$6,0)</f>
        <v/>
      </c>
      <c r="M54" s="27">
        <f>IF(L54&lt;=0,999,H54/L54)</f>
        <v/>
      </c>
      <c r="N54" s="28">
        <f>IF(L54&lt;=0,"No recent sales",Setup!$B$5+M54)</f>
        <v/>
      </c>
      <c r="O54" s="23">
        <f>Setup!$B$11</f>
        <v/>
      </c>
      <c r="P54" s="23">
        <f>ROUNDUP(L54*Setup!$B$12,0)</f>
        <v/>
      </c>
      <c r="Q54" s="23">
        <f>IF(MAX(0,ROUNDUP((L54*(O54+Setup!$B$12))-H54,0))=0,0,CEILING(MAX(0,ROUNDUP((L54*(O54+Setup!$B$12))-H54,0)),Setup!$B$13))</f>
        <v/>
      </c>
      <c r="R54" s="28">
        <f>IF(L54&lt;=0,"No sales signal",N54-O54)</f>
        <v/>
      </c>
      <c r="S54" s="29">
        <f>IF(H54&lt;=0,"Order now",IF(R54="No sales signal","No action",IF(R54&lt;=Setup!$B$5,"Order now",IF(R54&lt;=Setup!$B$5+7,"Order this week",IF(H54&lt;=I54,"Plan reorder","No action")))))</f>
        <v/>
      </c>
      <c r="T54" s="29">
        <f>IF(H54&lt;=0,"Out of stock",IF(H54&lt;=I54,"Reorder soon","Healthy"))</f>
        <v/>
      </c>
      <c r="U54" s="30" t="inlineStr">
        <is>
          <t>One-size crew socks / batch 3</t>
        </is>
      </c>
    </row>
    <row r="55">
      <c r="A55" s="21" t="inlineStr">
        <is>
          <t>SKU-051</t>
        </is>
      </c>
      <c r="B55" s="21" t="inlineStr">
        <is>
          <t>Softcover Journal - Sand</t>
        </is>
      </c>
      <c r="C55" s="21" t="inlineStr">
        <is>
          <t>Stationery</t>
        </is>
      </c>
      <c r="D55" s="21" t="inlineStr">
        <is>
          <t>Paper Trail Co.</t>
        </is>
      </c>
      <c r="E55" s="22" t="n">
        <v>35</v>
      </c>
      <c r="F55" s="23">
        <f>SUMIFS(Purchases!$D$5:$D$304,Purchases!$B$5:$B$304,$A55)</f>
        <v/>
      </c>
      <c r="G55" s="23">
        <f>SUMIFS(Sales!$D$5:$D$504,Sales!$B$5:$B$504,$A55)</f>
        <v/>
      </c>
      <c r="H55" s="23">
        <f>E55+F55-G55</f>
        <v/>
      </c>
      <c r="I55" s="22" t="n">
        <v>15</v>
      </c>
      <c r="J55" s="24" t="n">
        <v>2.46</v>
      </c>
      <c r="K55" s="25">
        <f>H55*J55</f>
        <v/>
      </c>
      <c r="L55" s="26">
        <f>IFERROR(SUMIFS(Sales!$D$5:$D$504,Sales!$B$5:$B$504,$A55,Sales!$A$5:$A$504,"&gt;="&amp;Setup!$B$5-Setup!$B$6,Sales!$A$5:$A$504,"&lt;="&amp;Setup!$B$5)/Setup!$B$6,0)</f>
        <v/>
      </c>
      <c r="M55" s="27">
        <f>IF(L55&lt;=0,999,H55/L55)</f>
        <v/>
      </c>
      <c r="N55" s="28">
        <f>IF(L55&lt;=0,"No recent sales",Setup!$B$5+M55)</f>
        <v/>
      </c>
      <c r="O55" s="23">
        <f>Setup!$B$11</f>
        <v/>
      </c>
      <c r="P55" s="23">
        <f>ROUNDUP(L55*Setup!$B$12,0)</f>
        <v/>
      </c>
      <c r="Q55" s="23">
        <f>IF(MAX(0,ROUNDUP((L55*(O55+Setup!$B$12))-H55,0))=0,0,CEILING(MAX(0,ROUNDUP((L55*(O55+Setup!$B$12))-H55,0)),Setup!$B$13))</f>
        <v/>
      </c>
      <c r="R55" s="28">
        <f>IF(L55&lt;=0,"No sales signal",N55-O55)</f>
        <v/>
      </c>
      <c r="S55" s="29">
        <f>IF(H55&lt;=0,"Order now",IF(R55="No sales signal","No action",IF(R55&lt;=Setup!$B$5,"Order now",IF(R55&lt;=Setup!$B$5+7,"Order this week",IF(H55&lt;=I55,"Plan reorder","No action")))))</f>
        <v/>
      </c>
      <c r="T55" s="29">
        <f>IF(H55&lt;=0,"Out of stock",IF(H55&lt;=I55,"Reorder soon","Healthy"))</f>
        <v/>
      </c>
      <c r="U55" s="30" t="inlineStr">
        <is>
          <t>Dot grid journal / batch 3</t>
        </is>
      </c>
    </row>
    <row r="56">
      <c r="A56" s="21" t="inlineStr">
        <is>
          <t>SKU-052</t>
        </is>
      </c>
      <c r="B56" s="21" t="inlineStr">
        <is>
          <t>Softcover Journal - Olive</t>
        </is>
      </c>
      <c r="C56" s="21" t="inlineStr">
        <is>
          <t>Stationery</t>
        </is>
      </c>
      <c r="D56" s="21" t="inlineStr">
        <is>
          <t>Paper Trail Co.</t>
        </is>
      </c>
      <c r="E56" s="22" t="n">
        <v>37</v>
      </c>
      <c r="F56" s="23">
        <f>SUMIFS(Purchases!$D$5:$D$304,Purchases!$B$5:$B$304,$A56)</f>
        <v/>
      </c>
      <c r="G56" s="23">
        <f>SUMIFS(Sales!$D$5:$D$504,Sales!$B$5:$B$504,$A56)</f>
        <v/>
      </c>
      <c r="H56" s="23">
        <f>E56+F56-G56</f>
        <v/>
      </c>
      <c r="I56" s="22" t="n">
        <v>16</v>
      </c>
      <c r="J56" s="24" t="n">
        <v>2.63</v>
      </c>
      <c r="K56" s="25">
        <f>H56*J56</f>
        <v/>
      </c>
      <c r="L56" s="26">
        <f>IFERROR(SUMIFS(Sales!$D$5:$D$504,Sales!$B$5:$B$504,$A56,Sales!$A$5:$A$504,"&gt;="&amp;Setup!$B$5-Setup!$B$6,Sales!$A$5:$A$504,"&lt;="&amp;Setup!$B$5)/Setup!$B$6,0)</f>
        <v/>
      </c>
      <c r="M56" s="27">
        <f>IF(L56&lt;=0,999,H56/L56)</f>
        <v/>
      </c>
      <c r="N56" s="28">
        <f>IF(L56&lt;=0,"No recent sales",Setup!$B$5+M56)</f>
        <v/>
      </c>
      <c r="O56" s="23">
        <f>Setup!$B$11</f>
        <v/>
      </c>
      <c r="P56" s="23">
        <f>ROUNDUP(L56*Setup!$B$12,0)</f>
        <v/>
      </c>
      <c r="Q56" s="23">
        <f>IF(MAX(0,ROUNDUP((L56*(O56+Setup!$B$12))-H56,0))=0,0,CEILING(MAX(0,ROUNDUP((L56*(O56+Setup!$B$12))-H56,0)),Setup!$B$13))</f>
        <v/>
      </c>
      <c r="R56" s="28">
        <f>IF(L56&lt;=0,"No sales signal",N56-O56)</f>
        <v/>
      </c>
      <c r="S56" s="29">
        <f>IF(H56&lt;=0,"Order now",IF(R56="No sales signal","No action",IF(R56&lt;=Setup!$B$5,"Order now",IF(R56&lt;=Setup!$B$5+7,"Order this week",IF(H56&lt;=I56,"Plan reorder","No action")))))</f>
        <v/>
      </c>
      <c r="T56" s="29">
        <f>IF(H56&lt;=0,"Out of stock",IF(H56&lt;=I56,"Reorder soon","Healthy"))</f>
        <v/>
      </c>
      <c r="U56" s="30" t="inlineStr">
        <is>
          <t>Dot grid journal / batch 3</t>
        </is>
      </c>
    </row>
    <row r="57">
      <c r="A57" s="21" t="inlineStr">
        <is>
          <t>SKU-053</t>
        </is>
      </c>
      <c r="B57" s="21" t="inlineStr">
        <is>
          <t>Softcover Journal - Slate</t>
        </is>
      </c>
      <c r="C57" s="21" t="inlineStr">
        <is>
          <t>Stationery</t>
        </is>
      </c>
      <c r="D57" s="21" t="inlineStr">
        <is>
          <t>Paper Trail Co.</t>
        </is>
      </c>
      <c r="E57" s="22" t="n">
        <v>39</v>
      </c>
      <c r="F57" s="23">
        <f>SUMIFS(Purchases!$D$5:$D$304,Purchases!$B$5:$B$304,$A57)</f>
        <v/>
      </c>
      <c r="G57" s="23">
        <f>SUMIFS(Sales!$D$5:$D$504,Sales!$B$5:$B$504,$A57)</f>
        <v/>
      </c>
      <c r="H57" s="23">
        <f>E57+F57-G57</f>
        <v/>
      </c>
      <c r="I57" s="22" t="n">
        <v>13</v>
      </c>
      <c r="J57" s="24" t="n">
        <v>2.8</v>
      </c>
      <c r="K57" s="25">
        <f>H57*J57</f>
        <v/>
      </c>
      <c r="L57" s="26">
        <f>IFERROR(SUMIFS(Sales!$D$5:$D$504,Sales!$B$5:$B$504,$A57,Sales!$A$5:$A$504,"&gt;="&amp;Setup!$B$5-Setup!$B$6,Sales!$A$5:$A$504,"&lt;="&amp;Setup!$B$5)/Setup!$B$6,0)</f>
        <v/>
      </c>
      <c r="M57" s="27">
        <f>IF(L57&lt;=0,999,H57/L57)</f>
        <v/>
      </c>
      <c r="N57" s="28">
        <f>IF(L57&lt;=0,"No recent sales",Setup!$B$5+M57)</f>
        <v/>
      </c>
      <c r="O57" s="23">
        <f>Setup!$B$11</f>
        <v/>
      </c>
      <c r="P57" s="23">
        <f>ROUNDUP(L57*Setup!$B$12,0)</f>
        <v/>
      </c>
      <c r="Q57" s="23">
        <f>IF(MAX(0,ROUNDUP((L57*(O57+Setup!$B$12))-H57,0))=0,0,CEILING(MAX(0,ROUNDUP((L57*(O57+Setup!$B$12))-H57,0)),Setup!$B$13))</f>
        <v/>
      </c>
      <c r="R57" s="28">
        <f>IF(L57&lt;=0,"No sales signal",N57-O57)</f>
        <v/>
      </c>
      <c r="S57" s="29">
        <f>IF(H57&lt;=0,"Order now",IF(R57="No sales signal","No action",IF(R57&lt;=Setup!$B$5,"Order now",IF(R57&lt;=Setup!$B$5+7,"Order this week",IF(H57&lt;=I57,"Plan reorder","No action")))))</f>
        <v/>
      </c>
      <c r="T57" s="29">
        <f>IF(H57&lt;=0,"Out of stock",IF(H57&lt;=I57,"Reorder soon","Healthy"))</f>
        <v/>
      </c>
      <c r="U57" s="30" t="inlineStr">
        <is>
          <t>Dot grid journal / batch 3</t>
        </is>
      </c>
    </row>
    <row r="58">
      <c r="A58" s="21" t="inlineStr">
        <is>
          <t>SKU-054</t>
        </is>
      </c>
      <c r="B58" s="21" t="inlineStr">
        <is>
          <t>Softcover Journal - Coral</t>
        </is>
      </c>
      <c r="C58" s="21" t="inlineStr">
        <is>
          <t>Stationery</t>
        </is>
      </c>
      <c r="D58" s="21" t="inlineStr">
        <is>
          <t>Paper Trail Co.</t>
        </is>
      </c>
      <c r="E58" s="22" t="n">
        <v>41</v>
      </c>
      <c r="F58" s="23">
        <f>SUMIFS(Purchases!$D$5:$D$304,Purchases!$B$5:$B$304,$A58)</f>
        <v/>
      </c>
      <c r="G58" s="23">
        <f>SUMIFS(Sales!$D$5:$D$504,Sales!$B$5:$B$504,$A58)</f>
        <v/>
      </c>
      <c r="H58" s="23">
        <f>E58+F58-G58</f>
        <v/>
      </c>
      <c r="I58" s="22" t="n">
        <v>14</v>
      </c>
      <c r="J58" s="24" t="n">
        <v>2.97</v>
      </c>
      <c r="K58" s="25">
        <f>H58*J58</f>
        <v/>
      </c>
      <c r="L58" s="26">
        <f>IFERROR(SUMIFS(Sales!$D$5:$D$504,Sales!$B$5:$B$504,$A58,Sales!$A$5:$A$504,"&gt;="&amp;Setup!$B$5-Setup!$B$6,Sales!$A$5:$A$504,"&lt;="&amp;Setup!$B$5)/Setup!$B$6,0)</f>
        <v/>
      </c>
      <c r="M58" s="27">
        <f>IF(L58&lt;=0,999,H58/L58)</f>
        <v/>
      </c>
      <c r="N58" s="28">
        <f>IF(L58&lt;=0,"No recent sales",Setup!$B$5+M58)</f>
        <v/>
      </c>
      <c r="O58" s="23">
        <f>Setup!$B$11</f>
        <v/>
      </c>
      <c r="P58" s="23">
        <f>ROUNDUP(L58*Setup!$B$12,0)</f>
        <v/>
      </c>
      <c r="Q58" s="23">
        <f>IF(MAX(0,ROUNDUP((L58*(O58+Setup!$B$12))-H58,0))=0,0,CEILING(MAX(0,ROUNDUP((L58*(O58+Setup!$B$12))-H58,0)),Setup!$B$13))</f>
        <v/>
      </c>
      <c r="R58" s="28">
        <f>IF(L58&lt;=0,"No sales signal",N58-O58)</f>
        <v/>
      </c>
      <c r="S58" s="29">
        <f>IF(H58&lt;=0,"Order now",IF(R58="No sales signal","No action",IF(R58&lt;=Setup!$B$5,"Order now",IF(R58&lt;=Setup!$B$5+7,"Order this week",IF(H58&lt;=I58,"Plan reorder","No action")))))</f>
        <v/>
      </c>
      <c r="T58" s="29">
        <f>IF(H58&lt;=0,"Out of stock",IF(H58&lt;=I58,"Reorder soon","Healthy"))</f>
        <v/>
      </c>
      <c r="U58" s="30" t="inlineStr">
        <is>
          <t>Dot grid journal / batch 3</t>
        </is>
      </c>
    </row>
    <row r="59">
      <c r="A59" s="21" t="inlineStr">
        <is>
          <t>SKU-055</t>
        </is>
      </c>
      <c r="B59" s="21" t="inlineStr">
        <is>
          <t>Softcover Journal - Natural</t>
        </is>
      </c>
      <c r="C59" s="21" t="inlineStr">
        <is>
          <t>Stationery</t>
        </is>
      </c>
      <c r="D59" s="21" t="inlineStr">
        <is>
          <t>Paper Trail Co.</t>
        </is>
      </c>
      <c r="E59" s="22" t="n">
        <v>31</v>
      </c>
      <c r="F59" s="23">
        <f>SUMIFS(Purchases!$D$5:$D$304,Purchases!$B$5:$B$304,$A59)</f>
        <v/>
      </c>
      <c r="G59" s="23">
        <f>SUMIFS(Sales!$D$5:$D$504,Sales!$B$5:$B$504,$A59)</f>
        <v/>
      </c>
      <c r="H59" s="23">
        <f>E59+F59-G59</f>
        <v/>
      </c>
      <c r="I59" s="22" t="n">
        <v>15</v>
      </c>
      <c r="J59" s="24" t="n">
        <v>3.14</v>
      </c>
      <c r="K59" s="25">
        <f>H59*J59</f>
        <v/>
      </c>
      <c r="L59" s="26">
        <f>IFERROR(SUMIFS(Sales!$D$5:$D$504,Sales!$B$5:$B$504,$A59,Sales!$A$5:$A$504,"&gt;="&amp;Setup!$B$5-Setup!$B$6,Sales!$A$5:$A$504,"&lt;="&amp;Setup!$B$5)/Setup!$B$6,0)</f>
        <v/>
      </c>
      <c r="M59" s="27">
        <f>IF(L59&lt;=0,999,H59/L59)</f>
        <v/>
      </c>
      <c r="N59" s="28">
        <f>IF(L59&lt;=0,"No recent sales",Setup!$B$5+M59)</f>
        <v/>
      </c>
      <c r="O59" s="23">
        <f>Setup!$B$11</f>
        <v/>
      </c>
      <c r="P59" s="23">
        <f>ROUNDUP(L59*Setup!$B$12,0)</f>
        <v/>
      </c>
      <c r="Q59" s="23">
        <f>IF(MAX(0,ROUNDUP((L59*(O59+Setup!$B$12))-H59,0))=0,0,CEILING(MAX(0,ROUNDUP((L59*(O59+Setup!$B$12))-H59,0)),Setup!$B$13))</f>
        <v/>
      </c>
      <c r="R59" s="28">
        <f>IF(L59&lt;=0,"No sales signal",N59-O59)</f>
        <v/>
      </c>
      <c r="S59" s="29">
        <f>IF(H59&lt;=0,"Order now",IF(R59="No sales signal","No action",IF(R59&lt;=Setup!$B$5,"Order now",IF(R59&lt;=Setup!$B$5+7,"Order this week",IF(H59&lt;=I59,"Plan reorder","No action")))))</f>
        <v/>
      </c>
      <c r="T59" s="29">
        <f>IF(H59&lt;=0,"Out of stock",IF(H59&lt;=I59,"Reorder soon","Healthy"))</f>
        <v/>
      </c>
      <c r="U59" s="30" t="inlineStr">
        <is>
          <t>Dot grid journal / batch 3</t>
        </is>
      </c>
    </row>
    <row r="60">
      <c r="A60" s="21" t="inlineStr">
        <is>
          <t>SKU-056</t>
        </is>
      </c>
      <c r="B60" s="21" t="inlineStr">
        <is>
          <t>Enamel Pin - Sand</t>
        </is>
      </c>
      <c r="C60" s="21" t="inlineStr">
        <is>
          <t>Accessories</t>
        </is>
      </c>
      <c r="D60" s="21" t="inlineStr">
        <is>
          <t>Studio Nine</t>
        </is>
      </c>
      <c r="E60" s="22" t="n">
        <v>27</v>
      </c>
      <c r="F60" s="23">
        <f>SUMIFS(Purchases!$D$5:$D$304,Purchases!$B$5:$B$304,$A60)</f>
        <v/>
      </c>
      <c r="G60" s="23">
        <f>SUMIFS(Sales!$D$5:$D$504,Sales!$B$5:$B$504,$A60)</f>
        <v/>
      </c>
      <c r="H60" s="23">
        <f>E60+F60-G60</f>
        <v/>
      </c>
      <c r="I60" s="22" t="n">
        <v>13</v>
      </c>
      <c r="J60" s="24" t="n">
        <v>1.01</v>
      </c>
      <c r="K60" s="25">
        <f>H60*J60</f>
        <v/>
      </c>
      <c r="L60" s="26">
        <f>IFERROR(SUMIFS(Sales!$D$5:$D$504,Sales!$B$5:$B$504,$A60,Sales!$A$5:$A$504,"&gt;="&amp;Setup!$B$5-Setup!$B$6,Sales!$A$5:$A$504,"&lt;="&amp;Setup!$B$5)/Setup!$B$6,0)</f>
        <v/>
      </c>
      <c r="M60" s="27">
        <f>IF(L60&lt;=0,999,H60/L60)</f>
        <v/>
      </c>
      <c r="N60" s="28">
        <f>IF(L60&lt;=0,"No recent sales",Setup!$B$5+M60)</f>
        <v/>
      </c>
      <c r="O60" s="23">
        <f>Setup!$B$11</f>
        <v/>
      </c>
      <c r="P60" s="23">
        <f>ROUNDUP(L60*Setup!$B$12,0)</f>
        <v/>
      </c>
      <c r="Q60" s="23">
        <f>IF(MAX(0,ROUNDUP((L60*(O60+Setup!$B$12))-H60,0))=0,0,CEILING(MAX(0,ROUNDUP((L60*(O60+Setup!$B$12))-H60,0)),Setup!$B$13))</f>
        <v/>
      </c>
      <c r="R60" s="28">
        <f>IF(L60&lt;=0,"No sales signal",N60-O60)</f>
        <v/>
      </c>
      <c r="S60" s="29">
        <f>IF(H60&lt;=0,"Order now",IF(R60="No sales signal","No action",IF(R60&lt;=Setup!$B$5,"Order now",IF(R60&lt;=Setup!$B$5+7,"Order this week",IF(H60&lt;=I60,"Plan reorder","No action")))))</f>
        <v/>
      </c>
      <c r="T60" s="29">
        <f>IF(H60&lt;=0,"Out of stock",IF(H60&lt;=I60,"Reorder soon","Healthy"))</f>
        <v/>
      </c>
      <c r="U60" s="30" t="inlineStr">
        <is>
          <t>Hard enamel pin / batch 3</t>
        </is>
      </c>
    </row>
    <row r="61">
      <c r="A61" s="21" t="inlineStr">
        <is>
          <t>SKU-057</t>
        </is>
      </c>
      <c r="B61" s="21" t="inlineStr">
        <is>
          <t>Enamel Pin - Olive</t>
        </is>
      </c>
      <c r="C61" s="21" t="inlineStr">
        <is>
          <t>Accessories</t>
        </is>
      </c>
      <c r="D61" s="21" t="inlineStr">
        <is>
          <t>Studio Nine</t>
        </is>
      </c>
      <c r="E61" s="22" t="n">
        <v>29</v>
      </c>
      <c r="F61" s="23">
        <f>SUMIFS(Purchases!$D$5:$D$304,Purchases!$B$5:$B$304,$A61)</f>
        <v/>
      </c>
      <c r="G61" s="23">
        <f>SUMIFS(Sales!$D$5:$D$504,Sales!$B$5:$B$504,$A61)</f>
        <v/>
      </c>
      <c r="H61" s="23">
        <f>E61+F61-G61</f>
        <v/>
      </c>
      <c r="I61" s="22" t="n">
        <v>10</v>
      </c>
      <c r="J61" s="24" t="n">
        <v>1.18</v>
      </c>
      <c r="K61" s="25">
        <f>H61*J61</f>
        <v/>
      </c>
      <c r="L61" s="26">
        <f>IFERROR(SUMIFS(Sales!$D$5:$D$504,Sales!$B$5:$B$504,$A61,Sales!$A$5:$A$504,"&gt;="&amp;Setup!$B$5-Setup!$B$6,Sales!$A$5:$A$504,"&lt;="&amp;Setup!$B$5)/Setup!$B$6,0)</f>
        <v/>
      </c>
      <c r="M61" s="27">
        <f>IF(L61&lt;=0,999,H61/L61)</f>
        <v/>
      </c>
      <c r="N61" s="28">
        <f>IF(L61&lt;=0,"No recent sales",Setup!$B$5+M61)</f>
        <v/>
      </c>
      <c r="O61" s="23">
        <f>Setup!$B$11</f>
        <v/>
      </c>
      <c r="P61" s="23">
        <f>ROUNDUP(L61*Setup!$B$12,0)</f>
        <v/>
      </c>
      <c r="Q61" s="23">
        <f>IF(MAX(0,ROUNDUP((L61*(O61+Setup!$B$12))-H61,0))=0,0,CEILING(MAX(0,ROUNDUP((L61*(O61+Setup!$B$12))-H61,0)),Setup!$B$13))</f>
        <v/>
      </c>
      <c r="R61" s="28">
        <f>IF(L61&lt;=0,"No sales signal",N61-O61)</f>
        <v/>
      </c>
      <c r="S61" s="29">
        <f>IF(H61&lt;=0,"Order now",IF(R61="No sales signal","No action",IF(R61&lt;=Setup!$B$5,"Order now",IF(R61&lt;=Setup!$B$5+7,"Order this week",IF(H61&lt;=I61,"Plan reorder","No action")))))</f>
        <v/>
      </c>
      <c r="T61" s="29">
        <f>IF(H61&lt;=0,"Out of stock",IF(H61&lt;=I61,"Reorder soon","Healthy"))</f>
        <v/>
      </c>
      <c r="U61" s="30" t="inlineStr">
        <is>
          <t>Hard enamel pin / batch 3</t>
        </is>
      </c>
    </row>
    <row r="62">
      <c r="A62" s="21" t="inlineStr">
        <is>
          <t>SKU-058</t>
        </is>
      </c>
      <c r="B62" s="21" t="inlineStr">
        <is>
          <t>Enamel Pin - Slate</t>
        </is>
      </c>
      <c r="C62" s="21" t="inlineStr">
        <is>
          <t>Accessories</t>
        </is>
      </c>
      <c r="D62" s="21" t="inlineStr">
        <is>
          <t>Studio Nine</t>
        </is>
      </c>
      <c r="E62" s="22" t="n">
        <v>31</v>
      </c>
      <c r="F62" s="23">
        <f>SUMIFS(Purchases!$D$5:$D$304,Purchases!$B$5:$B$304,$A62)</f>
        <v/>
      </c>
      <c r="G62" s="23">
        <f>SUMIFS(Sales!$D$5:$D$504,Sales!$B$5:$B$504,$A62)</f>
        <v/>
      </c>
      <c r="H62" s="23">
        <f>E62+F62-G62</f>
        <v/>
      </c>
      <c r="I62" s="22" t="n">
        <v>11</v>
      </c>
      <c r="J62" s="24" t="n">
        <v>1.35</v>
      </c>
      <c r="K62" s="25">
        <f>H62*J62</f>
        <v/>
      </c>
      <c r="L62" s="26">
        <f>IFERROR(SUMIFS(Sales!$D$5:$D$504,Sales!$B$5:$B$504,$A62,Sales!$A$5:$A$504,"&gt;="&amp;Setup!$B$5-Setup!$B$6,Sales!$A$5:$A$504,"&lt;="&amp;Setup!$B$5)/Setup!$B$6,0)</f>
        <v/>
      </c>
      <c r="M62" s="27">
        <f>IF(L62&lt;=0,999,H62/L62)</f>
        <v/>
      </c>
      <c r="N62" s="28">
        <f>IF(L62&lt;=0,"No recent sales",Setup!$B$5+M62)</f>
        <v/>
      </c>
      <c r="O62" s="23">
        <f>Setup!$B$11</f>
        <v/>
      </c>
      <c r="P62" s="23">
        <f>ROUNDUP(L62*Setup!$B$12,0)</f>
        <v/>
      </c>
      <c r="Q62" s="23">
        <f>IF(MAX(0,ROUNDUP((L62*(O62+Setup!$B$12))-H62,0))=0,0,CEILING(MAX(0,ROUNDUP((L62*(O62+Setup!$B$12))-H62,0)),Setup!$B$13))</f>
        <v/>
      </c>
      <c r="R62" s="28">
        <f>IF(L62&lt;=0,"No sales signal",N62-O62)</f>
        <v/>
      </c>
      <c r="S62" s="29">
        <f>IF(H62&lt;=0,"Order now",IF(R62="No sales signal","No action",IF(R62&lt;=Setup!$B$5,"Order now",IF(R62&lt;=Setup!$B$5+7,"Order this week",IF(H62&lt;=I62,"Plan reorder","No action")))))</f>
        <v/>
      </c>
      <c r="T62" s="29">
        <f>IF(H62&lt;=0,"Out of stock",IF(H62&lt;=I62,"Reorder soon","Healthy"))</f>
        <v/>
      </c>
      <c r="U62" s="30" t="inlineStr">
        <is>
          <t>Hard enamel pin / batch 3</t>
        </is>
      </c>
    </row>
    <row r="63">
      <c r="A63" s="21" t="inlineStr">
        <is>
          <t>SKU-059</t>
        </is>
      </c>
      <c r="B63" s="21" t="inlineStr">
        <is>
          <t>Enamel Pin - Coral</t>
        </is>
      </c>
      <c r="C63" s="21" t="inlineStr">
        <is>
          <t>Accessories</t>
        </is>
      </c>
      <c r="D63" s="21" t="inlineStr">
        <is>
          <t>Studio Nine</t>
        </is>
      </c>
      <c r="E63" s="22" t="n">
        <v>33</v>
      </c>
      <c r="F63" s="23">
        <f>SUMIFS(Purchases!$D$5:$D$304,Purchases!$B$5:$B$304,$A63)</f>
        <v/>
      </c>
      <c r="G63" s="23">
        <f>SUMIFS(Sales!$D$5:$D$504,Sales!$B$5:$B$504,$A63)</f>
        <v/>
      </c>
      <c r="H63" s="23">
        <f>E63+F63-G63</f>
        <v/>
      </c>
      <c r="I63" s="22" t="n">
        <v>12</v>
      </c>
      <c r="J63" s="24" t="n">
        <v>1.52</v>
      </c>
      <c r="K63" s="25">
        <f>H63*J63</f>
        <v/>
      </c>
      <c r="L63" s="26">
        <f>IFERROR(SUMIFS(Sales!$D$5:$D$504,Sales!$B$5:$B$504,$A63,Sales!$A$5:$A$504,"&gt;="&amp;Setup!$B$5-Setup!$B$6,Sales!$A$5:$A$504,"&lt;="&amp;Setup!$B$5)/Setup!$B$6,0)</f>
        <v/>
      </c>
      <c r="M63" s="27">
        <f>IF(L63&lt;=0,999,H63/L63)</f>
        <v/>
      </c>
      <c r="N63" s="28">
        <f>IF(L63&lt;=0,"No recent sales",Setup!$B$5+M63)</f>
        <v/>
      </c>
      <c r="O63" s="23">
        <f>Setup!$B$11</f>
        <v/>
      </c>
      <c r="P63" s="23">
        <f>ROUNDUP(L63*Setup!$B$12,0)</f>
        <v/>
      </c>
      <c r="Q63" s="23">
        <f>IF(MAX(0,ROUNDUP((L63*(O63+Setup!$B$12))-H63,0))=0,0,CEILING(MAX(0,ROUNDUP((L63*(O63+Setup!$B$12))-H63,0)),Setup!$B$13))</f>
        <v/>
      </c>
      <c r="R63" s="28">
        <f>IF(L63&lt;=0,"No sales signal",N63-O63)</f>
        <v/>
      </c>
      <c r="S63" s="29">
        <f>IF(H63&lt;=0,"Order now",IF(R63="No sales signal","No action",IF(R63&lt;=Setup!$B$5,"Order now",IF(R63&lt;=Setup!$B$5+7,"Order this week",IF(H63&lt;=I63,"Plan reorder","No action")))))</f>
        <v/>
      </c>
      <c r="T63" s="29">
        <f>IF(H63&lt;=0,"Out of stock",IF(H63&lt;=I63,"Reorder soon","Healthy"))</f>
        <v/>
      </c>
      <c r="U63" s="30" t="inlineStr">
        <is>
          <t>Hard enamel pin / batch 3</t>
        </is>
      </c>
    </row>
    <row r="64">
      <c r="A64" s="21" t="inlineStr">
        <is>
          <t>SKU-060</t>
        </is>
      </c>
      <c r="B64" s="21" t="inlineStr">
        <is>
          <t>Enamel Pin - Natural</t>
        </is>
      </c>
      <c r="C64" s="21" t="inlineStr">
        <is>
          <t>Accessories</t>
        </is>
      </c>
      <c r="D64" s="21" t="inlineStr">
        <is>
          <t>Studio Nine</t>
        </is>
      </c>
      <c r="E64" s="22" t="n">
        <v>35</v>
      </c>
      <c r="F64" s="23">
        <f>SUMIFS(Purchases!$D$5:$D$304,Purchases!$B$5:$B$304,$A64)</f>
        <v/>
      </c>
      <c r="G64" s="23">
        <f>SUMIFS(Sales!$D$5:$D$504,Sales!$B$5:$B$504,$A64)</f>
        <v/>
      </c>
      <c r="H64" s="23">
        <f>E64+F64-G64</f>
        <v/>
      </c>
      <c r="I64" s="22" t="n">
        <v>13</v>
      </c>
      <c r="J64" s="24" t="n">
        <v>1.69</v>
      </c>
      <c r="K64" s="25">
        <f>H64*J64</f>
        <v/>
      </c>
      <c r="L64" s="26">
        <f>IFERROR(SUMIFS(Sales!$D$5:$D$504,Sales!$B$5:$B$504,$A64,Sales!$A$5:$A$504,"&gt;="&amp;Setup!$B$5-Setup!$B$6,Sales!$A$5:$A$504,"&lt;="&amp;Setup!$B$5)/Setup!$B$6,0)</f>
        <v/>
      </c>
      <c r="M64" s="27">
        <f>IF(L64&lt;=0,999,H64/L64)</f>
        <v/>
      </c>
      <c r="N64" s="28">
        <f>IF(L64&lt;=0,"No recent sales",Setup!$B$5+M64)</f>
        <v/>
      </c>
      <c r="O64" s="23">
        <f>Setup!$B$11</f>
        <v/>
      </c>
      <c r="P64" s="23">
        <f>ROUNDUP(L64*Setup!$B$12,0)</f>
        <v/>
      </c>
      <c r="Q64" s="23">
        <f>IF(MAX(0,ROUNDUP((L64*(O64+Setup!$B$12))-H64,0))=0,0,CEILING(MAX(0,ROUNDUP((L64*(O64+Setup!$B$12))-H64,0)),Setup!$B$13))</f>
        <v/>
      </c>
      <c r="R64" s="28">
        <f>IF(L64&lt;=0,"No sales signal",N64-O64)</f>
        <v/>
      </c>
      <c r="S64" s="29">
        <f>IF(H64&lt;=0,"Order now",IF(R64="No sales signal","No action",IF(R64&lt;=Setup!$B$5,"Order now",IF(R64&lt;=Setup!$B$5+7,"Order this week",IF(H64&lt;=I64,"Plan reorder","No action")))))</f>
        <v/>
      </c>
      <c r="T64" s="29">
        <f>IF(H64&lt;=0,"Out of stock",IF(H64&lt;=I64,"Reorder soon","Healthy"))</f>
        <v/>
      </c>
      <c r="U64" s="30" t="inlineStr">
        <is>
          <t>Hard enamel pin / batch 3</t>
        </is>
      </c>
    </row>
    <row r="65">
      <c r="A65" s="21" t="inlineStr">
        <is>
          <t>SKU-061</t>
        </is>
      </c>
      <c r="B65" s="21" t="inlineStr">
        <is>
          <t>Lunch Box - Sand</t>
        </is>
      </c>
      <c r="C65" s="21" t="inlineStr">
        <is>
          <t>Home</t>
        </is>
      </c>
      <c r="D65" s="21" t="inlineStr">
        <is>
          <t>Harbor Supply</t>
        </is>
      </c>
      <c r="E65" s="22" t="n">
        <v>20</v>
      </c>
      <c r="F65" s="23">
        <f>SUMIFS(Purchases!$D$5:$D$304,Purchases!$B$5:$B$304,$A65)</f>
        <v/>
      </c>
      <c r="G65" s="23">
        <f>SUMIFS(Sales!$D$5:$D$504,Sales!$B$5:$B$504,$A65)</f>
        <v/>
      </c>
      <c r="H65" s="23">
        <f>E65+F65-G65</f>
        <v/>
      </c>
      <c r="I65" s="22" t="n">
        <v>8</v>
      </c>
      <c r="J65" s="24" t="n">
        <v>3.56</v>
      </c>
      <c r="K65" s="25">
        <f>H65*J65</f>
        <v/>
      </c>
      <c r="L65" s="26">
        <f>IFERROR(SUMIFS(Sales!$D$5:$D$504,Sales!$B$5:$B$504,$A65,Sales!$A$5:$A$504,"&gt;="&amp;Setup!$B$5-Setup!$B$6,Sales!$A$5:$A$504,"&lt;="&amp;Setup!$B$5)/Setup!$B$6,0)</f>
        <v/>
      </c>
      <c r="M65" s="27">
        <f>IF(L65&lt;=0,999,H65/L65)</f>
        <v/>
      </c>
      <c r="N65" s="28">
        <f>IF(L65&lt;=0,"No recent sales",Setup!$B$5+M65)</f>
        <v/>
      </c>
      <c r="O65" s="23">
        <f>Setup!$B$11</f>
        <v/>
      </c>
      <c r="P65" s="23">
        <f>ROUNDUP(L65*Setup!$B$12,0)</f>
        <v/>
      </c>
      <c r="Q65" s="23">
        <f>IF(MAX(0,ROUNDUP((L65*(O65+Setup!$B$12))-H65,0))=0,0,CEILING(MAX(0,ROUNDUP((L65*(O65+Setup!$B$12))-H65,0)),Setup!$B$13))</f>
        <v/>
      </c>
      <c r="R65" s="28">
        <f>IF(L65&lt;=0,"No sales signal",N65-O65)</f>
        <v/>
      </c>
      <c r="S65" s="29">
        <f>IF(H65&lt;=0,"Order now",IF(R65="No sales signal","No action",IF(R65&lt;=Setup!$B$5,"Order now",IF(R65&lt;=Setup!$B$5+7,"Order this week",IF(H65&lt;=I65,"Plan reorder","No action")))))</f>
        <v/>
      </c>
      <c r="T65" s="29">
        <f>IF(H65&lt;=0,"Out of stock",IF(H65&lt;=I65,"Reorder soon","Healthy"))</f>
        <v/>
      </c>
      <c r="U65" s="30" t="inlineStr">
        <is>
          <t>Snap lid lunch box / batch 4</t>
        </is>
      </c>
    </row>
    <row r="66">
      <c r="A66" s="21" t="inlineStr">
        <is>
          <t>SKU-062</t>
        </is>
      </c>
      <c r="B66" s="21" t="inlineStr">
        <is>
          <t>Lunch Box - Olive</t>
        </is>
      </c>
      <c r="C66" s="21" t="inlineStr">
        <is>
          <t>Home</t>
        </is>
      </c>
      <c r="D66" s="21" t="inlineStr">
        <is>
          <t>Harbor Supply</t>
        </is>
      </c>
      <c r="E66" s="22" t="n">
        <v>22</v>
      </c>
      <c r="F66" s="23">
        <f>SUMIFS(Purchases!$D$5:$D$304,Purchases!$B$5:$B$304,$A66)</f>
        <v/>
      </c>
      <c r="G66" s="23">
        <f>SUMIFS(Sales!$D$5:$D$504,Sales!$B$5:$B$504,$A66)</f>
        <v/>
      </c>
      <c r="H66" s="23">
        <f>E66+F66-G66</f>
        <v/>
      </c>
      <c r="I66" s="22" t="n">
        <v>9</v>
      </c>
      <c r="J66" s="24" t="n">
        <v>3.73</v>
      </c>
      <c r="K66" s="25">
        <f>H66*J66</f>
        <v/>
      </c>
      <c r="L66" s="26">
        <f>IFERROR(SUMIFS(Sales!$D$5:$D$504,Sales!$B$5:$B$504,$A66,Sales!$A$5:$A$504,"&gt;="&amp;Setup!$B$5-Setup!$B$6,Sales!$A$5:$A$504,"&lt;="&amp;Setup!$B$5)/Setup!$B$6,0)</f>
        <v/>
      </c>
      <c r="M66" s="27">
        <f>IF(L66&lt;=0,999,H66/L66)</f>
        <v/>
      </c>
      <c r="N66" s="28">
        <f>IF(L66&lt;=0,"No recent sales",Setup!$B$5+M66)</f>
        <v/>
      </c>
      <c r="O66" s="23">
        <f>Setup!$B$11</f>
        <v/>
      </c>
      <c r="P66" s="23">
        <f>ROUNDUP(L66*Setup!$B$12,0)</f>
        <v/>
      </c>
      <c r="Q66" s="23">
        <f>IF(MAX(0,ROUNDUP((L66*(O66+Setup!$B$12))-H66,0))=0,0,CEILING(MAX(0,ROUNDUP((L66*(O66+Setup!$B$12))-H66,0)),Setup!$B$13))</f>
        <v/>
      </c>
      <c r="R66" s="28">
        <f>IF(L66&lt;=0,"No sales signal",N66-O66)</f>
        <v/>
      </c>
      <c r="S66" s="29">
        <f>IF(H66&lt;=0,"Order now",IF(R66="No sales signal","No action",IF(R66&lt;=Setup!$B$5,"Order now",IF(R66&lt;=Setup!$B$5+7,"Order this week",IF(H66&lt;=I66,"Plan reorder","No action")))))</f>
        <v/>
      </c>
      <c r="T66" s="29">
        <f>IF(H66&lt;=0,"Out of stock",IF(H66&lt;=I66,"Reorder soon","Healthy"))</f>
        <v/>
      </c>
      <c r="U66" s="30" t="inlineStr">
        <is>
          <t>Snap lid lunch box / batch 4</t>
        </is>
      </c>
    </row>
    <row r="67">
      <c r="A67" s="21" t="inlineStr">
        <is>
          <t>SKU-063</t>
        </is>
      </c>
      <c r="B67" s="21" t="inlineStr">
        <is>
          <t>Lunch Box - Slate</t>
        </is>
      </c>
      <c r="C67" s="21" t="inlineStr">
        <is>
          <t>Home</t>
        </is>
      </c>
      <c r="D67" s="21" t="inlineStr">
        <is>
          <t>Harbor Supply</t>
        </is>
      </c>
      <c r="E67" s="22" t="n">
        <v>24</v>
      </c>
      <c r="F67" s="23">
        <f>SUMIFS(Purchases!$D$5:$D$304,Purchases!$B$5:$B$304,$A67)</f>
        <v/>
      </c>
      <c r="G67" s="23">
        <f>SUMIFS(Sales!$D$5:$D$504,Sales!$B$5:$B$504,$A67)</f>
        <v/>
      </c>
      <c r="H67" s="23">
        <f>E67+F67-G67</f>
        <v/>
      </c>
      <c r="I67" s="22" t="n">
        <v>10</v>
      </c>
      <c r="J67" s="24" t="n">
        <v>3.9</v>
      </c>
      <c r="K67" s="25">
        <f>H67*J67</f>
        <v/>
      </c>
      <c r="L67" s="26">
        <f>IFERROR(SUMIFS(Sales!$D$5:$D$504,Sales!$B$5:$B$504,$A67,Sales!$A$5:$A$504,"&gt;="&amp;Setup!$B$5-Setup!$B$6,Sales!$A$5:$A$504,"&lt;="&amp;Setup!$B$5)/Setup!$B$6,0)</f>
        <v/>
      </c>
      <c r="M67" s="27">
        <f>IF(L67&lt;=0,999,H67/L67)</f>
        <v/>
      </c>
      <c r="N67" s="28">
        <f>IF(L67&lt;=0,"No recent sales",Setup!$B$5+M67)</f>
        <v/>
      </c>
      <c r="O67" s="23">
        <f>Setup!$B$11</f>
        <v/>
      </c>
      <c r="P67" s="23">
        <f>ROUNDUP(L67*Setup!$B$12,0)</f>
        <v/>
      </c>
      <c r="Q67" s="23">
        <f>IF(MAX(0,ROUNDUP((L67*(O67+Setup!$B$12))-H67,0))=0,0,CEILING(MAX(0,ROUNDUP((L67*(O67+Setup!$B$12))-H67,0)),Setup!$B$13))</f>
        <v/>
      </c>
      <c r="R67" s="28">
        <f>IF(L67&lt;=0,"No sales signal",N67-O67)</f>
        <v/>
      </c>
      <c r="S67" s="29">
        <f>IF(H67&lt;=0,"Order now",IF(R67="No sales signal","No action",IF(R67&lt;=Setup!$B$5,"Order now",IF(R67&lt;=Setup!$B$5+7,"Order this week",IF(H67&lt;=I67,"Plan reorder","No action")))))</f>
        <v/>
      </c>
      <c r="T67" s="29">
        <f>IF(H67&lt;=0,"Out of stock",IF(H67&lt;=I67,"Reorder soon","Healthy"))</f>
        <v/>
      </c>
      <c r="U67" s="30" t="inlineStr">
        <is>
          <t>Snap lid lunch box / batch 4</t>
        </is>
      </c>
    </row>
    <row r="68">
      <c r="A68" s="21" t="inlineStr">
        <is>
          <t>SKU-064</t>
        </is>
      </c>
      <c r="B68" s="21" t="inlineStr">
        <is>
          <t>Lunch Box - Coral</t>
        </is>
      </c>
      <c r="C68" s="21" t="inlineStr">
        <is>
          <t>Home</t>
        </is>
      </c>
      <c r="D68" s="21" t="inlineStr">
        <is>
          <t>Harbor Supply</t>
        </is>
      </c>
      <c r="E68" s="22" t="n">
        <v>26</v>
      </c>
      <c r="F68" s="23">
        <f>SUMIFS(Purchases!$D$5:$D$304,Purchases!$B$5:$B$304,$A68)</f>
        <v/>
      </c>
      <c r="G68" s="23">
        <f>SUMIFS(Sales!$D$5:$D$504,Sales!$B$5:$B$504,$A68)</f>
        <v/>
      </c>
      <c r="H68" s="23">
        <f>E68+F68-G68</f>
        <v/>
      </c>
      <c r="I68" s="22" t="n">
        <v>11</v>
      </c>
      <c r="J68" s="24" t="n">
        <v>4.07</v>
      </c>
      <c r="K68" s="25">
        <f>H68*J68</f>
        <v/>
      </c>
      <c r="L68" s="26">
        <f>IFERROR(SUMIFS(Sales!$D$5:$D$504,Sales!$B$5:$B$504,$A68,Sales!$A$5:$A$504,"&gt;="&amp;Setup!$B$5-Setup!$B$6,Sales!$A$5:$A$504,"&lt;="&amp;Setup!$B$5)/Setup!$B$6,0)</f>
        <v/>
      </c>
      <c r="M68" s="27">
        <f>IF(L68&lt;=0,999,H68/L68)</f>
        <v/>
      </c>
      <c r="N68" s="28">
        <f>IF(L68&lt;=0,"No recent sales",Setup!$B$5+M68)</f>
        <v/>
      </c>
      <c r="O68" s="23">
        <f>Setup!$B$11</f>
        <v/>
      </c>
      <c r="P68" s="23">
        <f>ROUNDUP(L68*Setup!$B$12,0)</f>
        <v/>
      </c>
      <c r="Q68" s="23">
        <f>IF(MAX(0,ROUNDUP((L68*(O68+Setup!$B$12))-H68,0))=0,0,CEILING(MAX(0,ROUNDUP((L68*(O68+Setup!$B$12))-H68,0)),Setup!$B$13))</f>
        <v/>
      </c>
      <c r="R68" s="28">
        <f>IF(L68&lt;=0,"No sales signal",N68-O68)</f>
        <v/>
      </c>
      <c r="S68" s="29">
        <f>IF(H68&lt;=0,"Order now",IF(R68="No sales signal","No action",IF(R68&lt;=Setup!$B$5,"Order now",IF(R68&lt;=Setup!$B$5+7,"Order this week",IF(H68&lt;=I68,"Plan reorder","No action")))))</f>
        <v/>
      </c>
      <c r="T68" s="29">
        <f>IF(H68&lt;=0,"Out of stock",IF(H68&lt;=I68,"Reorder soon","Healthy"))</f>
        <v/>
      </c>
      <c r="U68" s="30" t="inlineStr">
        <is>
          <t>Snap lid lunch box / batch 4</t>
        </is>
      </c>
    </row>
    <row r="69">
      <c r="A69" s="21" t="inlineStr">
        <is>
          <t>SKU-065</t>
        </is>
      </c>
      <c r="B69" s="21" t="inlineStr">
        <is>
          <t>Lunch Box - Natural</t>
        </is>
      </c>
      <c r="C69" s="21" t="inlineStr">
        <is>
          <t>Home</t>
        </is>
      </c>
      <c r="D69" s="21" t="inlineStr">
        <is>
          <t>Harbor Supply</t>
        </is>
      </c>
      <c r="E69" s="22" t="n">
        <v>28</v>
      </c>
      <c r="F69" s="23">
        <f>SUMIFS(Purchases!$D$5:$D$304,Purchases!$B$5:$B$304,$A69)</f>
        <v/>
      </c>
      <c r="G69" s="23">
        <f>SUMIFS(Sales!$D$5:$D$504,Sales!$B$5:$B$504,$A69)</f>
        <v/>
      </c>
      <c r="H69" s="23">
        <f>E69+F69-G69</f>
        <v/>
      </c>
      <c r="I69" s="22" t="n">
        <v>8</v>
      </c>
      <c r="J69" s="24" t="n">
        <v>4.24</v>
      </c>
      <c r="K69" s="25">
        <f>H69*J69</f>
        <v/>
      </c>
      <c r="L69" s="26">
        <f>IFERROR(SUMIFS(Sales!$D$5:$D$504,Sales!$B$5:$B$504,$A69,Sales!$A$5:$A$504,"&gt;="&amp;Setup!$B$5-Setup!$B$6,Sales!$A$5:$A$504,"&lt;="&amp;Setup!$B$5)/Setup!$B$6,0)</f>
        <v/>
      </c>
      <c r="M69" s="27">
        <f>IF(L69&lt;=0,999,H69/L69)</f>
        <v/>
      </c>
      <c r="N69" s="28">
        <f>IF(L69&lt;=0,"No recent sales",Setup!$B$5+M69)</f>
        <v/>
      </c>
      <c r="O69" s="23">
        <f>Setup!$B$11</f>
        <v/>
      </c>
      <c r="P69" s="23">
        <f>ROUNDUP(L69*Setup!$B$12,0)</f>
        <v/>
      </c>
      <c r="Q69" s="23">
        <f>IF(MAX(0,ROUNDUP((L69*(O69+Setup!$B$12))-H69,0))=0,0,CEILING(MAX(0,ROUNDUP((L69*(O69+Setup!$B$12))-H69,0)),Setup!$B$13))</f>
        <v/>
      </c>
      <c r="R69" s="28">
        <f>IF(L69&lt;=0,"No sales signal",N69-O69)</f>
        <v/>
      </c>
      <c r="S69" s="29">
        <f>IF(H69&lt;=0,"Order now",IF(R69="No sales signal","No action",IF(R69&lt;=Setup!$B$5,"Order now",IF(R69&lt;=Setup!$B$5+7,"Order this week",IF(H69&lt;=I69,"Plan reorder","No action")))))</f>
        <v/>
      </c>
      <c r="T69" s="29">
        <f>IF(H69&lt;=0,"Out of stock",IF(H69&lt;=I69,"Reorder soon","Healthy"))</f>
        <v/>
      </c>
      <c r="U69" s="30" t="inlineStr">
        <is>
          <t>Snap lid lunch box / batch 4</t>
        </is>
      </c>
    </row>
    <row r="70">
      <c r="A70" s="21" t="inlineStr">
        <is>
          <t>SKU-066</t>
        </is>
      </c>
      <c r="B70" s="21" t="inlineStr">
        <is>
          <t>Desk Mat - Sand</t>
        </is>
      </c>
      <c r="C70" s="21" t="inlineStr">
        <is>
          <t>Accessories</t>
        </is>
      </c>
      <c r="D70" s="21" t="inlineStr">
        <is>
          <t>Northstar Wholesale</t>
        </is>
      </c>
      <c r="E70" s="22" t="n">
        <v>28</v>
      </c>
      <c r="F70" s="23">
        <f>SUMIFS(Purchases!$D$5:$D$304,Purchases!$B$5:$B$304,$A70)</f>
        <v/>
      </c>
      <c r="G70" s="23">
        <f>SUMIFS(Sales!$D$5:$D$504,Sales!$B$5:$B$504,$A70)</f>
        <v/>
      </c>
      <c r="H70" s="23">
        <f>E70+F70-G70</f>
        <v/>
      </c>
      <c r="I70" s="22" t="n">
        <v>7</v>
      </c>
      <c r="J70" s="24" t="n">
        <v>5.36</v>
      </c>
      <c r="K70" s="25">
        <f>H70*J70</f>
        <v/>
      </c>
      <c r="L70" s="26">
        <f>IFERROR(SUMIFS(Sales!$D$5:$D$504,Sales!$B$5:$B$504,$A70,Sales!$A$5:$A$504,"&gt;="&amp;Setup!$B$5-Setup!$B$6,Sales!$A$5:$A$504,"&lt;="&amp;Setup!$B$5)/Setup!$B$6,0)</f>
        <v/>
      </c>
      <c r="M70" s="27">
        <f>IF(L70&lt;=0,999,H70/L70)</f>
        <v/>
      </c>
      <c r="N70" s="28">
        <f>IF(L70&lt;=0,"No recent sales",Setup!$B$5+M70)</f>
        <v/>
      </c>
      <c r="O70" s="23">
        <f>Setup!$B$11</f>
        <v/>
      </c>
      <c r="P70" s="23">
        <f>ROUNDUP(L70*Setup!$B$12,0)</f>
        <v/>
      </c>
      <c r="Q70" s="23">
        <f>IF(MAX(0,ROUNDUP((L70*(O70+Setup!$B$12))-H70,0))=0,0,CEILING(MAX(0,ROUNDUP((L70*(O70+Setup!$B$12))-H70,0)),Setup!$B$13))</f>
        <v/>
      </c>
      <c r="R70" s="28">
        <f>IF(L70&lt;=0,"No sales signal",N70-O70)</f>
        <v/>
      </c>
      <c r="S70" s="29">
        <f>IF(H70&lt;=0,"Order now",IF(R70="No sales signal","No action",IF(R70&lt;=Setup!$B$5,"Order now",IF(R70&lt;=Setup!$B$5+7,"Order this week",IF(H70&lt;=I70,"Plan reorder","No action")))))</f>
        <v/>
      </c>
      <c r="T70" s="29">
        <f>IF(H70&lt;=0,"Out of stock",IF(H70&lt;=I70,"Reorder soon","Healthy"))</f>
        <v/>
      </c>
      <c r="U70" s="30" t="inlineStr">
        <is>
          <t>Large desk mat / batch 4</t>
        </is>
      </c>
    </row>
    <row r="71">
      <c r="A71" s="21" t="inlineStr">
        <is>
          <t>SKU-067</t>
        </is>
      </c>
      <c r="B71" s="21" t="inlineStr">
        <is>
          <t>Desk Mat - Olive</t>
        </is>
      </c>
      <c r="C71" s="21" t="inlineStr">
        <is>
          <t>Accessories</t>
        </is>
      </c>
      <c r="D71" s="21" t="inlineStr">
        <is>
          <t>Northstar Wholesale</t>
        </is>
      </c>
      <c r="E71" s="22" t="n">
        <v>18</v>
      </c>
      <c r="F71" s="23">
        <f>SUMIFS(Purchases!$D$5:$D$304,Purchases!$B$5:$B$304,$A71)</f>
        <v/>
      </c>
      <c r="G71" s="23">
        <f>SUMIFS(Sales!$D$5:$D$504,Sales!$B$5:$B$504,$A71)</f>
        <v/>
      </c>
      <c r="H71" s="23">
        <f>E71+F71-G71</f>
        <v/>
      </c>
      <c r="I71" s="22" t="n">
        <v>8</v>
      </c>
      <c r="J71" s="24" t="n">
        <v>5.53</v>
      </c>
      <c r="K71" s="25">
        <f>H71*J71</f>
        <v/>
      </c>
      <c r="L71" s="26">
        <f>IFERROR(SUMIFS(Sales!$D$5:$D$504,Sales!$B$5:$B$504,$A71,Sales!$A$5:$A$504,"&gt;="&amp;Setup!$B$5-Setup!$B$6,Sales!$A$5:$A$504,"&lt;="&amp;Setup!$B$5)/Setup!$B$6,0)</f>
        <v/>
      </c>
      <c r="M71" s="27">
        <f>IF(L71&lt;=0,999,H71/L71)</f>
        <v/>
      </c>
      <c r="N71" s="28">
        <f>IF(L71&lt;=0,"No recent sales",Setup!$B$5+M71)</f>
        <v/>
      </c>
      <c r="O71" s="23">
        <f>Setup!$B$11</f>
        <v/>
      </c>
      <c r="P71" s="23">
        <f>ROUNDUP(L71*Setup!$B$12,0)</f>
        <v/>
      </c>
      <c r="Q71" s="23">
        <f>IF(MAX(0,ROUNDUP((L71*(O71+Setup!$B$12))-H71,0))=0,0,CEILING(MAX(0,ROUNDUP((L71*(O71+Setup!$B$12))-H71,0)),Setup!$B$13))</f>
        <v/>
      </c>
      <c r="R71" s="28">
        <f>IF(L71&lt;=0,"No sales signal",N71-O71)</f>
        <v/>
      </c>
      <c r="S71" s="29">
        <f>IF(H71&lt;=0,"Order now",IF(R71="No sales signal","No action",IF(R71&lt;=Setup!$B$5,"Order now",IF(R71&lt;=Setup!$B$5+7,"Order this week",IF(H71&lt;=I71,"Plan reorder","No action")))))</f>
        <v/>
      </c>
      <c r="T71" s="29">
        <f>IF(H71&lt;=0,"Out of stock",IF(H71&lt;=I71,"Reorder soon","Healthy"))</f>
        <v/>
      </c>
      <c r="U71" s="30" t="inlineStr">
        <is>
          <t>Large desk mat / batch 4</t>
        </is>
      </c>
    </row>
    <row r="72">
      <c r="A72" s="21" t="inlineStr">
        <is>
          <t>SKU-068</t>
        </is>
      </c>
      <c r="B72" s="21" t="inlineStr">
        <is>
          <t>Desk Mat - Slate</t>
        </is>
      </c>
      <c r="C72" s="21" t="inlineStr">
        <is>
          <t>Accessories</t>
        </is>
      </c>
      <c r="D72" s="21" t="inlineStr">
        <is>
          <t>Northstar Wholesale</t>
        </is>
      </c>
      <c r="E72" s="22" t="n">
        <v>20</v>
      </c>
      <c r="F72" s="23">
        <f>SUMIFS(Purchases!$D$5:$D$304,Purchases!$B$5:$B$304,$A72)</f>
        <v/>
      </c>
      <c r="G72" s="23">
        <f>SUMIFS(Sales!$D$5:$D$504,Sales!$B$5:$B$504,$A72)</f>
        <v/>
      </c>
      <c r="H72" s="23">
        <f>E72+F72-G72</f>
        <v/>
      </c>
      <c r="I72" s="22" t="n">
        <v>9</v>
      </c>
      <c r="J72" s="24" t="n">
        <v>5.7</v>
      </c>
      <c r="K72" s="25">
        <f>H72*J72</f>
        <v/>
      </c>
      <c r="L72" s="26">
        <f>IFERROR(SUMIFS(Sales!$D$5:$D$504,Sales!$B$5:$B$504,$A72,Sales!$A$5:$A$504,"&gt;="&amp;Setup!$B$5-Setup!$B$6,Sales!$A$5:$A$504,"&lt;="&amp;Setup!$B$5)/Setup!$B$6,0)</f>
        <v/>
      </c>
      <c r="M72" s="27">
        <f>IF(L72&lt;=0,999,H72/L72)</f>
        <v/>
      </c>
      <c r="N72" s="28">
        <f>IF(L72&lt;=0,"No recent sales",Setup!$B$5+M72)</f>
        <v/>
      </c>
      <c r="O72" s="23">
        <f>Setup!$B$11</f>
        <v/>
      </c>
      <c r="P72" s="23">
        <f>ROUNDUP(L72*Setup!$B$12,0)</f>
        <v/>
      </c>
      <c r="Q72" s="23">
        <f>IF(MAX(0,ROUNDUP((L72*(O72+Setup!$B$12))-H72,0))=0,0,CEILING(MAX(0,ROUNDUP((L72*(O72+Setup!$B$12))-H72,0)),Setup!$B$13))</f>
        <v/>
      </c>
      <c r="R72" s="28">
        <f>IF(L72&lt;=0,"No sales signal",N72-O72)</f>
        <v/>
      </c>
      <c r="S72" s="29">
        <f>IF(H72&lt;=0,"Order now",IF(R72="No sales signal","No action",IF(R72&lt;=Setup!$B$5,"Order now",IF(R72&lt;=Setup!$B$5+7,"Order this week",IF(H72&lt;=I72,"Plan reorder","No action")))))</f>
        <v/>
      </c>
      <c r="T72" s="29">
        <f>IF(H72&lt;=0,"Out of stock",IF(H72&lt;=I72,"Reorder soon","Healthy"))</f>
        <v/>
      </c>
      <c r="U72" s="30" t="inlineStr">
        <is>
          <t>Large desk mat / batch 4</t>
        </is>
      </c>
    </row>
    <row r="73">
      <c r="A73" s="21" t="inlineStr">
        <is>
          <t>SKU-069</t>
        </is>
      </c>
      <c r="B73" s="21" t="inlineStr">
        <is>
          <t>Desk Mat - Coral</t>
        </is>
      </c>
      <c r="C73" s="21" t="inlineStr">
        <is>
          <t>Accessories</t>
        </is>
      </c>
      <c r="D73" s="21" t="inlineStr">
        <is>
          <t>Northstar Wholesale</t>
        </is>
      </c>
      <c r="E73" s="22" t="n">
        <v>22</v>
      </c>
      <c r="F73" s="23">
        <f>SUMIFS(Purchases!$D$5:$D$304,Purchases!$B$5:$B$304,$A73)</f>
        <v/>
      </c>
      <c r="G73" s="23">
        <f>SUMIFS(Sales!$D$5:$D$504,Sales!$B$5:$B$504,$A73)</f>
        <v/>
      </c>
      <c r="H73" s="23">
        <f>E73+F73-G73</f>
        <v/>
      </c>
      <c r="I73" s="22" t="n">
        <v>6</v>
      </c>
      <c r="J73" s="24" t="n">
        <v>5.87</v>
      </c>
      <c r="K73" s="25">
        <f>H73*J73</f>
        <v/>
      </c>
      <c r="L73" s="26">
        <f>IFERROR(SUMIFS(Sales!$D$5:$D$504,Sales!$B$5:$B$504,$A73,Sales!$A$5:$A$504,"&gt;="&amp;Setup!$B$5-Setup!$B$6,Sales!$A$5:$A$504,"&lt;="&amp;Setup!$B$5)/Setup!$B$6,0)</f>
        <v/>
      </c>
      <c r="M73" s="27">
        <f>IF(L73&lt;=0,999,H73/L73)</f>
        <v/>
      </c>
      <c r="N73" s="28">
        <f>IF(L73&lt;=0,"No recent sales",Setup!$B$5+M73)</f>
        <v/>
      </c>
      <c r="O73" s="23">
        <f>Setup!$B$11</f>
        <v/>
      </c>
      <c r="P73" s="23">
        <f>ROUNDUP(L73*Setup!$B$12,0)</f>
        <v/>
      </c>
      <c r="Q73" s="23">
        <f>IF(MAX(0,ROUNDUP((L73*(O73+Setup!$B$12))-H73,0))=0,0,CEILING(MAX(0,ROUNDUP((L73*(O73+Setup!$B$12))-H73,0)),Setup!$B$13))</f>
        <v/>
      </c>
      <c r="R73" s="28">
        <f>IF(L73&lt;=0,"No sales signal",N73-O73)</f>
        <v/>
      </c>
      <c r="S73" s="29">
        <f>IF(H73&lt;=0,"Order now",IF(R73="No sales signal","No action",IF(R73&lt;=Setup!$B$5,"Order now",IF(R73&lt;=Setup!$B$5+7,"Order this week",IF(H73&lt;=I73,"Plan reorder","No action")))))</f>
        <v/>
      </c>
      <c r="T73" s="29">
        <f>IF(H73&lt;=0,"Out of stock",IF(H73&lt;=I73,"Reorder soon","Healthy"))</f>
        <v/>
      </c>
      <c r="U73" s="30" t="inlineStr">
        <is>
          <t>Large desk mat / batch 4</t>
        </is>
      </c>
    </row>
    <row r="74">
      <c r="A74" s="21" t="inlineStr">
        <is>
          <t>SKU-070</t>
        </is>
      </c>
      <c r="B74" s="21" t="inlineStr">
        <is>
          <t>Desk Mat - Natural</t>
        </is>
      </c>
      <c r="C74" s="21" t="inlineStr">
        <is>
          <t>Accessories</t>
        </is>
      </c>
      <c r="D74" s="21" t="inlineStr">
        <is>
          <t>Northstar Wholesale</t>
        </is>
      </c>
      <c r="E74" s="22" t="n">
        <v>24</v>
      </c>
      <c r="F74" s="23">
        <f>SUMIFS(Purchases!$D$5:$D$304,Purchases!$B$5:$B$304,$A74)</f>
        <v/>
      </c>
      <c r="G74" s="23">
        <f>SUMIFS(Sales!$D$5:$D$504,Sales!$B$5:$B$504,$A74)</f>
        <v/>
      </c>
      <c r="H74" s="23">
        <f>E74+F74-G74</f>
        <v/>
      </c>
      <c r="I74" s="22" t="n">
        <v>7</v>
      </c>
      <c r="J74" s="24" t="n">
        <v>6.04</v>
      </c>
      <c r="K74" s="25">
        <f>H74*J74</f>
        <v/>
      </c>
      <c r="L74" s="26">
        <f>IFERROR(SUMIFS(Sales!$D$5:$D$504,Sales!$B$5:$B$504,$A74,Sales!$A$5:$A$504,"&gt;="&amp;Setup!$B$5-Setup!$B$6,Sales!$A$5:$A$504,"&lt;="&amp;Setup!$B$5)/Setup!$B$6,0)</f>
        <v/>
      </c>
      <c r="M74" s="27">
        <f>IF(L74&lt;=0,999,H74/L74)</f>
        <v/>
      </c>
      <c r="N74" s="28">
        <f>IF(L74&lt;=0,"No recent sales",Setup!$B$5+M74)</f>
        <v/>
      </c>
      <c r="O74" s="23">
        <f>Setup!$B$11</f>
        <v/>
      </c>
      <c r="P74" s="23">
        <f>ROUNDUP(L74*Setup!$B$12,0)</f>
        <v/>
      </c>
      <c r="Q74" s="23">
        <f>IF(MAX(0,ROUNDUP((L74*(O74+Setup!$B$12))-H74,0))=0,0,CEILING(MAX(0,ROUNDUP((L74*(O74+Setup!$B$12))-H74,0)),Setup!$B$13))</f>
        <v/>
      </c>
      <c r="R74" s="28">
        <f>IF(L74&lt;=0,"No sales signal",N74-O74)</f>
        <v/>
      </c>
      <c r="S74" s="29">
        <f>IF(H74&lt;=0,"Order now",IF(R74="No sales signal","No action",IF(R74&lt;=Setup!$B$5,"Order now",IF(R74&lt;=Setup!$B$5+7,"Order this week",IF(H74&lt;=I74,"Plan reorder","No action")))))</f>
        <v/>
      </c>
      <c r="T74" s="29">
        <f>IF(H74&lt;=0,"Out of stock",IF(H74&lt;=I74,"Reorder soon","Healthy"))</f>
        <v/>
      </c>
      <c r="U74" s="30" t="inlineStr">
        <is>
          <t>Large desk mat / batch 4</t>
        </is>
      </c>
    </row>
    <row r="75">
      <c r="A75" s="21" t="inlineStr">
        <is>
          <t>SKU-071</t>
        </is>
      </c>
      <c r="B75" s="21" t="inlineStr">
        <is>
          <t>Gift Tag Set - Sand</t>
        </is>
      </c>
      <c r="C75" s="21" t="inlineStr">
        <is>
          <t>Stationery</t>
        </is>
      </c>
      <c r="D75" s="21" t="inlineStr">
        <is>
          <t>Paper Trail Co.</t>
        </is>
      </c>
      <c r="E75" s="22" t="n">
        <v>53</v>
      </c>
      <c r="F75" s="23">
        <f>SUMIFS(Purchases!$D$5:$D$304,Purchases!$B$5:$B$304,$A75)</f>
        <v/>
      </c>
      <c r="G75" s="23">
        <f>SUMIFS(Sales!$D$5:$D$504,Sales!$B$5:$B$504,$A75)</f>
        <v/>
      </c>
      <c r="H75" s="23">
        <f>E75+F75-G75</f>
        <v/>
      </c>
      <c r="I75" s="22" t="n">
        <v>24</v>
      </c>
      <c r="J75" s="24" t="n">
        <v>0.74</v>
      </c>
      <c r="K75" s="25">
        <f>H75*J75</f>
        <v/>
      </c>
      <c r="L75" s="26">
        <f>IFERROR(SUMIFS(Sales!$D$5:$D$504,Sales!$B$5:$B$504,$A75,Sales!$A$5:$A$504,"&gt;="&amp;Setup!$B$5-Setup!$B$6,Sales!$A$5:$A$504,"&lt;="&amp;Setup!$B$5)/Setup!$B$6,0)</f>
        <v/>
      </c>
      <c r="M75" s="27">
        <f>IF(L75&lt;=0,999,H75/L75)</f>
        <v/>
      </c>
      <c r="N75" s="28">
        <f>IF(L75&lt;=0,"No recent sales",Setup!$B$5+M75)</f>
        <v/>
      </c>
      <c r="O75" s="23">
        <f>Setup!$B$11</f>
        <v/>
      </c>
      <c r="P75" s="23">
        <f>ROUNDUP(L75*Setup!$B$12,0)</f>
        <v/>
      </c>
      <c r="Q75" s="23">
        <f>IF(MAX(0,ROUNDUP((L75*(O75+Setup!$B$12))-H75,0))=0,0,CEILING(MAX(0,ROUNDUP((L75*(O75+Setup!$B$12))-H75,0)),Setup!$B$13))</f>
        <v/>
      </c>
      <c r="R75" s="28">
        <f>IF(L75&lt;=0,"No sales signal",N75-O75)</f>
        <v/>
      </c>
      <c r="S75" s="29">
        <f>IF(H75&lt;=0,"Order now",IF(R75="No sales signal","No action",IF(R75&lt;=Setup!$B$5,"Order now",IF(R75&lt;=Setup!$B$5+7,"Order this week",IF(H75&lt;=I75,"Plan reorder","No action")))))</f>
        <v/>
      </c>
      <c r="T75" s="29">
        <f>IF(H75&lt;=0,"Out of stock",IF(H75&lt;=I75,"Reorder soon","Healthy"))</f>
        <v/>
      </c>
      <c r="U75" s="30" t="inlineStr">
        <is>
          <t>Mixed tag pack / batch 4</t>
        </is>
      </c>
    </row>
    <row r="76">
      <c r="A76" s="21" t="inlineStr">
        <is>
          <t>SKU-072</t>
        </is>
      </c>
      <c r="B76" s="21" t="inlineStr">
        <is>
          <t>Gift Tag Set - Olive</t>
        </is>
      </c>
      <c r="C76" s="21" t="inlineStr">
        <is>
          <t>Stationery</t>
        </is>
      </c>
      <c r="D76" s="21" t="inlineStr">
        <is>
          <t>Paper Trail Co.</t>
        </is>
      </c>
      <c r="E76" s="22" t="n">
        <v>55</v>
      </c>
      <c r="F76" s="23">
        <f>SUMIFS(Purchases!$D$5:$D$304,Purchases!$B$5:$B$304,$A76)</f>
        <v/>
      </c>
      <c r="G76" s="23">
        <f>SUMIFS(Sales!$D$5:$D$504,Sales!$B$5:$B$504,$A76)</f>
        <v/>
      </c>
      <c r="H76" s="23">
        <f>E76+F76-G76</f>
        <v/>
      </c>
      <c r="I76" s="22" t="n">
        <v>25</v>
      </c>
      <c r="J76" s="24" t="n">
        <v>0.91</v>
      </c>
      <c r="K76" s="25">
        <f>H76*J76</f>
        <v/>
      </c>
      <c r="L76" s="26">
        <f>IFERROR(SUMIFS(Sales!$D$5:$D$504,Sales!$B$5:$B$504,$A76,Sales!$A$5:$A$504,"&gt;="&amp;Setup!$B$5-Setup!$B$6,Sales!$A$5:$A$504,"&lt;="&amp;Setup!$B$5)/Setup!$B$6,0)</f>
        <v/>
      </c>
      <c r="M76" s="27">
        <f>IF(L76&lt;=0,999,H76/L76)</f>
        <v/>
      </c>
      <c r="N76" s="28">
        <f>IF(L76&lt;=0,"No recent sales",Setup!$B$5+M76)</f>
        <v/>
      </c>
      <c r="O76" s="23">
        <f>Setup!$B$11</f>
        <v/>
      </c>
      <c r="P76" s="23">
        <f>ROUNDUP(L76*Setup!$B$12,0)</f>
        <v/>
      </c>
      <c r="Q76" s="23">
        <f>IF(MAX(0,ROUNDUP((L76*(O76+Setup!$B$12))-H76,0))=0,0,CEILING(MAX(0,ROUNDUP((L76*(O76+Setup!$B$12))-H76,0)),Setup!$B$13))</f>
        <v/>
      </c>
      <c r="R76" s="28">
        <f>IF(L76&lt;=0,"No sales signal",N76-O76)</f>
        <v/>
      </c>
      <c r="S76" s="29">
        <f>IF(H76&lt;=0,"Order now",IF(R76="No sales signal","No action",IF(R76&lt;=Setup!$B$5,"Order now",IF(R76&lt;=Setup!$B$5+7,"Order this week",IF(H76&lt;=I76,"Plan reorder","No action")))))</f>
        <v/>
      </c>
      <c r="T76" s="29">
        <f>IF(H76&lt;=0,"Out of stock",IF(H76&lt;=I76,"Reorder soon","Healthy"))</f>
        <v/>
      </c>
      <c r="U76" s="30" t="inlineStr">
        <is>
          <t>Mixed tag pack / batch 4</t>
        </is>
      </c>
    </row>
    <row r="77">
      <c r="A77" s="21" t="inlineStr">
        <is>
          <t>SKU-073</t>
        </is>
      </c>
      <c r="B77" s="21" t="inlineStr">
        <is>
          <t>Gift Tag Set - Slate</t>
        </is>
      </c>
      <c r="C77" s="21" t="inlineStr">
        <is>
          <t>Stationery</t>
        </is>
      </c>
      <c r="D77" s="21" t="inlineStr">
        <is>
          <t>Paper Trail Co.</t>
        </is>
      </c>
      <c r="E77" s="22" t="n">
        <v>45</v>
      </c>
      <c r="F77" s="23">
        <f>SUMIFS(Purchases!$D$5:$D$304,Purchases!$B$5:$B$304,$A77)</f>
        <v/>
      </c>
      <c r="G77" s="23">
        <f>SUMIFS(Sales!$D$5:$D$504,Sales!$B$5:$B$504,$A77)</f>
        <v/>
      </c>
      <c r="H77" s="23">
        <f>E77+F77-G77</f>
        <v/>
      </c>
      <c r="I77" s="22" t="n">
        <v>22</v>
      </c>
      <c r="J77" s="24" t="n">
        <v>1.08</v>
      </c>
      <c r="K77" s="25">
        <f>H77*J77</f>
        <v/>
      </c>
      <c r="L77" s="26">
        <f>IFERROR(SUMIFS(Sales!$D$5:$D$504,Sales!$B$5:$B$504,$A77,Sales!$A$5:$A$504,"&gt;="&amp;Setup!$B$5-Setup!$B$6,Sales!$A$5:$A$504,"&lt;="&amp;Setup!$B$5)/Setup!$B$6,0)</f>
        <v/>
      </c>
      <c r="M77" s="27">
        <f>IF(L77&lt;=0,999,H77/L77)</f>
        <v/>
      </c>
      <c r="N77" s="28">
        <f>IF(L77&lt;=0,"No recent sales",Setup!$B$5+M77)</f>
        <v/>
      </c>
      <c r="O77" s="23">
        <f>Setup!$B$11</f>
        <v/>
      </c>
      <c r="P77" s="23">
        <f>ROUNDUP(L77*Setup!$B$12,0)</f>
        <v/>
      </c>
      <c r="Q77" s="23">
        <f>IF(MAX(0,ROUNDUP((L77*(O77+Setup!$B$12))-H77,0))=0,0,CEILING(MAX(0,ROUNDUP((L77*(O77+Setup!$B$12))-H77,0)),Setup!$B$13))</f>
        <v/>
      </c>
      <c r="R77" s="28">
        <f>IF(L77&lt;=0,"No sales signal",N77-O77)</f>
        <v/>
      </c>
      <c r="S77" s="29">
        <f>IF(H77&lt;=0,"Order now",IF(R77="No sales signal","No action",IF(R77&lt;=Setup!$B$5,"Order now",IF(R77&lt;=Setup!$B$5+7,"Order this week",IF(H77&lt;=I77,"Plan reorder","No action")))))</f>
        <v/>
      </c>
      <c r="T77" s="29">
        <f>IF(H77&lt;=0,"Out of stock",IF(H77&lt;=I77,"Reorder soon","Healthy"))</f>
        <v/>
      </c>
      <c r="U77" s="30" t="inlineStr">
        <is>
          <t>Mixed tag pack / batch 4</t>
        </is>
      </c>
    </row>
    <row r="78">
      <c r="A78" s="21" t="inlineStr">
        <is>
          <t>SKU-074</t>
        </is>
      </c>
      <c r="B78" s="21" t="inlineStr">
        <is>
          <t>Gift Tag Set - Coral</t>
        </is>
      </c>
      <c r="C78" s="21" t="inlineStr">
        <is>
          <t>Stationery</t>
        </is>
      </c>
      <c r="D78" s="21" t="inlineStr">
        <is>
          <t>Paper Trail Co.</t>
        </is>
      </c>
      <c r="E78" s="22" t="n">
        <v>47</v>
      </c>
      <c r="F78" s="23">
        <f>SUMIFS(Purchases!$D$5:$D$304,Purchases!$B$5:$B$304,$A78)</f>
        <v/>
      </c>
      <c r="G78" s="23">
        <f>SUMIFS(Sales!$D$5:$D$504,Sales!$B$5:$B$504,$A78)</f>
        <v/>
      </c>
      <c r="H78" s="23">
        <f>E78+F78-G78</f>
        <v/>
      </c>
      <c r="I78" s="22" t="n">
        <v>23</v>
      </c>
      <c r="J78" s="24" t="n">
        <v>1.25</v>
      </c>
      <c r="K78" s="25">
        <f>H78*J78</f>
        <v/>
      </c>
      <c r="L78" s="26">
        <f>IFERROR(SUMIFS(Sales!$D$5:$D$504,Sales!$B$5:$B$504,$A78,Sales!$A$5:$A$504,"&gt;="&amp;Setup!$B$5-Setup!$B$6,Sales!$A$5:$A$504,"&lt;="&amp;Setup!$B$5)/Setup!$B$6,0)</f>
        <v/>
      </c>
      <c r="M78" s="27">
        <f>IF(L78&lt;=0,999,H78/L78)</f>
        <v/>
      </c>
      <c r="N78" s="28">
        <f>IF(L78&lt;=0,"No recent sales",Setup!$B$5+M78)</f>
        <v/>
      </c>
      <c r="O78" s="23">
        <f>Setup!$B$11</f>
        <v/>
      </c>
      <c r="P78" s="23">
        <f>ROUNDUP(L78*Setup!$B$12,0)</f>
        <v/>
      </c>
      <c r="Q78" s="23">
        <f>IF(MAX(0,ROUNDUP((L78*(O78+Setup!$B$12))-H78,0))=0,0,CEILING(MAX(0,ROUNDUP((L78*(O78+Setup!$B$12))-H78,0)),Setup!$B$13))</f>
        <v/>
      </c>
      <c r="R78" s="28">
        <f>IF(L78&lt;=0,"No sales signal",N78-O78)</f>
        <v/>
      </c>
      <c r="S78" s="29">
        <f>IF(H78&lt;=0,"Order now",IF(R78="No sales signal","No action",IF(R78&lt;=Setup!$B$5,"Order now",IF(R78&lt;=Setup!$B$5+7,"Order this week",IF(H78&lt;=I78,"Plan reorder","No action")))))</f>
        <v/>
      </c>
      <c r="T78" s="29">
        <f>IF(H78&lt;=0,"Out of stock",IF(H78&lt;=I78,"Reorder soon","Healthy"))</f>
        <v/>
      </c>
      <c r="U78" s="30" t="inlineStr">
        <is>
          <t>Mixed tag pack / batch 4</t>
        </is>
      </c>
    </row>
    <row r="79">
      <c r="A79" s="21" t="inlineStr">
        <is>
          <t>SKU-075</t>
        </is>
      </c>
      <c r="B79" s="21" t="inlineStr">
        <is>
          <t>Gift Tag Set - Natural</t>
        </is>
      </c>
      <c r="C79" s="21" t="inlineStr">
        <is>
          <t>Stationery</t>
        </is>
      </c>
      <c r="D79" s="21" t="inlineStr">
        <is>
          <t>Paper Trail Co.</t>
        </is>
      </c>
      <c r="E79" s="22" t="n">
        <v>49</v>
      </c>
      <c r="F79" s="23">
        <f>SUMIFS(Purchases!$D$5:$D$304,Purchases!$B$5:$B$304,$A79)</f>
        <v/>
      </c>
      <c r="G79" s="23">
        <f>SUMIFS(Sales!$D$5:$D$504,Sales!$B$5:$B$504,$A79)</f>
        <v/>
      </c>
      <c r="H79" s="23">
        <f>E79+F79-G79</f>
        <v/>
      </c>
      <c r="I79" s="22" t="n">
        <v>24</v>
      </c>
      <c r="J79" s="24" t="n">
        <v>1.42</v>
      </c>
      <c r="K79" s="25">
        <f>H79*J79</f>
        <v/>
      </c>
      <c r="L79" s="26">
        <f>IFERROR(SUMIFS(Sales!$D$5:$D$504,Sales!$B$5:$B$504,$A79,Sales!$A$5:$A$504,"&gt;="&amp;Setup!$B$5-Setup!$B$6,Sales!$A$5:$A$504,"&lt;="&amp;Setup!$B$5)/Setup!$B$6,0)</f>
        <v/>
      </c>
      <c r="M79" s="27">
        <f>IF(L79&lt;=0,999,H79/L79)</f>
        <v/>
      </c>
      <c r="N79" s="28">
        <f>IF(L79&lt;=0,"No recent sales",Setup!$B$5+M79)</f>
        <v/>
      </c>
      <c r="O79" s="23">
        <f>Setup!$B$11</f>
        <v/>
      </c>
      <c r="P79" s="23">
        <f>ROUNDUP(L79*Setup!$B$12,0)</f>
        <v/>
      </c>
      <c r="Q79" s="23">
        <f>IF(MAX(0,ROUNDUP((L79*(O79+Setup!$B$12))-H79,0))=0,0,CEILING(MAX(0,ROUNDUP((L79*(O79+Setup!$B$12))-H79,0)),Setup!$B$13))</f>
        <v/>
      </c>
      <c r="R79" s="28">
        <f>IF(L79&lt;=0,"No sales signal",N79-O79)</f>
        <v/>
      </c>
      <c r="S79" s="29">
        <f>IF(H79&lt;=0,"Order now",IF(R79="No sales signal","No action",IF(R79&lt;=Setup!$B$5,"Order now",IF(R79&lt;=Setup!$B$5+7,"Order this week",IF(H79&lt;=I79,"Plan reorder","No action")))))</f>
        <v/>
      </c>
      <c r="T79" s="29">
        <f>IF(H79&lt;=0,"Out of stock",IF(H79&lt;=I79,"Reorder soon","Healthy"))</f>
        <v/>
      </c>
      <c r="U79" s="30" t="inlineStr">
        <is>
          <t>Mixed tag pack / batch 4</t>
        </is>
      </c>
    </row>
    <row r="80">
      <c r="A80" s="21" t="inlineStr">
        <is>
          <t>SKU-076</t>
        </is>
      </c>
      <c r="B80" s="21" t="inlineStr">
        <is>
          <t>Washi Tape - Sand</t>
        </is>
      </c>
      <c r="C80" s="21" t="inlineStr">
        <is>
          <t>Stationery</t>
        </is>
      </c>
      <c r="D80" s="21" t="inlineStr">
        <is>
          <t>Paper Trail Co.</t>
        </is>
      </c>
      <c r="E80" s="22" t="n">
        <v>49</v>
      </c>
      <c r="F80" s="23">
        <f>SUMIFS(Purchases!$D$5:$D$304,Purchases!$B$5:$B$304,$A80)</f>
        <v/>
      </c>
      <c r="G80" s="23">
        <f>SUMIFS(Sales!$D$5:$D$504,Sales!$B$5:$B$504,$A80)</f>
        <v/>
      </c>
      <c r="H80" s="23">
        <f>E80+F80-G80</f>
        <v/>
      </c>
      <c r="I80" s="22" t="n">
        <v>21</v>
      </c>
      <c r="J80" s="24" t="n">
        <v>0.96</v>
      </c>
      <c r="K80" s="25">
        <f>H80*J80</f>
        <v/>
      </c>
      <c r="L80" s="26">
        <f>IFERROR(SUMIFS(Sales!$D$5:$D$504,Sales!$B$5:$B$504,$A80,Sales!$A$5:$A$504,"&gt;="&amp;Setup!$B$5-Setup!$B$6,Sales!$A$5:$A$504,"&lt;="&amp;Setup!$B$5)/Setup!$B$6,0)</f>
        <v/>
      </c>
      <c r="M80" s="27">
        <f>IF(L80&lt;=0,999,H80/L80)</f>
        <v/>
      </c>
      <c r="N80" s="28">
        <f>IF(L80&lt;=0,"No recent sales",Setup!$B$5+M80)</f>
        <v/>
      </c>
      <c r="O80" s="23">
        <f>Setup!$B$11</f>
        <v/>
      </c>
      <c r="P80" s="23">
        <f>ROUNDUP(L80*Setup!$B$12,0)</f>
        <v/>
      </c>
      <c r="Q80" s="23">
        <f>IF(MAX(0,ROUNDUP((L80*(O80+Setup!$B$12))-H80,0))=0,0,CEILING(MAX(0,ROUNDUP((L80*(O80+Setup!$B$12))-H80,0)),Setup!$B$13))</f>
        <v/>
      </c>
      <c r="R80" s="28">
        <f>IF(L80&lt;=0,"No sales signal",N80-O80)</f>
        <v/>
      </c>
      <c r="S80" s="29">
        <f>IF(H80&lt;=0,"Order now",IF(R80="No sales signal","No action",IF(R80&lt;=Setup!$B$5,"Order now",IF(R80&lt;=Setup!$B$5+7,"Order this week",IF(H80&lt;=I80,"Plan reorder","No action")))))</f>
        <v/>
      </c>
      <c r="T80" s="29">
        <f>IF(H80&lt;=0,"Out of stock",IF(H80&lt;=I80,"Reorder soon","Healthy"))</f>
        <v/>
      </c>
      <c r="U80" s="30" t="inlineStr">
        <is>
          <t>Decorative tape roll / batch 4</t>
        </is>
      </c>
    </row>
    <row r="81">
      <c r="A81" s="21" t="inlineStr">
        <is>
          <t>SKU-077</t>
        </is>
      </c>
      <c r="B81" s="21" t="inlineStr">
        <is>
          <t>Washi Tape - Olive</t>
        </is>
      </c>
      <c r="C81" s="21" t="inlineStr">
        <is>
          <t>Stationery</t>
        </is>
      </c>
      <c r="D81" s="21" t="inlineStr">
        <is>
          <t>Paper Trail Co.</t>
        </is>
      </c>
      <c r="E81" s="22" t="n">
        <v>51</v>
      </c>
      <c r="F81" s="23">
        <f>SUMIFS(Purchases!$D$5:$D$304,Purchases!$B$5:$B$304,$A81)</f>
        <v/>
      </c>
      <c r="G81" s="23">
        <f>SUMIFS(Sales!$D$5:$D$504,Sales!$B$5:$B$504,$A81)</f>
        <v/>
      </c>
      <c r="H81" s="23">
        <f>E81+F81-G81</f>
        <v/>
      </c>
      <c r="I81" s="22" t="n">
        <v>18</v>
      </c>
      <c r="J81" s="24" t="n">
        <v>1.13</v>
      </c>
      <c r="K81" s="25">
        <f>H81*J81</f>
        <v/>
      </c>
      <c r="L81" s="26">
        <f>IFERROR(SUMIFS(Sales!$D$5:$D$504,Sales!$B$5:$B$504,$A81,Sales!$A$5:$A$504,"&gt;="&amp;Setup!$B$5-Setup!$B$6,Sales!$A$5:$A$504,"&lt;="&amp;Setup!$B$5)/Setup!$B$6,0)</f>
        <v/>
      </c>
      <c r="M81" s="27">
        <f>IF(L81&lt;=0,999,H81/L81)</f>
        <v/>
      </c>
      <c r="N81" s="28">
        <f>IF(L81&lt;=0,"No recent sales",Setup!$B$5+M81)</f>
        <v/>
      </c>
      <c r="O81" s="23">
        <f>Setup!$B$11</f>
        <v/>
      </c>
      <c r="P81" s="23">
        <f>ROUNDUP(L81*Setup!$B$12,0)</f>
        <v/>
      </c>
      <c r="Q81" s="23">
        <f>IF(MAX(0,ROUNDUP((L81*(O81+Setup!$B$12))-H81,0))=0,0,CEILING(MAX(0,ROUNDUP((L81*(O81+Setup!$B$12))-H81,0)),Setup!$B$13))</f>
        <v/>
      </c>
      <c r="R81" s="28">
        <f>IF(L81&lt;=0,"No sales signal",N81-O81)</f>
        <v/>
      </c>
      <c r="S81" s="29">
        <f>IF(H81&lt;=0,"Order now",IF(R81="No sales signal","No action",IF(R81&lt;=Setup!$B$5,"Order now",IF(R81&lt;=Setup!$B$5+7,"Order this week",IF(H81&lt;=I81,"Plan reorder","No action")))))</f>
        <v/>
      </c>
      <c r="T81" s="29">
        <f>IF(H81&lt;=0,"Out of stock",IF(H81&lt;=I81,"Reorder soon","Healthy"))</f>
        <v/>
      </c>
      <c r="U81" s="30" t="inlineStr">
        <is>
          <t>Decorative tape roll / batch 4</t>
        </is>
      </c>
    </row>
    <row r="82">
      <c r="A82" s="21" t="inlineStr">
        <is>
          <t>SKU-078</t>
        </is>
      </c>
      <c r="B82" s="21" t="inlineStr">
        <is>
          <t>Washi Tape - Slate</t>
        </is>
      </c>
      <c r="C82" s="21" t="inlineStr">
        <is>
          <t>Stationery</t>
        </is>
      </c>
      <c r="D82" s="21" t="inlineStr">
        <is>
          <t>Paper Trail Co.</t>
        </is>
      </c>
      <c r="E82" s="22" t="n">
        <v>53</v>
      </c>
      <c r="F82" s="23">
        <f>SUMIFS(Purchases!$D$5:$D$304,Purchases!$B$5:$B$304,$A82)</f>
        <v/>
      </c>
      <c r="G82" s="23">
        <f>SUMIFS(Sales!$D$5:$D$504,Sales!$B$5:$B$504,$A82)</f>
        <v/>
      </c>
      <c r="H82" s="23">
        <f>E82+F82-G82</f>
        <v/>
      </c>
      <c r="I82" s="22" t="n">
        <v>19</v>
      </c>
      <c r="J82" s="24" t="n">
        <v>1.3</v>
      </c>
      <c r="K82" s="25">
        <f>H82*J82</f>
        <v/>
      </c>
      <c r="L82" s="26">
        <f>IFERROR(SUMIFS(Sales!$D$5:$D$504,Sales!$B$5:$B$504,$A82,Sales!$A$5:$A$504,"&gt;="&amp;Setup!$B$5-Setup!$B$6,Sales!$A$5:$A$504,"&lt;="&amp;Setup!$B$5)/Setup!$B$6,0)</f>
        <v/>
      </c>
      <c r="M82" s="27">
        <f>IF(L82&lt;=0,999,H82/L82)</f>
        <v/>
      </c>
      <c r="N82" s="28">
        <f>IF(L82&lt;=0,"No recent sales",Setup!$B$5+M82)</f>
        <v/>
      </c>
      <c r="O82" s="23">
        <f>Setup!$B$11</f>
        <v/>
      </c>
      <c r="P82" s="23">
        <f>ROUNDUP(L82*Setup!$B$12,0)</f>
        <v/>
      </c>
      <c r="Q82" s="23">
        <f>IF(MAX(0,ROUNDUP((L82*(O82+Setup!$B$12))-H82,0))=0,0,CEILING(MAX(0,ROUNDUP((L82*(O82+Setup!$B$12))-H82,0)),Setup!$B$13))</f>
        <v/>
      </c>
      <c r="R82" s="28">
        <f>IF(L82&lt;=0,"No sales signal",N82-O82)</f>
        <v/>
      </c>
      <c r="S82" s="29">
        <f>IF(H82&lt;=0,"Order now",IF(R82="No sales signal","No action",IF(R82&lt;=Setup!$B$5,"Order now",IF(R82&lt;=Setup!$B$5+7,"Order this week",IF(H82&lt;=I82,"Plan reorder","No action")))))</f>
        <v/>
      </c>
      <c r="T82" s="29">
        <f>IF(H82&lt;=0,"Out of stock",IF(H82&lt;=I82,"Reorder soon","Healthy"))</f>
        <v/>
      </c>
      <c r="U82" s="30" t="inlineStr">
        <is>
          <t>Decorative tape roll / batch 4</t>
        </is>
      </c>
    </row>
    <row r="83">
      <c r="A83" s="21" t="inlineStr">
        <is>
          <t>SKU-079</t>
        </is>
      </c>
      <c r="B83" s="21" t="inlineStr">
        <is>
          <t>Washi Tape - Coral</t>
        </is>
      </c>
      <c r="C83" s="21" t="inlineStr">
        <is>
          <t>Stationery</t>
        </is>
      </c>
      <c r="D83" s="21" t="inlineStr">
        <is>
          <t>Paper Trail Co.</t>
        </is>
      </c>
      <c r="E83" s="22" t="n">
        <v>43</v>
      </c>
      <c r="F83" s="23">
        <f>SUMIFS(Purchases!$D$5:$D$304,Purchases!$B$5:$B$304,$A83)</f>
        <v/>
      </c>
      <c r="G83" s="23">
        <f>SUMIFS(Sales!$D$5:$D$504,Sales!$B$5:$B$504,$A83)</f>
        <v/>
      </c>
      <c r="H83" s="23">
        <f>E83+F83-G83</f>
        <v/>
      </c>
      <c r="I83" s="22" t="n">
        <v>20</v>
      </c>
      <c r="J83" s="24" t="n">
        <v>1.47</v>
      </c>
      <c r="K83" s="25">
        <f>H83*J83</f>
        <v/>
      </c>
      <c r="L83" s="26">
        <f>IFERROR(SUMIFS(Sales!$D$5:$D$504,Sales!$B$5:$B$504,$A83,Sales!$A$5:$A$504,"&gt;="&amp;Setup!$B$5-Setup!$B$6,Sales!$A$5:$A$504,"&lt;="&amp;Setup!$B$5)/Setup!$B$6,0)</f>
        <v/>
      </c>
      <c r="M83" s="27">
        <f>IF(L83&lt;=0,999,H83/L83)</f>
        <v/>
      </c>
      <c r="N83" s="28">
        <f>IF(L83&lt;=0,"No recent sales",Setup!$B$5+M83)</f>
        <v/>
      </c>
      <c r="O83" s="23">
        <f>Setup!$B$11</f>
        <v/>
      </c>
      <c r="P83" s="23">
        <f>ROUNDUP(L83*Setup!$B$12,0)</f>
        <v/>
      </c>
      <c r="Q83" s="23">
        <f>IF(MAX(0,ROUNDUP((L83*(O83+Setup!$B$12))-H83,0))=0,0,CEILING(MAX(0,ROUNDUP((L83*(O83+Setup!$B$12))-H83,0)),Setup!$B$13))</f>
        <v/>
      </c>
      <c r="R83" s="28">
        <f>IF(L83&lt;=0,"No sales signal",N83-O83)</f>
        <v/>
      </c>
      <c r="S83" s="29">
        <f>IF(H83&lt;=0,"Order now",IF(R83="No sales signal","No action",IF(R83&lt;=Setup!$B$5,"Order now",IF(R83&lt;=Setup!$B$5+7,"Order this week",IF(H83&lt;=I83,"Plan reorder","No action")))))</f>
        <v/>
      </c>
      <c r="T83" s="29">
        <f>IF(H83&lt;=0,"Out of stock",IF(H83&lt;=I83,"Reorder soon","Healthy"))</f>
        <v/>
      </c>
      <c r="U83" s="30" t="inlineStr">
        <is>
          <t>Decorative tape roll / batch 4</t>
        </is>
      </c>
    </row>
    <row r="84">
      <c r="A84" s="21" t="inlineStr">
        <is>
          <t>SKU-080</t>
        </is>
      </c>
      <c r="B84" s="21" t="inlineStr">
        <is>
          <t>Washi Tape - Natural</t>
        </is>
      </c>
      <c r="C84" s="21" t="inlineStr">
        <is>
          <t>Stationery</t>
        </is>
      </c>
      <c r="D84" s="21" t="inlineStr">
        <is>
          <t>Paper Trail Co.</t>
        </is>
      </c>
      <c r="E84" s="22" t="n">
        <v>45</v>
      </c>
      <c r="F84" s="23">
        <f>SUMIFS(Purchases!$D$5:$D$304,Purchases!$B$5:$B$304,$A84)</f>
        <v/>
      </c>
      <c r="G84" s="23">
        <f>SUMIFS(Sales!$D$5:$D$504,Sales!$B$5:$B$504,$A84)</f>
        <v/>
      </c>
      <c r="H84" s="23">
        <f>E84+F84-G84</f>
        <v/>
      </c>
      <c r="I84" s="22" t="n">
        <v>21</v>
      </c>
      <c r="J84" s="24" t="n">
        <v>1.64</v>
      </c>
      <c r="K84" s="25">
        <f>H84*J84</f>
        <v/>
      </c>
      <c r="L84" s="26">
        <f>IFERROR(SUMIFS(Sales!$D$5:$D$504,Sales!$B$5:$B$504,$A84,Sales!$A$5:$A$504,"&gt;="&amp;Setup!$B$5-Setup!$B$6,Sales!$A$5:$A$504,"&lt;="&amp;Setup!$B$5)/Setup!$B$6,0)</f>
        <v/>
      </c>
      <c r="M84" s="27">
        <f>IF(L84&lt;=0,999,H84/L84)</f>
        <v/>
      </c>
      <c r="N84" s="28">
        <f>IF(L84&lt;=0,"No recent sales",Setup!$B$5+M84)</f>
        <v/>
      </c>
      <c r="O84" s="23">
        <f>Setup!$B$11</f>
        <v/>
      </c>
      <c r="P84" s="23">
        <f>ROUNDUP(L84*Setup!$B$12,0)</f>
        <v/>
      </c>
      <c r="Q84" s="23">
        <f>IF(MAX(0,ROUNDUP((L84*(O84+Setup!$B$12))-H84,0))=0,0,CEILING(MAX(0,ROUNDUP((L84*(O84+Setup!$B$12))-H84,0)),Setup!$B$13))</f>
        <v/>
      </c>
      <c r="R84" s="28">
        <f>IF(L84&lt;=0,"No sales signal",N84-O84)</f>
        <v/>
      </c>
      <c r="S84" s="29">
        <f>IF(H84&lt;=0,"Order now",IF(R84="No sales signal","No action",IF(R84&lt;=Setup!$B$5,"Order now",IF(R84&lt;=Setup!$B$5+7,"Order this week",IF(H84&lt;=I84,"Plan reorder","No action")))))</f>
        <v/>
      </c>
      <c r="T84" s="29">
        <f>IF(H84&lt;=0,"Out of stock",IF(H84&lt;=I84,"Reorder soon","Healthy"))</f>
        <v/>
      </c>
      <c r="U84" s="30" t="inlineStr">
        <is>
          <t>Decorative tape roll / batch 4</t>
        </is>
      </c>
    </row>
    <row r="85">
      <c r="A85" s="21" t="inlineStr">
        <is>
          <t>SKU-081</t>
        </is>
      </c>
      <c r="B85" s="21" t="inlineStr">
        <is>
          <t>Tote Pouch - Sand</t>
        </is>
      </c>
      <c r="C85" s="21" t="inlineStr">
        <is>
          <t>Accessories</t>
        </is>
      </c>
      <c r="D85" s="21" t="inlineStr">
        <is>
          <t>Luma Imports</t>
        </is>
      </c>
      <c r="E85" s="22" t="n">
        <v>36</v>
      </c>
      <c r="F85" s="23">
        <f>SUMIFS(Purchases!$D$5:$D$304,Purchases!$B$5:$B$304,$A85)</f>
        <v/>
      </c>
      <c r="G85" s="23">
        <f>SUMIFS(Sales!$D$5:$D$504,Sales!$B$5:$B$504,$A85)</f>
        <v/>
      </c>
      <c r="H85" s="23">
        <f>E85+F85-G85</f>
        <v/>
      </c>
      <c r="I85" s="22" t="n">
        <v>12</v>
      </c>
      <c r="J85" s="24" t="n">
        <v>1.34</v>
      </c>
      <c r="K85" s="25">
        <f>H85*J85</f>
        <v/>
      </c>
      <c r="L85" s="26">
        <f>IFERROR(SUMIFS(Sales!$D$5:$D$504,Sales!$B$5:$B$504,$A85,Sales!$A$5:$A$504,"&gt;="&amp;Setup!$B$5-Setup!$B$6,Sales!$A$5:$A$504,"&lt;="&amp;Setup!$B$5)/Setup!$B$6,0)</f>
        <v/>
      </c>
      <c r="M85" s="27">
        <f>IF(L85&lt;=0,999,H85/L85)</f>
        <v/>
      </c>
      <c r="N85" s="28">
        <f>IF(L85&lt;=0,"No recent sales",Setup!$B$5+M85)</f>
        <v/>
      </c>
      <c r="O85" s="23">
        <f>Setup!$B$11</f>
        <v/>
      </c>
      <c r="P85" s="23">
        <f>ROUNDUP(L85*Setup!$B$12,0)</f>
        <v/>
      </c>
      <c r="Q85" s="23">
        <f>IF(MAX(0,ROUNDUP((L85*(O85+Setup!$B$12))-H85,0))=0,0,CEILING(MAX(0,ROUNDUP((L85*(O85+Setup!$B$12))-H85,0)),Setup!$B$13))</f>
        <v/>
      </c>
      <c r="R85" s="28">
        <f>IF(L85&lt;=0,"No sales signal",N85-O85)</f>
        <v/>
      </c>
      <c r="S85" s="29">
        <f>IF(H85&lt;=0,"Order now",IF(R85="No sales signal","No action",IF(R85&lt;=Setup!$B$5,"Order now",IF(R85&lt;=Setup!$B$5+7,"Order this week",IF(H85&lt;=I85,"Plan reorder","No action")))))</f>
        <v/>
      </c>
      <c r="T85" s="29">
        <f>IF(H85&lt;=0,"Out of stock",IF(H85&lt;=I85,"Reorder soon","Healthy"))</f>
        <v/>
      </c>
      <c r="U85" s="30" t="inlineStr">
        <is>
          <t>Zip pouch insert / batch 5</t>
        </is>
      </c>
    </row>
    <row r="86">
      <c r="A86" s="21" t="inlineStr">
        <is>
          <t>SKU-082</t>
        </is>
      </c>
      <c r="B86" s="21" t="inlineStr">
        <is>
          <t>Tote Pouch - Olive</t>
        </is>
      </c>
      <c r="C86" s="21" t="inlineStr">
        <is>
          <t>Accessories</t>
        </is>
      </c>
      <c r="D86" s="21" t="inlineStr">
        <is>
          <t>Luma Imports</t>
        </is>
      </c>
      <c r="E86" s="22" t="n">
        <v>38</v>
      </c>
      <c r="F86" s="23">
        <f>SUMIFS(Purchases!$D$5:$D$304,Purchases!$B$5:$B$304,$A86)</f>
        <v/>
      </c>
      <c r="G86" s="23">
        <f>SUMIFS(Sales!$D$5:$D$504,Sales!$B$5:$B$504,$A86)</f>
        <v/>
      </c>
      <c r="H86" s="23">
        <f>E86+F86-G86</f>
        <v/>
      </c>
      <c r="I86" s="22" t="n">
        <v>13</v>
      </c>
      <c r="J86" s="24" t="n">
        <v>1.51</v>
      </c>
      <c r="K86" s="25">
        <f>H86*J86</f>
        <v/>
      </c>
      <c r="L86" s="26">
        <f>IFERROR(SUMIFS(Sales!$D$5:$D$504,Sales!$B$5:$B$504,$A86,Sales!$A$5:$A$504,"&gt;="&amp;Setup!$B$5-Setup!$B$6,Sales!$A$5:$A$504,"&lt;="&amp;Setup!$B$5)/Setup!$B$6,0)</f>
        <v/>
      </c>
      <c r="M86" s="27">
        <f>IF(L86&lt;=0,999,H86/L86)</f>
        <v/>
      </c>
      <c r="N86" s="28">
        <f>IF(L86&lt;=0,"No recent sales",Setup!$B$5+M86)</f>
        <v/>
      </c>
      <c r="O86" s="23">
        <f>Setup!$B$11</f>
        <v/>
      </c>
      <c r="P86" s="23">
        <f>ROUNDUP(L86*Setup!$B$12,0)</f>
        <v/>
      </c>
      <c r="Q86" s="23">
        <f>IF(MAX(0,ROUNDUP((L86*(O86+Setup!$B$12))-H86,0))=0,0,CEILING(MAX(0,ROUNDUP((L86*(O86+Setup!$B$12))-H86,0)),Setup!$B$13))</f>
        <v/>
      </c>
      <c r="R86" s="28">
        <f>IF(L86&lt;=0,"No sales signal",N86-O86)</f>
        <v/>
      </c>
      <c r="S86" s="29">
        <f>IF(H86&lt;=0,"Order now",IF(R86="No sales signal","No action",IF(R86&lt;=Setup!$B$5,"Order now",IF(R86&lt;=Setup!$B$5+7,"Order this week",IF(H86&lt;=I86,"Plan reorder","No action")))))</f>
        <v/>
      </c>
      <c r="T86" s="29">
        <f>IF(H86&lt;=0,"Out of stock",IF(H86&lt;=I86,"Reorder soon","Healthy"))</f>
        <v/>
      </c>
      <c r="U86" s="30" t="inlineStr">
        <is>
          <t>Zip pouch insert / batch 5</t>
        </is>
      </c>
    </row>
    <row r="87">
      <c r="A87" s="21" t="inlineStr">
        <is>
          <t>SKU-083</t>
        </is>
      </c>
      <c r="B87" s="21" t="inlineStr">
        <is>
          <t>Tote Pouch - Slate</t>
        </is>
      </c>
      <c r="C87" s="21" t="inlineStr">
        <is>
          <t>Accessories</t>
        </is>
      </c>
      <c r="D87" s="21" t="inlineStr">
        <is>
          <t>Luma Imports</t>
        </is>
      </c>
      <c r="E87" s="22" t="n">
        <v>40</v>
      </c>
      <c r="F87" s="23">
        <f>SUMIFS(Purchases!$D$5:$D$304,Purchases!$B$5:$B$304,$A87)</f>
        <v/>
      </c>
      <c r="G87" s="23">
        <f>SUMIFS(Sales!$D$5:$D$504,Sales!$B$5:$B$504,$A87)</f>
        <v/>
      </c>
      <c r="H87" s="23">
        <f>E87+F87-G87</f>
        <v/>
      </c>
      <c r="I87" s="22" t="n">
        <v>14</v>
      </c>
      <c r="J87" s="24" t="n">
        <v>1.68</v>
      </c>
      <c r="K87" s="25">
        <f>H87*J87</f>
        <v/>
      </c>
      <c r="L87" s="26">
        <f>IFERROR(SUMIFS(Sales!$D$5:$D$504,Sales!$B$5:$B$504,$A87,Sales!$A$5:$A$504,"&gt;="&amp;Setup!$B$5-Setup!$B$6,Sales!$A$5:$A$504,"&lt;="&amp;Setup!$B$5)/Setup!$B$6,0)</f>
        <v/>
      </c>
      <c r="M87" s="27">
        <f>IF(L87&lt;=0,999,H87/L87)</f>
        <v/>
      </c>
      <c r="N87" s="28">
        <f>IF(L87&lt;=0,"No recent sales",Setup!$B$5+M87)</f>
        <v/>
      </c>
      <c r="O87" s="23">
        <f>Setup!$B$11</f>
        <v/>
      </c>
      <c r="P87" s="23">
        <f>ROUNDUP(L87*Setup!$B$12,0)</f>
        <v/>
      </c>
      <c r="Q87" s="23">
        <f>IF(MAX(0,ROUNDUP((L87*(O87+Setup!$B$12))-H87,0))=0,0,CEILING(MAX(0,ROUNDUP((L87*(O87+Setup!$B$12))-H87,0)),Setup!$B$13))</f>
        <v/>
      </c>
      <c r="R87" s="28">
        <f>IF(L87&lt;=0,"No sales signal",N87-O87)</f>
        <v/>
      </c>
      <c r="S87" s="29">
        <f>IF(H87&lt;=0,"Order now",IF(R87="No sales signal","No action",IF(R87&lt;=Setup!$B$5,"Order now",IF(R87&lt;=Setup!$B$5+7,"Order this week",IF(H87&lt;=I87,"Plan reorder","No action")))))</f>
        <v/>
      </c>
      <c r="T87" s="29">
        <f>IF(H87&lt;=0,"Out of stock",IF(H87&lt;=I87,"Reorder soon","Healthy"))</f>
        <v/>
      </c>
      <c r="U87" s="30" t="inlineStr">
        <is>
          <t>Zip pouch insert / batch 5</t>
        </is>
      </c>
    </row>
    <row r="88">
      <c r="A88" s="21" t="inlineStr">
        <is>
          <t>SKU-084</t>
        </is>
      </c>
      <c r="B88" s="21" t="inlineStr">
        <is>
          <t>Tote Pouch - Coral</t>
        </is>
      </c>
      <c r="C88" s="21" t="inlineStr">
        <is>
          <t>Accessories</t>
        </is>
      </c>
      <c r="D88" s="21" t="inlineStr">
        <is>
          <t>Luma Imports</t>
        </is>
      </c>
      <c r="E88" s="22" t="n">
        <v>42</v>
      </c>
      <c r="F88" s="23">
        <f>SUMIFS(Purchases!$D$5:$D$304,Purchases!$B$5:$B$304,$A88)</f>
        <v/>
      </c>
      <c r="G88" s="23">
        <f>SUMIFS(Sales!$D$5:$D$504,Sales!$B$5:$B$504,$A88)</f>
        <v/>
      </c>
      <c r="H88" s="23">
        <f>E88+F88-G88</f>
        <v/>
      </c>
      <c r="I88" s="22" t="n">
        <v>15</v>
      </c>
      <c r="J88" s="24" t="n">
        <v>1.85</v>
      </c>
      <c r="K88" s="25">
        <f>H88*J88</f>
        <v/>
      </c>
      <c r="L88" s="26">
        <f>IFERROR(SUMIFS(Sales!$D$5:$D$504,Sales!$B$5:$B$504,$A88,Sales!$A$5:$A$504,"&gt;="&amp;Setup!$B$5-Setup!$B$6,Sales!$A$5:$A$504,"&lt;="&amp;Setup!$B$5)/Setup!$B$6,0)</f>
        <v/>
      </c>
      <c r="M88" s="27">
        <f>IF(L88&lt;=0,999,H88/L88)</f>
        <v/>
      </c>
      <c r="N88" s="28">
        <f>IF(L88&lt;=0,"No recent sales",Setup!$B$5+M88)</f>
        <v/>
      </c>
      <c r="O88" s="23">
        <f>Setup!$B$11</f>
        <v/>
      </c>
      <c r="P88" s="23">
        <f>ROUNDUP(L88*Setup!$B$12,0)</f>
        <v/>
      </c>
      <c r="Q88" s="23">
        <f>IF(MAX(0,ROUNDUP((L88*(O88+Setup!$B$12))-H88,0))=0,0,CEILING(MAX(0,ROUNDUP((L88*(O88+Setup!$B$12))-H88,0)),Setup!$B$13))</f>
        <v/>
      </c>
      <c r="R88" s="28">
        <f>IF(L88&lt;=0,"No sales signal",N88-O88)</f>
        <v/>
      </c>
      <c r="S88" s="29">
        <f>IF(H88&lt;=0,"Order now",IF(R88="No sales signal","No action",IF(R88&lt;=Setup!$B$5,"Order now",IF(R88&lt;=Setup!$B$5+7,"Order this week",IF(H88&lt;=I88,"Plan reorder","No action")))))</f>
        <v/>
      </c>
      <c r="T88" s="29">
        <f>IF(H88&lt;=0,"Out of stock",IF(H88&lt;=I88,"Reorder soon","Healthy"))</f>
        <v/>
      </c>
      <c r="U88" s="30" t="inlineStr">
        <is>
          <t>Zip pouch insert / batch 5</t>
        </is>
      </c>
    </row>
    <row r="89">
      <c r="A89" s="21" t="inlineStr">
        <is>
          <t>SKU-085</t>
        </is>
      </c>
      <c r="B89" s="21" t="inlineStr">
        <is>
          <t>Tote Pouch - Natural</t>
        </is>
      </c>
      <c r="C89" s="21" t="inlineStr">
        <is>
          <t>Accessories</t>
        </is>
      </c>
      <c r="D89" s="21" t="inlineStr">
        <is>
          <t>Luma Imports</t>
        </is>
      </c>
      <c r="E89" s="22" t="n">
        <v>32</v>
      </c>
      <c r="F89" s="23">
        <f>SUMIFS(Purchases!$D$5:$D$304,Purchases!$B$5:$B$304,$A89)</f>
        <v/>
      </c>
      <c r="G89" s="23">
        <f>SUMIFS(Sales!$D$5:$D$504,Sales!$B$5:$B$504,$A89)</f>
        <v/>
      </c>
      <c r="H89" s="23">
        <f>E89+F89-G89</f>
        <v/>
      </c>
      <c r="I89" s="22" t="n">
        <v>12</v>
      </c>
      <c r="J89" s="24" t="n">
        <v>2.02</v>
      </c>
      <c r="K89" s="25">
        <f>H89*J89</f>
        <v/>
      </c>
      <c r="L89" s="26">
        <f>IFERROR(SUMIFS(Sales!$D$5:$D$504,Sales!$B$5:$B$504,$A89,Sales!$A$5:$A$504,"&gt;="&amp;Setup!$B$5-Setup!$B$6,Sales!$A$5:$A$504,"&lt;="&amp;Setup!$B$5)/Setup!$B$6,0)</f>
        <v/>
      </c>
      <c r="M89" s="27">
        <f>IF(L89&lt;=0,999,H89/L89)</f>
        <v/>
      </c>
      <c r="N89" s="28">
        <f>IF(L89&lt;=0,"No recent sales",Setup!$B$5+M89)</f>
        <v/>
      </c>
      <c r="O89" s="23">
        <f>Setup!$B$11</f>
        <v/>
      </c>
      <c r="P89" s="23">
        <f>ROUNDUP(L89*Setup!$B$12,0)</f>
        <v/>
      </c>
      <c r="Q89" s="23">
        <f>IF(MAX(0,ROUNDUP((L89*(O89+Setup!$B$12))-H89,0))=0,0,CEILING(MAX(0,ROUNDUP((L89*(O89+Setup!$B$12))-H89,0)),Setup!$B$13))</f>
        <v/>
      </c>
      <c r="R89" s="28">
        <f>IF(L89&lt;=0,"No sales signal",N89-O89)</f>
        <v/>
      </c>
      <c r="S89" s="29">
        <f>IF(H89&lt;=0,"Order now",IF(R89="No sales signal","No action",IF(R89&lt;=Setup!$B$5,"Order now",IF(R89&lt;=Setup!$B$5+7,"Order this week",IF(H89&lt;=I89,"Plan reorder","No action")))))</f>
        <v/>
      </c>
      <c r="T89" s="29">
        <f>IF(H89&lt;=0,"Out of stock",IF(H89&lt;=I89,"Reorder soon","Healthy"))</f>
        <v/>
      </c>
      <c r="U89" s="30" t="inlineStr">
        <is>
          <t>Zip pouch insert / batch 5</t>
        </is>
      </c>
    </row>
    <row r="90">
      <c r="A90" s="21" t="inlineStr">
        <is>
          <t>SKU-086</t>
        </is>
      </c>
      <c r="B90" s="21" t="inlineStr">
        <is>
          <t>Metal Bookmark - Sand</t>
        </is>
      </c>
      <c r="C90" s="21" t="inlineStr">
        <is>
          <t>Stationery</t>
        </is>
      </c>
      <c r="D90" s="21" t="inlineStr">
        <is>
          <t>Studio Nine</t>
        </is>
      </c>
      <c r="E90" s="22" t="n">
        <v>56</v>
      </c>
      <c r="F90" s="23">
        <f>SUMIFS(Purchases!$D$5:$D$304,Purchases!$B$5:$B$304,$A90)</f>
        <v/>
      </c>
      <c r="G90" s="23">
        <f>SUMIFS(Sales!$D$5:$D$504,Sales!$B$5:$B$504,$A90)</f>
        <v/>
      </c>
      <c r="H90" s="23">
        <f>E90+F90-G90</f>
        <v/>
      </c>
      <c r="I90" s="22" t="n">
        <v>21</v>
      </c>
      <c r="J90" s="24" t="n">
        <v>0.64</v>
      </c>
      <c r="K90" s="25">
        <f>H90*J90</f>
        <v/>
      </c>
      <c r="L90" s="26">
        <f>IFERROR(SUMIFS(Sales!$D$5:$D$504,Sales!$B$5:$B$504,$A90,Sales!$A$5:$A$504,"&gt;="&amp;Setup!$B$5-Setup!$B$6,Sales!$A$5:$A$504,"&lt;="&amp;Setup!$B$5)/Setup!$B$6,0)</f>
        <v/>
      </c>
      <c r="M90" s="27">
        <f>IF(L90&lt;=0,999,H90/L90)</f>
        <v/>
      </c>
      <c r="N90" s="28">
        <f>IF(L90&lt;=0,"No recent sales",Setup!$B$5+M90)</f>
        <v/>
      </c>
      <c r="O90" s="23">
        <f>Setup!$B$11</f>
        <v/>
      </c>
      <c r="P90" s="23">
        <f>ROUNDUP(L90*Setup!$B$12,0)</f>
        <v/>
      </c>
      <c r="Q90" s="23">
        <f>IF(MAX(0,ROUNDUP((L90*(O90+Setup!$B$12))-H90,0))=0,0,CEILING(MAX(0,ROUNDUP((L90*(O90+Setup!$B$12))-H90,0)),Setup!$B$13))</f>
        <v/>
      </c>
      <c r="R90" s="28">
        <f>IF(L90&lt;=0,"No sales signal",N90-O90)</f>
        <v/>
      </c>
      <c r="S90" s="29">
        <f>IF(H90&lt;=0,"Order now",IF(R90="No sales signal","No action",IF(R90&lt;=Setup!$B$5,"Order now",IF(R90&lt;=Setup!$B$5+7,"Order this week",IF(H90&lt;=I90,"Plan reorder","No action")))))</f>
        <v/>
      </c>
      <c r="T90" s="29">
        <f>IF(H90&lt;=0,"Out of stock",IF(H90&lt;=I90,"Reorder soon","Healthy"))</f>
        <v/>
      </c>
      <c r="U90" s="30" t="inlineStr">
        <is>
          <t>Laser-cut bookmark / batch 5</t>
        </is>
      </c>
    </row>
    <row r="91">
      <c r="A91" s="21" t="inlineStr">
        <is>
          <t>SKU-087</t>
        </is>
      </c>
      <c r="B91" s="21" t="inlineStr">
        <is>
          <t>Metal Bookmark - Olive</t>
        </is>
      </c>
      <c r="C91" s="21" t="inlineStr">
        <is>
          <t>Stationery</t>
        </is>
      </c>
      <c r="D91" s="21" t="inlineStr">
        <is>
          <t>Studio Nine</t>
        </is>
      </c>
      <c r="E91" s="22" t="n">
        <v>58</v>
      </c>
      <c r="F91" s="23">
        <f>SUMIFS(Purchases!$D$5:$D$304,Purchases!$B$5:$B$304,$A91)</f>
        <v/>
      </c>
      <c r="G91" s="23">
        <f>SUMIFS(Sales!$D$5:$D$504,Sales!$B$5:$B$504,$A91)</f>
        <v/>
      </c>
      <c r="H91" s="23">
        <f>E91+F91-G91</f>
        <v/>
      </c>
      <c r="I91" s="22" t="n">
        <v>22</v>
      </c>
      <c r="J91" s="24" t="n">
        <v>0.8100000000000001</v>
      </c>
      <c r="K91" s="25">
        <f>H91*J91</f>
        <v/>
      </c>
      <c r="L91" s="26">
        <f>IFERROR(SUMIFS(Sales!$D$5:$D$504,Sales!$B$5:$B$504,$A91,Sales!$A$5:$A$504,"&gt;="&amp;Setup!$B$5-Setup!$B$6,Sales!$A$5:$A$504,"&lt;="&amp;Setup!$B$5)/Setup!$B$6,0)</f>
        <v/>
      </c>
      <c r="M91" s="27">
        <f>IF(L91&lt;=0,999,H91/L91)</f>
        <v/>
      </c>
      <c r="N91" s="28">
        <f>IF(L91&lt;=0,"No recent sales",Setup!$B$5+M91)</f>
        <v/>
      </c>
      <c r="O91" s="23">
        <f>Setup!$B$11</f>
        <v/>
      </c>
      <c r="P91" s="23">
        <f>ROUNDUP(L91*Setup!$B$12,0)</f>
        <v/>
      </c>
      <c r="Q91" s="23">
        <f>IF(MAX(0,ROUNDUP((L91*(O91+Setup!$B$12))-H91,0))=0,0,CEILING(MAX(0,ROUNDUP((L91*(O91+Setup!$B$12))-H91,0)),Setup!$B$13))</f>
        <v/>
      </c>
      <c r="R91" s="28">
        <f>IF(L91&lt;=0,"No sales signal",N91-O91)</f>
        <v/>
      </c>
      <c r="S91" s="29">
        <f>IF(H91&lt;=0,"Order now",IF(R91="No sales signal","No action",IF(R91&lt;=Setup!$B$5,"Order now",IF(R91&lt;=Setup!$B$5+7,"Order this week",IF(H91&lt;=I91,"Plan reorder","No action")))))</f>
        <v/>
      </c>
      <c r="T91" s="29">
        <f>IF(H91&lt;=0,"Out of stock",IF(H91&lt;=I91,"Reorder soon","Healthy"))</f>
        <v/>
      </c>
      <c r="U91" s="30" t="inlineStr">
        <is>
          <t>Laser-cut bookmark / batch 5</t>
        </is>
      </c>
    </row>
    <row r="92">
      <c r="A92" s="21" t="inlineStr">
        <is>
          <t>SKU-088</t>
        </is>
      </c>
      <c r="B92" s="21" t="inlineStr">
        <is>
          <t>Metal Bookmark - Slate</t>
        </is>
      </c>
      <c r="C92" s="21" t="inlineStr">
        <is>
          <t>Stationery</t>
        </is>
      </c>
      <c r="D92" s="21" t="inlineStr">
        <is>
          <t>Studio Nine</t>
        </is>
      </c>
      <c r="E92" s="22" t="n">
        <v>60</v>
      </c>
      <c r="F92" s="23">
        <f>SUMIFS(Purchases!$D$5:$D$304,Purchases!$B$5:$B$304,$A92)</f>
        <v/>
      </c>
      <c r="G92" s="23">
        <f>SUMIFS(Sales!$D$5:$D$504,Sales!$B$5:$B$504,$A92)</f>
        <v/>
      </c>
      <c r="H92" s="23">
        <f>E92+F92-G92</f>
        <v/>
      </c>
      <c r="I92" s="22" t="n">
        <v>23</v>
      </c>
      <c r="J92" s="24" t="n">
        <v>0.98</v>
      </c>
      <c r="K92" s="25">
        <f>H92*J92</f>
        <v/>
      </c>
      <c r="L92" s="26">
        <f>IFERROR(SUMIFS(Sales!$D$5:$D$504,Sales!$B$5:$B$504,$A92,Sales!$A$5:$A$504,"&gt;="&amp;Setup!$B$5-Setup!$B$6,Sales!$A$5:$A$504,"&lt;="&amp;Setup!$B$5)/Setup!$B$6,0)</f>
        <v/>
      </c>
      <c r="M92" s="27">
        <f>IF(L92&lt;=0,999,H92/L92)</f>
        <v/>
      </c>
      <c r="N92" s="28">
        <f>IF(L92&lt;=0,"No recent sales",Setup!$B$5+M92)</f>
        <v/>
      </c>
      <c r="O92" s="23">
        <f>Setup!$B$11</f>
        <v/>
      </c>
      <c r="P92" s="23">
        <f>ROUNDUP(L92*Setup!$B$12,0)</f>
        <v/>
      </c>
      <c r="Q92" s="23">
        <f>IF(MAX(0,ROUNDUP((L92*(O92+Setup!$B$12))-H92,0))=0,0,CEILING(MAX(0,ROUNDUP((L92*(O92+Setup!$B$12))-H92,0)),Setup!$B$13))</f>
        <v/>
      </c>
      <c r="R92" s="28">
        <f>IF(L92&lt;=0,"No sales signal",N92-O92)</f>
        <v/>
      </c>
      <c r="S92" s="29">
        <f>IF(H92&lt;=0,"Order now",IF(R92="No sales signal","No action",IF(R92&lt;=Setup!$B$5,"Order now",IF(R92&lt;=Setup!$B$5+7,"Order this week",IF(H92&lt;=I92,"Plan reorder","No action")))))</f>
        <v/>
      </c>
      <c r="T92" s="29">
        <f>IF(H92&lt;=0,"Out of stock",IF(H92&lt;=I92,"Reorder soon","Healthy"))</f>
        <v/>
      </c>
      <c r="U92" s="30" t="inlineStr">
        <is>
          <t>Laser-cut bookmark / batch 5</t>
        </is>
      </c>
    </row>
    <row r="93">
      <c r="A93" s="21" t="inlineStr">
        <is>
          <t>SKU-089</t>
        </is>
      </c>
      <c r="B93" s="21" t="inlineStr">
        <is>
          <t>Metal Bookmark - Coral</t>
        </is>
      </c>
      <c r="C93" s="21" t="inlineStr">
        <is>
          <t>Stationery</t>
        </is>
      </c>
      <c r="D93" s="21" t="inlineStr">
        <is>
          <t>Studio Nine</t>
        </is>
      </c>
      <c r="E93" s="22" t="n">
        <v>62</v>
      </c>
      <c r="F93" s="23">
        <f>SUMIFS(Purchases!$D$5:$D$304,Purchases!$B$5:$B$304,$A93)</f>
        <v/>
      </c>
      <c r="G93" s="23">
        <f>SUMIFS(Sales!$D$5:$D$504,Sales!$B$5:$B$504,$A93)</f>
        <v/>
      </c>
      <c r="H93" s="23">
        <f>E93+F93-G93</f>
        <v/>
      </c>
      <c r="I93" s="22" t="n">
        <v>20</v>
      </c>
      <c r="J93" s="24" t="n">
        <v>1.15</v>
      </c>
      <c r="K93" s="25">
        <f>H93*J93</f>
        <v/>
      </c>
      <c r="L93" s="26">
        <f>IFERROR(SUMIFS(Sales!$D$5:$D$504,Sales!$B$5:$B$504,$A93,Sales!$A$5:$A$504,"&gt;="&amp;Setup!$B$5-Setup!$B$6,Sales!$A$5:$A$504,"&lt;="&amp;Setup!$B$5)/Setup!$B$6,0)</f>
        <v/>
      </c>
      <c r="M93" s="27">
        <f>IF(L93&lt;=0,999,H93/L93)</f>
        <v/>
      </c>
      <c r="N93" s="28">
        <f>IF(L93&lt;=0,"No recent sales",Setup!$B$5+M93)</f>
        <v/>
      </c>
      <c r="O93" s="23">
        <f>Setup!$B$11</f>
        <v/>
      </c>
      <c r="P93" s="23">
        <f>ROUNDUP(L93*Setup!$B$12,0)</f>
        <v/>
      </c>
      <c r="Q93" s="23">
        <f>IF(MAX(0,ROUNDUP((L93*(O93+Setup!$B$12))-H93,0))=0,0,CEILING(MAX(0,ROUNDUP((L93*(O93+Setup!$B$12))-H93,0)),Setup!$B$13))</f>
        <v/>
      </c>
      <c r="R93" s="28">
        <f>IF(L93&lt;=0,"No sales signal",N93-O93)</f>
        <v/>
      </c>
      <c r="S93" s="29">
        <f>IF(H93&lt;=0,"Order now",IF(R93="No sales signal","No action",IF(R93&lt;=Setup!$B$5,"Order now",IF(R93&lt;=Setup!$B$5+7,"Order this week",IF(H93&lt;=I93,"Plan reorder","No action")))))</f>
        <v/>
      </c>
      <c r="T93" s="29">
        <f>IF(H93&lt;=0,"Out of stock",IF(H93&lt;=I93,"Reorder soon","Healthy"))</f>
        <v/>
      </c>
      <c r="U93" s="30" t="inlineStr">
        <is>
          <t>Laser-cut bookmark / batch 5</t>
        </is>
      </c>
    </row>
    <row r="94">
      <c r="A94" s="21" t="inlineStr">
        <is>
          <t>SKU-090</t>
        </is>
      </c>
      <c r="B94" s="21" t="inlineStr">
        <is>
          <t>Metal Bookmark - Natural</t>
        </is>
      </c>
      <c r="C94" s="21" t="inlineStr">
        <is>
          <t>Stationery</t>
        </is>
      </c>
      <c r="D94" s="21" t="inlineStr">
        <is>
          <t>Studio Nine</t>
        </is>
      </c>
      <c r="E94" s="22" t="n">
        <v>64</v>
      </c>
      <c r="F94" s="23">
        <f>SUMIFS(Purchases!$D$5:$D$304,Purchases!$B$5:$B$304,$A94)</f>
        <v/>
      </c>
      <c r="G94" s="23">
        <f>SUMIFS(Sales!$D$5:$D$504,Sales!$B$5:$B$504,$A94)</f>
        <v/>
      </c>
      <c r="H94" s="23">
        <f>E94+F94-G94</f>
        <v/>
      </c>
      <c r="I94" s="22" t="n">
        <v>21</v>
      </c>
      <c r="J94" s="24" t="n">
        <v>1.32</v>
      </c>
      <c r="K94" s="25">
        <f>H94*J94</f>
        <v/>
      </c>
      <c r="L94" s="26">
        <f>IFERROR(SUMIFS(Sales!$D$5:$D$504,Sales!$B$5:$B$504,$A94,Sales!$A$5:$A$504,"&gt;="&amp;Setup!$B$5-Setup!$B$6,Sales!$A$5:$A$504,"&lt;="&amp;Setup!$B$5)/Setup!$B$6,0)</f>
        <v/>
      </c>
      <c r="M94" s="27">
        <f>IF(L94&lt;=0,999,H94/L94)</f>
        <v/>
      </c>
      <c r="N94" s="28">
        <f>IF(L94&lt;=0,"No recent sales",Setup!$B$5+M94)</f>
        <v/>
      </c>
      <c r="O94" s="23">
        <f>Setup!$B$11</f>
        <v/>
      </c>
      <c r="P94" s="23">
        <f>ROUNDUP(L94*Setup!$B$12,0)</f>
        <v/>
      </c>
      <c r="Q94" s="23">
        <f>IF(MAX(0,ROUNDUP((L94*(O94+Setup!$B$12))-H94,0))=0,0,CEILING(MAX(0,ROUNDUP((L94*(O94+Setup!$B$12))-H94,0)),Setup!$B$13))</f>
        <v/>
      </c>
      <c r="R94" s="28">
        <f>IF(L94&lt;=0,"No sales signal",N94-O94)</f>
        <v/>
      </c>
      <c r="S94" s="29">
        <f>IF(H94&lt;=0,"Order now",IF(R94="No sales signal","No action",IF(R94&lt;=Setup!$B$5,"Order now",IF(R94&lt;=Setup!$B$5+7,"Order this week",IF(H94&lt;=I94,"Plan reorder","No action")))))</f>
        <v/>
      </c>
      <c r="T94" s="29">
        <f>IF(H94&lt;=0,"Out of stock",IF(H94&lt;=I94,"Reorder soon","Healthy"))</f>
        <v/>
      </c>
      <c r="U94" s="30" t="inlineStr">
        <is>
          <t>Laser-cut bookmark / batch 5</t>
        </is>
      </c>
    </row>
    <row r="95">
      <c r="A95" s="21" t="inlineStr">
        <is>
          <t>SKU-091</t>
        </is>
      </c>
      <c r="B95" s="21" t="inlineStr">
        <is>
          <t>Wall Print - Sand</t>
        </is>
      </c>
      <c r="C95" s="21" t="inlineStr">
        <is>
          <t>Wall Art</t>
        </is>
      </c>
      <c r="D95" s="21" t="inlineStr">
        <is>
          <t>Studio Nine</t>
        </is>
      </c>
      <c r="E95" s="22" t="n">
        <v>27</v>
      </c>
      <c r="F95" s="23">
        <f>SUMIFS(Purchases!$D$5:$D$304,Purchases!$B$5:$B$304,$A95)</f>
        <v/>
      </c>
      <c r="G95" s="23">
        <f>SUMIFS(Sales!$D$5:$D$504,Sales!$B$5:$B$504,$A95)</f>
        <v/>
      </c>
      <c r="H95" s="23">
        <f>E95+F95-G95</f>
        <v/>
      </c>
      <c r="I95" s="22" t="n">
        <v>11</v>
      </c>
      <c r="J95" s="24" t="n">
        <v>3.14</v>
      </c>
      <c r="K95" s="25">
        <f>H95*J95</f>
        <v/>
      </c>
      <c r="L95" s="26">
        <f>IFERROR(SUMIFS(Sales!$D$5:$D$504,Sales!$B$5:$B$504,$A95,Sales!$A$5:$A$504,"&gt;="&amp;Setup!$B$5-Setup!$B$6,Sales!$A$5:$A$504,"&lt;="&amp;Setup!$B$5)/Setup!$B$6,0)</f>
        <v/>
      </c>
      <c r="M95" s="27">
        <f>IF(L95&lt;=0,999,H95/L95)</f>
        <v/>
      </c>
      <c r="N95" s="28">
        <f>IF(L95&lt;=0,"No recent sales",Setup!$B$5+M95)</f>
        <v/>
      </c>
      <c r="O95" s="23">
        <f>Setup!$B$11</f>
        <v/>
      </c>
      <c r="P95" s="23">
        <f>ROUNDUP(L95*Setup!$B$12,0)</f>
        <v/>
      </c>
      <c r="Q95" s="23">
        <f>IF(MAX(0,ROUNDUP((L95*(O95+Setup!$B$12))-H95,0))=0,0,CEILING(MAX(0,ROUNDUP((L95*(O95+Setup!$B$12))-H95,0)),Setup!$B$13))</f>
        <v/>
      </c>
      <c r="R95" s="28">
        <f>IF(L95&lt;=0,"No sales signal",N95-O95)</f>
        <v/>
      </c>
      <c r="S95" s="29">
        <f>IF(H95&lt;=0,"Order now",IF(R95="No sales signal","No action",IF(R95&lt;=Setup!$B$5,"Order now",IF(R95&lt;=Setup!$B$5+7,"Order this week",IF(H95&lt;=I95,"Plan reorder","No action")))))</f>
        <v/>
      </c>
      <c r="T95" s="29">
        <f>IF(H95&lt;=0,"Out of stock",IF(H95&lt;=I95,"Reorder soon","Healthy"))</f>
        <v/>
      </c>
      <c r="U95" s="30" t="inlineStr">
        <is>
          <t>Frameless print / batch 5</t>
        </is>
      </c>
    </row>
    <row r="96">
      <c r="A96" s="21" t="inlineStr">
        <is>
          <t>SKU-092</t>
        </is>
      </c>
      <c r="B96" s="21" t="inlineStr">
        <is>
          <t>Wall Print - Olive</t>
        </is>
      </c>
      <c r="C96" s="21" t="inlineStr">
        <is>
          <t>Wall Art</t>
        </is>
      </c>
      <c r="D96" s="21" t="inlineStr">
        <is>
          <t>Studio Nine</t>
        </is>
      </c>
      <c r="E96" s="22" t="n">
        <v>29</v>
      </c>
      <c r="F96" s="23">
        <f>SUMIFS(Purchases!$D$5:$D$304,Purchases!$B$5:$B$304,$A96)</f>
        <v/>
      </c>
      <c r="G96" s="23">
        <f>SUMIFS(Sales!$D$5:$D$504,Sales!$B$5:$B$504,$A96)</f>
        <v/>
      </c>
      <c r="H96" s="23">
        <f>E96+F96-G96</f>
        <v/>
      </c>
      <c r="I96" s="22" t="n">
        <v>12</v>
      </c>
      <c r="J96" s="24" t="n">
        <v>3.31</v>
      </c>
      <c r="K96" s="25">
        <f>H96*J96</f>
        <v/>
      </c>
      <c r="L96" s="26">
        <f>IFERROR(SUMIFS(Sales!$D$5:$D$504,Sales!$B$5:$B$504,$A96,Sales!$A$5:$A$504,"&gt;="&amp;Setup!$B$5-Setup!$B$6,Sales!$A$5:$A$504,"&lt;="&amp;Setup!$B$5)/Setup!$B$6,0)</f>
        <v/>
      </c>
      <c r="M96" s="27">
        <f>IF(L96&lt;=0,999,H96/L96)</f>
        <v/>
      </c>
      <c r="N96" s="28">
        <f>IF(L96&lt;=0,"No recent sales",Setup!$B$5+M96)</f>
        <v/>
      </c>
      <c r="O96" s="23">
        <f>Setup!$B$11</f>
        <v/>
      </c>
      <c r="P96" s="23">
        <f>ROUNDUP(L96*Setup!$B$12,0)</f>
        <v/>
      </c>
      <c r="Q96" s="23">
        <f>IF(MAX(0,ROUNDUP((L96*(O96+Setup!$B$12))-H96,0))=0,0,CEILING(MAX(0,ROUNDUP((L96*(O96+Setup!$B$12))-H96,0)),Setup!$B$13))</f>
        <v/>
      </c>
      <c r="R96" s="28">
        <f>IF(L96&lt;=0,"No sales signal",N96-O96)</f>
        <v/>
      </c>
      <c r="S96" s="29">
        <f>IF(H96&lt;=0,"Order now",IF(R96="No sales signal","No action",IF(R96&lt;=Setup!$B$5,"Order now",IF(R96&lt;=Setup!$B$5+7,"Order this week",IF(H96&lt;=I96,"Plan reorder","No action")))))</f>
        <v/>
      </c>
      <c r="T96" s="29">
        <f>IF(H96&lt;=0,"Out of stock",IF(H96&lt;=I96,"Reorder soon","Healthy"))</f>
        <v/>
      </c>
      <c r="U96" s="30" t="inlineStr">
        <is>
          <t>Frameless print / batch 5</t>
        </is>
      </c>
    </row>
    <row r="97">
      <c r="A97" s="21" t="inlineStr">
        <is>
          <t>SKU-093</t>
        </is>
      </c>
      <c r="B97" s="21" t="inlineStr">
        <is>
          <t>Wall Print - Slate</t>
        </is>
      </c>
      <c r="C97" s="21" t="inlineStr">
        <is>
          <t>Wall Art</t>
        </is>
      </c>
      <c r="D97" s="21" t="inlineStr">
        <is>
          <t>Studio Nine</t>
        </is>
      </c>
      <c r="E97" s="22" t="n">
        <v>31</v>
      </c>
      <c r="F97" s="23">
        <f>SUMIFS(Purchases!$D$5:$D$304,Purchases!$B$5:$B$304,$A97)</f>
        <v/>
      </c>
      <c r="G97" s="23">
        <f>SUMIFS(Sales!$D$5:$D$504,Sales!$B$5:$B$504,$A97)</f>
        <v/>
      </c>
      <c r="H97" s="23">
        <f>E97+F97-G97</f>
        <v/>
      </c>
      <c r="I97" s="22" t="n">
        <v>9</v>
      </c>
      <c r="J97" s="24" t="n">
        <v>3.48</v>
      </c>
      <c r="K97" s="25">
        <f>H97*J97</f>
        <v/>
      </c>
      <c r="L97" s="26">
        <f>IFERROR(SUMIFS(Sales!$D$5:$D$504,Sales!$B$5:$B$504,$A97,Sales!$A$5:$A$504,"&gt;="&amp;Setup!$B$5-Setup!$B$6,Sales!$A$5:$A$504,"&lt;="&amp;Setup!$B$5)/Setup!$B$6,0)</f>
        <v/>
      </c>
      <c r="M97" s="27">
        <f>IF(L97&lt;=0,999,H97/L97)</f>
        <v/>
      </c>
      <c r="N97" s="28">
        <f>IF(L97&lt;=0,"No recent sales",Setup!$B$5+M97)</f>
        <v/>
      </c>
      <c r="O97" s="23">
        <f>Setup!$B$11</f>
        <v/>
      </c>
      <c r="P97" s="23">
        <f>ROUNDUP(L97*Setup!$B$12,0)</f>
        <v/>
      </c>
      <c r="Q97" s="23">
        <f>IF(MAX(0,ROUNDUP((L97*(O97+Setup!$B$12))-H97,0))=0,0,CEILING(MAX(0,ROUNDUP((L97*(O97+Setup!$B$12))-H97,0)),Setup!$B$13))</f>
        <v/>
      </c>
      <c r="R97" s="28">
        <f>IF(L97&lt;=0,"No sales signal",N97-O97)</f>
        <v/>
      </c>
      <c r="S97" s="29">
        <f>IF(H97&lt;=0,"Order now",IF(R97="No sales signal","No action",IF(R97&lt;=Setup!$B$5,"Order now",IF(R97&lt;=Setup!$B$5+7,"Order this week",IF(H97&lt;=I97,"Plan reorder","No action")))))</f>
        <v/>
      </c>
      <c r="T97" s="29">
        <f>IF(H97&lt;=0,"Out of stock",IF(H97&lt;=I97,"Reorder soon","Healthy"))</f>
        <v/>
      </c>
      <c r="U97" s="30" t="inlineStr">
        <is>
          <t>Frameless print / batch 5</t>
        </is>
      </c>
    </row>
    <row r="98">
      <c r="A98" s="21" t="inlineStr">
        <is>
          <t>SKU-094</t>
        </is>
      </c>
      <c r="B98" s="21" t="inlineStr">
        <is>
          <t>Wall Print - Coral</t>
        </is>
      </c>
      <c r="C98" s="21" t="inlineStr">
        <is>
          <t>Wall Art</t>
        </is>
      </c>
      <c r="D98" s="21" t="inlineStr">
        <is>
          <t>Studio Nine</t>
        </is>
      </c>
      <c r="E98" s="22" t="n">
        <v>33</v>
      </c>
      <c r="F98" s="23">
        <f>SUMIFS(Purchases!$D$5:$D$304,Purchases!$B$5:$B$304,$A98)</f>
        <v/>
      </c>
      <c r="G98" s="23">
        <f>SUMIFS(Sales!$D$5:$D$504,Sales!$B$5:$B$504,$A98)</f>
        <v/>
      </c>
      <c r="H98" s="23">
        <f>E98+F98-G98</f>
        <v/>
      </c>
      <c r="I98" s="22" t="n">
        <v>10</v>
      </c>
      <c r="J98" s="24" t="n">
        <v>3.65</v>
      </c>
      <c r="K98" s="25">
        <f>H98*J98</f>
        <v/>
      </c>
      <c r="L98" s="26">
        <f>IFERROR(SUMIFS(Sales!$D$5:$D$504,Sales!$B$5:$B$504,$A98,Sales!$A$5:$A$504,"&gt;="&amp;Setup!$B$5-Setup!$B$6,Sales!$A$5:$A$504,"&lt;="&amp;Setup!$B$5)/Setup!$B$6,0)</f>
        <v/>
      </c>
      <c r="M98" s="27">
        <f>IF(L98&lt;=0,999,H98/L98)</f>
        <v/>
      </c>
      <c r="N98" s="28">
        <f>IF(L98&lt;=0,"No recent sales",Setup!$B$5+M98)</f>
        <v/>
      </c>
      <c r="O98" s="23">
        <f>Setup!$B$11</f>
        <v/>
      </c>
      <c r="P98" s="23">
        <f>ROUNDUP(L98*Setup!$B$12,0)</f>
        <v/>
      </c>
      <c r="Q98" s="23">
        <f>IF(MAX(0,ROUNDUP((L98*(O98+Setup!$B$12))-H98,0))=0,0,CEILING(MAX(0,ROUNDUP((L98*(O98+Setup!$B$12))-H98,0)),Setup!$B$13))</f>
        <v/>
      </c>
      <c r="R98" s="28">
        <f>IF(L98&lt;=0,"No sales signal",N98-O98)</f>
        <v/>
      </c>
      <c r="S98" s="29">
        <f>IF(H98&lt;=0,"Order now",IF(R98="No sales signal","No action",IF(R98&lt;=Setup!$B$5,"Order now",IF(R98&lt;=Setup!$B$5+7,"Order this week",IF(H98&lt;=I98,"Plan reorder","No action")))))</f>
        <v/>
      </c>
      <c r="T98" s="29">
        <f>IF(H98&lt;=0,"Out of stock",IF(H98&lt;=I98,"Reorder soon","Healthy"))</f>
        <v/>
      </c>
      <c r="U98" s="30" t="inlineStr">
        <is>
          <t>Frameless print / batch 5</t>
        </is>
      </c>
    </row>
    <row r="99">
      <c r="A99" s="21" t="inlineStr">
        <is>
          <t>SKU-095</t>
        </is>
      </c>
      <c r="B99" s="21" t="inlineStr">
        <is>
          <t>Wall Print - Natural</t>
        </is>
      </c>
      <c r="C99" s="21" t="inlineStr">
        <is>
          <t>Wall Art</t>
        </is>
      </c>
      <c r="D99" s="21" t="inlineStr">
        <is>
          <t>Studio Nine</t>
        </is>
      </c>
      <c r="E99" s="22" t="n">
        <v>35</v>
      </c>
      <c r="F99" s="23">
        <f>SUMIFS(Purchases!$D$5:$D$304,Purchases!$B$5:$B$304,$A99)</f>
        <v/>
      </c>
      <c r="G99" s="23">
        <f>SUMIFS(Sales!$D$5:$D$504,Sales!$B$5:$B$504,$A99)</f>
        <v/>
      </c>
      <c r="H99" s="23">
        <f>E99+F99-G99</f>
        <v/>
      </c>
      <c r="I99" s="22" t="n">
        <v>11</v>
      </c>
      <c r="J99" s="24" t="n">
        <v>3.82</v>
      </c>
      <c r="K99" s="25">
        <f>H99*J99</f>
        <v/>
      </c>
      <c r="L99" s="26">
        <f>IFERROR(SUMIFS(Sales!$D$5:$D$504,Sales!$B$5:$B$504,$A99,Sales!$A$5:$A$504,"&gt;="&amp;Setup!$B$5-Setup!$B$6,Sales!$A$5:$A$504,"&lt;="&amp;Setup!$B$5)/Setup!$B$6,0)</f>
        <v/>
      </c>
      <c r="M99" s="27">
        <f>IF(L99&lt;=0,999,H99/L99)</f>
        <v/>
      </c>
      <c r="N99" s="28">
        <f>IF(L99&lt;=0,"No recent sales",Setup!$B$5+M99)</f>
        <v/>
      </c>
      <c r="O99" s="23">
        <f>Setup!$B$11</f>
        <v/>
      </c>
      <c r="P99" s="23">
        <f>ROUNDUP(L99*Setup!$B$12,0)</f>
        <v/>
      </c>
      <c r="Q99" s="23">
        <f>IF(MAX(0,ROUNDUP((L99*(O99+Setup!$B$12))-H99,0))=0,0,CEILING(MAX(0,ROUNDUP((L99*(O99+Setup!$B$12))-H99,0)),Setup!$B$13))</f>
        <v/>
      </c>
      <c r="R99" s="28">
        <f>IF(L99&lt;=0,"No sales signal",N99-O99)</f>
        <v/>
      </c>
      <c r="S99" s="29">
        <f>IF(H99&lt;=0,"Order now",IF(R99="No sales signal","No action",IF(R99&lt;=Setup!$B$5,"Order now",IF(R99&lt;=Setup!$B$5+7,"Order this week",IF(H99&lt;=I99,"Plan reorder","No action")))))</f>
        <v/>
      </c>
      <c r="T99" s="29">
        <f>IF(H99&lt;=0,"Out of stock",IF(H99&lt;=I99,"Reorder soon","Healthy"))</f>
        <v/>
      </c>
      <c r="U99" s="30" t="inlineStr">
        <is>
          <t>Frameless print / batch 5</t>
        </is>
      </c>
    </row>
    <row r="100">
      <c r="A100" s="21" t="inlineStr">
        <is>
          <t>SKU-096</t>
        </is>
      </c>
      <c r="B100" s="21" t="inlineStr">
        <is>
          <t>Tea Tin - Sand</t>
        </is>
      </c>
      <c r="C100" s="21" t="inlineStr">
        <is>
          <t>Home</t>
        </is>
      </c>
      <c r="D100" s="21" t="inlineStr">
        <is>
          <t>Harbor Supply</t>
        </is>
      </c>
      <c r="E100" s="22" t="n">
        <v>35</v>
      </c>
      <c r="F100" s="23">
        <f>SUMIFS(Purchases!$D$5:$D$304,Purchases!$B$5:$B$304,$A100)</f>
        <v/>
      </c>
      <c r="G100" s="23">
        <f>SUMIFS(Sales!$D$5:$D$504,Sales!$B$5:$B$504,$A100)</f>
        <v/>
      </c>
      <c r="H100" s="23">
        <f>E100+F100-G100</f>
        <v/>
      </c>
      <c r="I100" s="22" t="n">
        <v>11</v>
      </c>
      <c r="J100" s="24" t="n">
        <v>2.19</v>
      </c>
      <c r="K100" s="25">
        <f>H100*J100</f>
        <v/>
      </c>
      <c r="L100" s="26">
        <f>IFERROR(SUMIFS(Sales!$D$5:$D$504,Sales!$B$5:$B$504,$A100,Sales!$A$5:$A$504,"&gt;="&amp;Setup!$B$5-Setup!$B$6,Sales!$A$5:$A$504,"&lt;="&amp;Setup!$B$5)/Setup!$B$6,0)</f>
        <v/>
      </c>
      <c r="M100" s="27">
        <f>IF(L100&lt;=0,999,H100/L100)</f>
        <v/>
      </c>
      <c r="N100" s="28">
        <f>IF(L100&lt;=0,"No recent sales",Setup!$B$5+M100)</f>
        <v/>
      </c>
      <c r="O100" s="23">
        <f>Setup!$B$11</f>
        <v/>
      </c>
      <c r="P100" s="23">
        <f>ROUNDUP(L100*Setup!$B$12,0)</f>
        <v/>
      </c>
      <c r="Q100" s="23">
        <f>IF(MAX(0,ROUNDUP((L100*(O100+Setup!$B$12))-H100,0))=0,0,CEILING(MAX(0,ROUNDUP((L100*(O100+Setup!$B$12))-H100,0)),Setup!$B$13))</f>
        <v/>
      </c>
      <c r="R100" s="28">
        <f>IF(L100&lt;=0,"No sales signal",N100-O100)</f>
        <v/>
      </c>
      <c r="S100" s="29">
        <f>IF(H100&lt;=0,"Order now",IF(R100="No sales signal","No action",IF(R100&lt;=Setup!$B$5,"Order now",IF(R100&lt;=Setup!$B$5+7,"Order this week",IF(H100&lt;=I100,"Plan reorder","No action")))))</f>
        <v/>
      </c>
      <c r="T100" s="29">
        <f>IF(H100&lt;=0,"Out of stock",IF(H100&lt;=I100,"Reorder soon","Healthy"))</f>
        <v/>
      </c>
      <c r="U100" s="30" t="inlineStr">
        <is>
          <t>Loose leaf tea tin / batch 5</t>
        </is>
      </c>
    </row>
    <row r="101">
      <c r="A101" s="21" t="inlineStr">
        <is>
          <t>SKU-097</t>
        </is>
      </c>
      <c r="B101" s="21" t="inlineStr">
        <is>
          <t>Tea Tin - Olive</t>
        </is>
      </c>
      <c r="C101" s="21" t="inlineStr">
        <is>
          <t>Home</t>
        </is>
      </c>
      <c r="D101" s="21" t="inlineStr">
        <is>
          <t>Harbor Supply</t>
        </is>
      </c>
      <c r="E101" s="22" t="n">
        <v>25</v>
      </c>
      <c r="F101" s="23">
        <f>SUMIFS(Purchases!$D$5:$D$304,Purchases!$B$5:$B$304,$A101)</f>
        <v/>
      </c>
      <c r="G101" s="23">
        <f>SUMIFS(Sales!$D$5:$D$504,Sales!$B$5:$B$504,$A101)</f>
        <v/>
      </c>
      <c r="H101" s="23">
        <f>E101+F101-G101</f>
        <v/>
      </c>
      <c r="I101" s="22" t="n">
        <v>8</v>
      </c>
      <c r="J101" s="24" t="n">
        <v>2.36</v>
      </c>
      <c r="K101" s="25">
        <f>H101*J101</f>
        <v/>
      </c>
      <c r="L101" s="26">
        <f>IFERROR(SUMIFS(Sales!$D$5:$D$504,Sales!$B$5:$B$504,$A101,Sales!$A$5:$A$504,"&gt;="&amp;Setup!$B$5-Setup!$B$6,Sales!$A$5:$A$504,"&lt;="&amp;Setup!$B$5)/Setup!$B$6,0)</f>
        <v/>
      </c>
      <c r="M101" s="27">
        <f>IF(L101&lt;=0,999,H101/L101)</f>
        <v/>
      </c>
      <c r="N101" s="28">
        <f>IF(L101&lt;=0,"No recent sales",Setup!$B$5+M101)</f>
        <v/>
      </c>
      <c r="O101" s="23">
        <f>Setup!$B$11</f>
        <v/>
      </c>
      <c r="P101" s="23">
        <f>ROUNDUP(L101*Setup!$B$12,0)</f>
        <v/>
      </c>
      <c r="Q101" s="23">
        <f>IF(MAX(0,ROUNDUP((L101*(O101+Setup!$B$12))-H101,0))=0,0,CEILING(MAX(0,ROUNDUP((L101*(O101+Setup!$B$12))-H101,0)),Setup!$B$13))</f>
        <v/>
      </c>
      <c r="R101" s="28">
        <f>IF(L101&lt;=0,"No sales signal",N101-O101)</f>
        <v/>
      </c>
      <c r="S101" s="29">
        <f>IF(H101&lt;=0,"Order now",IF(R101="No sales signal","No action",IF(R101&lt;=Setup!$B$5,"Order now",IF(R101&lt;=Setup!$B$5+7,"Order this week",IF(H101&lt;=I101,"Plan reorder","No action")))))</f>
        <v/>
      </c>
      <c r="T101" s="29">
        <f>IF(H101&lt;=0,"Out of stock",IF(H101&lt;=I101,"Reorder soon","Healthy"))</f>
        <v/>
      </c>
      <c r="U101" s="30" t="inlineStr">
        <is>
          <t>Loose leaf tea tin / batch 5</t>
        </is>
      </c>
    </row>
    <row r="102">
      <c r="A102" s="21" t="inlineStr">
        <is>
          <t>SKU-098</t>
        </is>
      </c>
      <c r="B102" s="21" t="inlineStr">
        <is>
          <t>Tea Tin - Slate</t>
        </is>
      </c>
      <c r="C102" s="21" t="inlineStr">
        <is>
          <t>Home</t>
        </is>
      </c>
      <c r="D102" s="21" t="inlineStr">
        <is>
          <t>Harbor Supply</t>
        </is>
      </c>
      <c r="E102" s="22" t="n">
        <v>27</v>
      </c>
      <c r="F102" s="23">
        <f>SUMIFS(Purchases!$D$5:$D$304,Purchases!$B$5:$B$304,$A102)</f>
        <v/>
      </c>
      <c r="G102" s="23">
        <f>SUMIFS(Sales!$D$5:$D$504,Sales!$B$5:$B$504,$A102)</f>
        <v/>
      </c>
      <c r="H102" s="23">
        <f>E102+F102-G102</f>
        <v/>
      </c>
      <c r="I102" s="22" t="n">
        <v>9</v>
      </c>
      <c r="J102" s="24" t="n">
        <v>2.53</v>
      </c>
      <c r="K102" s="25">
        <f>H102*J102</f>
        <v/>
      </c>
      <c r="L102" s="26">
        <f>IFERROR(SUMIFS(Sales!$D$5:$D$504,Sales!$B$5:$B$504,$A102,Sales!$A$5:$A$504,"&gt;="&amp;Setup!$B$5-Setup!$B$6,Sales!$A$5:$A$504,"&lt;="&amp;Setup!$B$5)/Setup!$B$6,0)</f>
        <v/>
      </c>
      <c r="M102" s="27">
        <f>IF(L102&lt;=0,999,H102/L102)</f>
        <v/>
      </c>
      <c r="N102" s="28">
        <f>IF(L102&lt;=0,"No recent sales",Setup!$B$5+M102)</f>
        <v/>
      </c>
      <c r="O102" s="23">
        <f>Setup!$B$11</f>
        <v/>
      </c>
      <c r="P102" s="23">
        <f>ROUNDUP(L102*Setup!$B$12,0)</f>
        <v/>
      </c>
      <c r="Q102" s="23">
        <f>IF(MAX(0,ROUNDUP((L102*(O102+Setup!$B$12))-H102,0))=0,0,CEILING(MAX(0,ROUNDUP((L102*(O102+Setup!$B$12))-H102,0)),Setup!$B$13))</f>
        <v/>
      </c>
      <c r="R102" s="28">
        <f>IF(L102&lt;=0,"No sales signal",N102-O102)</f>
        <v/>
      </c>
      <c r="S102" s="29">
        <f>IF(H102&lt;=0,"Order now",IF(R102="No sales signal","No action",IF(R102&lt;=Setup!$B$5,"Order now",IF(R102&lt;=Setup!$B$5+7,"Order this week",IF(H102&lt;=I102,"Plan reorder","No action")))))</f>
        <v/>
      </c>
      <c r="T102" s="29">
        <f>IF(H102&lt;=0,"Out of stock",IF(H102&lt;=I102,"Reorder soon","Healthy"))</f>
        <v/>
      </c>
      <c r="U102" s="30" t="inlineStr">
        <is>
          <t>Loose leaf tea tin / batch 5</t>
        </is>
      </c>
    </row>
    <row r="103">
      <c r="A103" s="21" t="inlineStr">
        <is>
          <t>SKU-099</t>
        </is>
      </c>
      <c r="B103" s="21" t="inlineStr">
        <is>
          <t>Tea Tin - Coral</t>
        </is>
      </c>
      <c r="C103" s="21" t="inlineStr">
        <is>
          <t>Home</t>
        </is>
      </c>
      <c r="D103" s="21" t="inlineStr">
        <is>
          <t>Harbor Supply</t>
        </is>
      </c>
      <c r="E103" s="22" t="n">
        <v>29</v>
      </c>
      <c r="F103" s="23">
        <f>SUMIFS(Purchases!$D$5:$D$304,Purchases!$B$5:$B$304,$A103)</f>
        <v/>
      </c>
      <c r="G103" s="23">
        <f>SUMIFS(Sales!$D$5:$D$504,Sales!$B$5:$B$504,$A103)</f>
        <v/>
      </c>
      <c r="H103" s="23">
        <f>E103+F103-G103</f>
        <v/>
      </c>
      <c r="I103" s="22" t="n">
        <v>10</v>
      </c>
      <c r="J103" s="24" t="n">
        <v>2.7</v>
      </c>
      <c r="K103" s="25">
        <f>H103*J103</f>
        <v/>
      </c>
      <c r="L103" s="26">
        <f>IFERROR(SUMIFS(Sales!$D$5:$D$504,Sales!$B$5:$B$504,$A103,Sales!$A$5:$A$504,"&gt;="&amp;Setup!$B$5-Setup!$B$6,Sales!$A$5:$A$504,"&lt;="&amp;Setup!$B$5)/Setup!$B$6,0)</f>
        <v/>
      </c>
      <c r="M103" s="27">
        <f>IF(L103&lt;=0,999,H103/L103)</f>
        <v/>
      </c>
      <c r="N103" s="28">
        <f>IF(L103&lt;=0,"No recent sales",Setup!$B$5+M103)</f>
        <v/>
      </c>
      <c r="O103" s="23">
        <f>Setup!$B$11</f>
        <v/>
      </c>
      <c r="P103" s="23">
        <f>ROUNDUP(L103*Setup!$B$12,0)</f>
        <v/>
      </c>
      <c r="Q103" s="23">
        <f>IF(MAX(0,ROUNDUP((L103*(O103+Setup!$B$12))-H103,0))=0,0,CEILING(MAX(0,ROUNDUP((L103*(O103+Setup!$B$12))-H103,0)),Setup!$B$13))</f>
        <v/>
      </c>
      <c r="R103" s="28">
        <f>IF(L103&lt;=0,"No sales signal",N103-O103)</f>
        <v/>
      </c>
      <c r="S103" s="29">
        <f>IF(H103&lt;=0,"Order now",IF(R103="No sales signal","No action",IF(R103&lt;=Setup!$B$5,"Order now",IF(R103&lt;=Setup!$B$5+7,"Order this week",IF(H103&lt;=I103,"Plan reorder","No action")))))</f>
        <v/>
      </c>
      <c r="T103" s="29">
        <f>IF(H103&lt;=0,"Out of stock",IF(H103&lt;=I103,"Reorder soon","Healthy"))</f>
        <v/>
      </c>
      <c r="U103" s="30" t="inlineStr">
        <is>
          <t>Loose leaf tea tin / batch 5</t>
        </is>
      </c>
    </row>
    <row r="104">
      <c r="A104" s="21" t="inlineStr">
        <is>
          <t>SKU-100</t>
        </is>
      </c>
      <c r="B104" s="21" t="inlineStr">
        <is>
          <t>Tea Tin - Natural</t>
        </is>
      </c>
      <c r="C104" s="21" t="inlineStr">
        <is>
          <t>Home</t>
        </is>
      </c>
      <c r="D104" s="21" t="inlineStr">
        <is>
          <t>Harbor Supply</t>
        </is>
      </c>
      <c r="E104" s="22" t="n">
        <v>31</v>
      </c>
      <c r="F104" s="23">
        <f>SUMIFS(Purchases!$D$5:$D$304,Purchases!$B$5:$B$304,$A104)</f>
        <v/>
      </c>
      <c r="G104" s="23">
        <f>SUMIFS(Sales!$D$5:$D$504,Sales!$B$5:$B$504,$A104)</f>
        <v/>
      </c>
      <c r="H104" s="23">
        <f>E104+F104-G104</f>
        <v/>
      </c>
      <c r="I104" s="22" t="n">
        <v>11</v>
      </c>
      <c r="J104" s="24" t="n">
        <v>2.87</v>
      </c>
      <c r="K104" s="25">
        <f>H104*J104</f>
        <v/>
      </c>
      <c r="L104" s="26">
        <f>IFERROR(SUMIFS(Sales!$D$5:$D$504,Sales!$B$5:$B$504,$A104,Sales!$A$5:$A$504,"&gt;="&amp;Setup!$B$5-Setup!$B$6,Sales!$A$5:$A$504,"&lt;="&amp;Setup!$B$5)/Setup!$B$6,0)</f>
        <v/>
      </c>
      <c r="M104" s="27">
        <f>IF(L104&lt;=0,999,H104/L104)</f>
        <v/>
      </c>
      <c r="N104" s="28">
        <f>IF(L104&lt;=0,"No recent sales",Setup!$B$5+M104)</f>
        <v/>
      </c>
      <c r="O104" s="23">
        <f>Setup!$B$11</f>
        <v/>
      </c>
      <c r="P104" s="23">
        <f>ROUNDUP(L104*Setup!$B$12,0)</f>
        <v/>
      </c>
      <c r="Q104" s="23">
        <f>IF(MAX(0,ROUNDUP((L104*(O104+Setup!$B$12))-H104,0))=0,0,CEILING(MAX(0,ROUNDUP((L104*(O104+Setup!$B$12))-H104,0)),Setup!$B$13))</f>
        <v/>
      </c>
      <c r="R104" s="28">
        <f>IF(L104&lt;=0,"No sales signal",N104-O104)</f>
        <v/>
      </c>
      <c r="S104" s="29">
        <f>IF(H104&lt;=0,"Order now",IF(R104="No sales signal","No action",IF(R104&lt;=Setup!$B$5,"Order now",IF(R104&lt;=Setup!$B$5+7,"Order this week",IF(H104&lt;=I104,"Plan reorder","No action")))))</f>
        <v/>
      </c>
      <c r="T104" s="29">
        <f>IF(H104&lt;=0,"Out of stock",IF(H104&lt;=I104,"Reorder soon","Healthy"))</f>
        <v/>
      </c>
      <c r="U104" s="30" t="inlineStr">
        <is>
          <t>Loose leaf tea tin / batch 5</t>
        </is>
      </c>
    </row>
    <row r="105">
      <c r="A105" s="31" t="inlineStr">
        <is>
          <t>Totals</t>
        </is>
      </c>
      <c r="B105" s="31" t="n"/>
      <c r="C105" s="31" t="n"/>
      <c r="D105" s="31" t="n"/>
      <c r="E105" s="32">
        <f>SUM(E5:E104)</f>
        <v/>
      </c>
      <c r="F105" s="32">
        <f>SUM(F5:F104)</f>
        <v/>
      </c>
      <c r="G105" s="32">
        <f>SUM(G5:G104)</f>
        <v/>
      </c>
      <c r="H105" s="32">
        <f>SUM(H5:H104)</f>
        <v/>
      </c>
      <c r="I105" s="31" t="n"/>
      <c r="J105" s="31" t="n"/>
      <c r="K105" s="33">
        <f>SUM(K5:K104)</f>
        <v/>
      </c>
      <c r="L105" s="31" t="n"/>
      <c r="M105" s="31" t="n"/>
      <c r="N105" s="31" t="n"/>
      <c r="O105" s="31" t="n"/>
      <c r="P105" s="31" t="n"/>
      <c r="Q105" s="32">
        <f>SUM(Q5:Q104)</f>
        <v/>
      </c>
      <c r="R105" s="31" t="n"/>
      <c r="S105" s="31" t="n"/>
      <c r="T105" s="31" t="n"/>
      <c r="U1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U1"/>
    <mergeCell ref="A2:U2"/>
  </mergeCells>
  <dataValidations count="1">
    <dataValidation sqref="C5:C104" showDropDown="0" showInputMessage="0" showErrorMessage="0" allowBlank="1" type="list">
      <formula1>=Lists!$B$2:$B$7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  <col width="14" customWidth="1" min="7" max="7"/>
    <col width="24" customWidth="1" min="8" max="8"/>
  </cols>
  <sheetData>
    <row r="1" ht="28" customHeight="1">
      <c r="A1" s="1" t="inlineStr">
        <is>
          <t>Purchases</t>
        </is>
      </c>
    </row>
    <row r="2" ht="22" customHeight="1">
      <c r="A2" s="2" t="inlineStr">
        <is>
          <t>Log restocks and purchase costs. Quantity drives Inventory on-hand and total cost drives the dashboard.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Supplier</t>
        </is>
      </c>
      <c r="D4" s="14" t="inlineStr">
        <is>
          <t>Qty</t>
        </is>
      </c>
      <c r="E4" s="14" t="inlineStr">
        <is>
          <t>Unit Cost</t>
        </is>
      </c>
      <c r="F4" s="14" t="inlineStr">
        <is>
          <t>Shipping</t>
        </is>
      </c>
      <c r="G4" s="14" t="inlineStr">
        <is>
          <t>Total Cost</t>
        </is>
      </c>
      <c r="H4" s="14" t="inlineStr">
        <is>
          <t>Notes</t>
        </is>
      </c>
    </row>
    <row r="5">
      <c r="A5" s="34" t="n">
        <v>46025</v>
      </c>
      <c r="B5" s="30" t="inlineStr">
        <is>
          <t>SKU-001</t>
        </is>
      </c>
      <c r="C5" s="30" t="inlineStr">
        <is>
          <t>Northstar Wholesale</t>
        </is>
      </c>
      <c r="D5" s="22" t="n">
        <v>2</v>
      </c>
      <c r="E5" s="24" t="n">
        <v>0.95</v>
      </c>
      <c r="F5" s="24" t="n">
        <v>1.8</v>
      </c>
      <c r="G5" s="35">
        <f>D5*E5+F5</f>
        <v/>
      </c>
      <c r="H5" s="30" t="inlineStr">
        <is>
          <t>Restock wave 1</t>
        </is>
      </c>
    </row>
    <row r="6">
      <c r="A6" s="34" t="n">
        <v>46025</v>
      </c>
      <c r="B6" s="30" t="inlineStr">
        <is>
          <t>SKU-002</t>
        </is>
      </c>
      <c r="C6" s="30" t="inlineStr">
        <is>
          <t>Northstar Wholesale</t>
        </is>
      </c>
      <c r="D6" s="22" t="n">
        <v>3</v>
      </c>
      <c r="E6" s="24" t="n">
        <v>1.12</v>
      </c>
      <c r="F6" s="24" t="n">
        <v>2.15</v>
      </c>
      <c r="G6" s="35">
        <f>D6*E6+F6</f>
        <v/>
      </c>
      <c r="H6" s="30" t="inlineStr">
        <is>
          <t>Restock wave 1</t>
        </is>
      </c>
    </row>
    <row r="7">
      <c r="A7" s="34" t="n">
        <v>46025</v>
      </c>
      <c r="B7" s="30" t="inlineStr">
        <is>
          <t>SKU-003</t>
        </is>
      </c>
      <c r="C7" s="30" t="inlineStr">
        <is>
          <t>Northstar Wholesale</t>
        </is>
      </c>
      <c r="D7" s="22" t="n">
        <v>4</v>
      </c>
      <c r="E7" s="24" t="n">
        <v>1.29</v>
      </c>
      <c r="F7" s="24" t="n">
        <v>2.5</v>
      </c>
      <c r="G7" s="35">
        <f>D7*E7+F7</f>
        <v/>
      </c>
      <c r="H7" s="30" t="inlineStr">
        <is>
          <t>Restock wave 1</t>
        </is>
      </c>
    </row>
    <row r="8">
      <c r="A8" s="34" t="n">
        <v>46025</v>
      </c>
      <c r="B8" s="30" t="inlineStr">
        <is>
          <t>SKU-004</t>
        </is>
      </c>
      <c r="C8" s="30" t="inlineStr">
        <is>
          <t>Northstar Wholesale</t>
        </is>
      </c>
      <c r="D8" s="22" t="n">
        <v>5</v>
      </c>
      <c r="E8" s="24" t="n">
        <v>1.46</v>
      </c>
      <c r="F8" s="24" t="n">
        <v>2.85</v>
      </c>
      <c r="G8" s="35">
        <f>D8*E8+F8</f>
        <v/>
      </c>
      <c r="H8" s="30" t="inlineStr">
        <is>
          <t>Restock wave 1</t>
        </is>
      </c>
    </row>
    <row r="9">
      <c r="A9" s="34" t="n">
        <v>46025</v>
      </c>
      <c r="B9" s="30" t="inlineStr">
        <is>
          <t>SKU-005</t>
        </is>
      </c>
      <c r="C9" s="30" t="inlineStr">
        <is>
          <t>Northstar Wholesale</t>
        </is>
      </c>
      <c r="D9" s="22" t="n">
        <v>6</v>
      </c>
      <c r="E9" s="24" t="n">
        <v>1.63</v>
      </c>
      <c r="F9" s="24" t="n">
        <v>3.2</v>
      </c>
      <c r="G9" s="35">
        <f>D9*E9+F9</f>
        <v/>
      </c>
      <c r="H9" s="30" t="inlineStr">
        <is>
          <t>Restock wave 1</t>
        </is>
      </c>
    </row>
    <row r="10">
      <c r="A10" s="34" t="n">
        <v>46025</v>
      </c>
      <c r="B10" s="30" t="inlineStr">
        <is>
          <t>SKU-006</t>
        </is>
      </c>
      <c r="C10" s="30" t="inlineStr">
        <is>
          <t>Harbor Supply</t>
        </is>
      </c>
      <c r="D10" s="22" t="n">
        <v>2</v>
      </c>
      <c r="E10" s="24" t="n">
        <v>2.1</v>
      </c>
      <c r="F10" s="24" t="n">
        <v>3.55</v>
      </c>
      <c r="G10" s="35">
        <f>D10*E10+F10</f>
        <v/>
      </c>
      <c r="H10" s="30" t="inlineStr">
        <is>
          <t>Restock wave 1</t>
        </is>
      </c>
    </row>
    <row r="11">
      <c r="A11" s="34" t="n">
        <v>46026</v>
      </c>
      <c r="B11" s="30" t="inlineStr">
        <is>
          <t>SKU-007</t>
        </is>
      </c>
      <c r="C11" s="30" t="inlineStr">
        <is>
          <t>Harbor Supply</t>
        </is>
      </c>
      <c r="D11" s="22" t="n">
        <v>3</v>
      </c>
      <c r="E11" s="24" t="n">
        <v>2.27</v>
      </c>
      <c r="F11" s="24" t="n">
        <v>3.9</v>
      </c>
      <c r="G11" s="35">
        <f>D11*E11+F11</f>
        <v/>
      </c>
      <c r="H11" s="30" t="inlineStr">
        <is>
          <t>Restock wave 1</t>
        </is>
      </c>
    </row>
    <row r="12">
      <c r="A12" s="34" t="n">
        <v>46026</v>
      </c>
      <c r="B12" s="30" t="inlineStr">
        <is>
          <t>SKU-008</t>
        </is>
      </c>
      <c r="C12" s="30" t="inlineStr">
        <is>
          <t>Harbor Supply</t>
        </is>
      </c>
      <c r="D12" s="22" t="n">
        <v>4</v>
      </c>
      <c r="E12" s="24" t="n">
        <v>2.44</v>
      </c>
      <c r="F12" s="24" t="n">
        <v>1.8</v>
      </c>
      <c r="G12" s="35">
        <f>D12*E12+F12</f>
        <v/>
      </c>
      <c r="H12" s="30" t="inlineStr">
        <is>
          <t>Restock wave 1</t>
        </is>
      </c>
    </row>
    <row r="13">
      <c r="A13" s="34" t="n">
        <v>46026</v>
      </c>
      <c r="B13" s="30" t="inlineStr">
        <is>
          <t>SKU-009</t>
        </is>
      </c>
      <c r="C13" s="30" t="inlineStr">
        <is>
          <t>Harbor Supply</t>
        </is>
      </c>
      <c r="D13" s="22" t="n">
        <v>5</v>
      </c>
      <c r="E13" s="24" t="n">
        <v>2.61</v>
      </c>
      <c r="F13" s="24" t="n">
        <v>2.15</v>
      </c>
      <c r="G13" s="35">
        <f>D13*E13+F13</f>
        <v/>
      </c>
      <c r="H13" s="30" t="inlineStr">
        <is>
          <t>Restock wave 1</t>
        </is>
      </c>
    </row>
    <row r="14">
      <c r="A14" s="34" t="n">
        <v>46026</v>
      </c>
      <c r="B14" s="30" t="inlineStr">
        <is>
          <t>SKU-010</t>
        </is>
      </c>
      <c r="C14" s="30" t="inlineStr">
        <is>
          <t>Harbor Supply</t>
        </is>
      </c>
      <c r="D14" s="22" t="n">
        <v>6</v>
      </c>
      <c r="E14" s="24" t="n">
        <v>2.78</v>
      </c>
      <c r="F14" s="24" t="n">
        <v>2.5</v>
      </c>
      <c r="G14" s="35">
        <f>D14*E14+F14</f>
        <v/>
      </c>
      <c r="H14" s="30" t="inlineStr">
        <is>
          <t>Restock wave 1</t>
        </is>
      </c>
    </row>
    <row r="15">
      <c r="A15" s="34" t="n">
        <v>46026</v>
      </c>
      <c r="B15" s="30" t="inlineStr">
        <is>
          <t>SKU-011</t>
        </is>
      </c>
      <c r="C15" s="30" t="inlineStr">
        <is>
          <t>Paper Trail Co.</t>
        </is>
      </c>
      <c r="D15" s="22" t="n">
        <v>2</v>
      </c>
      <c r="E15" s="24" t="n">
        <v>1.25</v>
      </c>
      <c r="F15" s="24" t="n">
        <v>2.85</v>
      </c>
      <c r="G15" s="35">
        <f>D15*E15+F15</f>
        <v/>
      </c>
      <c r="H15" s="30" t="inlineStr">
        <is>
          <t>Restock wave 1</t>
        </is>
      </c>
    </row>
    <row r="16">
      <c r="A16" s="34" t="n">
        <v>46026</v>
      </c>
      <c r="B16" s="30" t="inlineStr">
        <is>
          <t>SKU-012</t>
        </is>
      </c>
      <c r="C16" s="30" t="inlineStr">
        <is>
          <t>Paper Trail Co.</t>
        </is>
      </c>
      <c r="D16" s="22" t="n">
        <v>3</v>
      </c>
      <c r="E16" s="24" t="n">
        <v>1.42</v>
      </c>
      <c r="F16" s="24" t="n">
        <v>3.2</v>
      </c>
      <c r="G16" s="35">
        <f>D16*E16+F16</f>
        <v/>
      </c>
      <c r="H16" s="30" t="inlineStr">
        <is>
          <t>Restock wave 1</t>
        </is>
      </c>
    </row>
    <row r="17">
      <c r="A17" s="34" t="n">
        <v>46027</v>
      </c>
      <c r="B17" s="30" t="inlineStr">
        <is>
          <t>SKU-013</t>
        </is>
      </c>
      <c r="C17" s="30" t="inlineStr">
        <is>
          <t>Paper Trail Co.</t>
        </is>
      </c>
      <c r="D17" s="22" t="n">
        <v>4</v>
      </c>
      <c r="E17" s="24" t="n">
        <v>1.59</v>
      </c>
      <c r="F17" s="24" t="n">
        <v>3.55</v>
      </c>
      <c r="G17" s="35">
        <f>D17*E17+F17</f>
        <v/>
      </c>
      <c r="H17" s="30" t="inlineStr">
        <is>
          <t>Restock wave 1</t>
        </is>
      </c>
    </row>
    <row r="18">
      <c r="A18" s="34" t="n">
        <v>46027</v>
      </c>
      <c r="B18" s="30" t="inlineStr">
        <is>
          <t>SKU-014</t>
        </is>
      </c>
      <c r="C18" s="30" t="inlineStr">
        <is>
          <t>Paper Trail Co.</t>
        </is>
      </c>
      <c r="D18" s="22" t="n">
        <v>5</v>
      </c>
      <c r="E18" s="24" t="n">
        <v>1.76</v>
      </c>
      <c r="F18" s="24" t="n">
        <v>3.9</v>
      </c>
      <c r="G18" s="35">
        <f>D18*E18+F18</f>
        <v/>
      </c>
      <c r="H18" s="30" t="inlineStr">
        <is>
          <t>Restock wave 1</t>
        </is>
      </c>
    </row>
    <row r="19">
      <c r="A19" s="34" t="n">
        <v>46027</v>
      </c>
      <c r="B19" s="30" t="inlineStr">
        <is>
          <t>SKU-015</t>
        </is>
      </c>
      <c r="C19" s="30" t="inlineStr">
        <is>
          <t>Paper Trail Co.</t>
        </is>
      </c>
      <c r="D19" s="22" t="n">
        <v>6</v>
      </c>
      <c r="E19" s="24" t="n">
        <v>1.93</v>
      </c>
      <c r="F19" s="24" t="n">
        <v>1.8</v>
      </c>
      <c r="G19" s="35">
        <f>D19*E19+F19</f>
        <v/>
      </c>
      <c r="H19" s="30" t="inlineStr">
        <is>
          <t>Restock wave 1</t>
        </is>
      </c>
    </row>
    <row r="20">
      <c r="A20" s="34" t="n">
        <v>46027</v>
      </c>
      <c r="B20" s="30" t="inlineStr">
        <is>
          <t>SKU-016</t>
        </is>
      </c>
      <c r="C20" s="30" t="inlineStr">
        <is>
          <t>Paper Trail Co.</t>
        </is>
      </c>
      <c r="D20" s="22" t="n">
        <v>2</v>
      </c>
      <c r="E20" s="24" t="n">
        <v>0.22</v>
      </c>
      <c r="F20" s="24" t="n">
        <v>2.15</v>
      </c>
      <c r="G20" s="35">
        <f>D20*E20+F20</f>
        <v/>
      </c>
      <c r="H20" s="30" t="inlineStr">
        <is>
          <t>Restock wave 1</t>
        </is>
      </c>
    </row>
    <row r="21">
      <c r="A21" s="34" t="n">
        <v>46027</v>
      </c>
      <c r="B21" s="30" t="inlineStr">
        <is>
          <t>SKU-017</t>
        </is>
      </c>
      <c r="C21" s="30" t="inlineStr">
        <is>
          <t>Paper Trail Co.</t>
        </is>
      </c>
      <c r="D21" s="22" t="n">
        <v>3</v>
      </c>
      <c r="E21" s="24" t="n">
        <v>0.39</v>
      </c>
      <c r="F21" s="24" t="n">
        <v>2.5</v>
      </c>
      <c r="G21" s="35">
        <f>D21*E21+F21</f>
        <v/>
      </c>
      <c r="H21" s="30" t="inlineStr">
        <is>
          <t>Restock wave 1</t>
        </is>
      </c>
    </row>
    <row r="22">
      <c r="A22" s="34" t="n">
        <v>46027</v>
      </c>
      <c r="B22" s="30" t="inlineStr">
        <is>
          <t>SKU-018</t>
        </is>
      </c>
      <c r="C22" s="30" t="inlineStr">
        <is>
          <t>Paper Trail Co.</t>
        </is>
      </c>
      <c r="D22" s="22" t="n">
        <v>4</v>
      </c>
      <c r="E22" s="24" t="n">
        <v>0.5600000000000001</v>
      </c>
      <c r="F22" s="24" t="n">
        <v>2.85</v>
      </c>
      <c r="G22" s="35">
        <f>D22*E22+F22</f>
        <v/>
      </c>
      <c r="H22" s="30" t="inlineStr">
        <is>
          <t>Restock wave 1</t>
        </is>
      </c>
    </row>
    <row r="23">
      <c r="A23" s="34" t="n">
        <v>46028</v>
      </c>
      <c r="B23" s="30" t="inlineStr">
        <is>
          <t>SKU-019</t>
        </is>
      </c>
      <c r="C23" s="30" t="inlineStr">
        <is>
          <t>Paper Trail Co.</t>
        </is>
      </c>
      <c r="D23" s="22" t="n">
        <v>5</v>
      </c>
      <c r="E23" s="24" t="n">
        <v>0.73</v>
      </c>
      <c r="F23" s="24" t="n">
        <v>3.2</v>
      </c>
      <c r="G23" s="35">
        <f>D23*E23+F23</f>
        <v/>
      </c>
      <c r="H23" s="30" t="inlineStr">
        <is>
          <t>Restock wave 1</t>
        </is>
      </c>
    </row>
    <row r="24">
      <c r="A24" s="34" t="n">
        <v>46028</v>
      </c>
      <c r="B24" s="30" t="inlineStr">
        <is>
          <t>SKU-020</t>
        </is>
      </c>
      <c r="C24" s="30" t="inlineStr">
        <is>
          <t>Paper Trail Co.</t>
        </is>
      </c>
      <c r="D24" s="22" t="n">
        <v>6</v>
      </c>
      <c r="E24" s="24" t="n">
        <v>0.9</v>
      </c>
      <c r="F24" s="24" t="n">
        <v>3.55</v>
      </c>
      <c r="G24" s="35">
        <f>D24*E24+F24</f>
        <v/>
      </c>
      <c r="H24" s="30" t="inlineStr">
        <is>
          <t>Restock wave 1</t>
        </is>
      </c>
    </row>
    <row r="25">
      <c r="A25" s="34" t="n">
        <v>46028</v>
      </c>
      <c r="B25" s="30" t="inlineStr">
        <is>
          <t>SKU-021</t>
        </is>
      </c>
      <c r="C25" s="30" t="inlineStr">
        <is>
          <t>Northstar Wholesale</t>
        </is>
      </c>
      <c r="D25" s="22" t="n">
        <v>2</v>
      </c>
      <c r="E25" s="24" t="n">
        <v>3.1</v>
      </c>
      <c r="F25" s="24" t="n">
        <v>3.9</v>
      </c>
      <c r="G25" s="35">
        <f>D25*E25+F25</f>
        <v/>
      </c>
      <c r="H25" s="30" t="inlineStr">
        <is>
          <t>Restock wave 1</t>
        </is>
      </c>
    </row>
    <row r="26">
      <c r="A26" s="34" t="n">
        <v>46028</v>
      </c>
      <c r="B26" s="30" t="inlineStr">
        <is>
          <t>SKU-022</t>
        </is>
      </c>
      <c r="C26" s="30" t="inlineStr">
        <is>
          <t>Northstar Wholesale</t>
        </is>
      </c>
      <c r="D26" s="22" t="n">
        <v>3</v>
      </c>
      <c r="E26" s="24" t="n">
        <v>3.27</v>
      </c>
      <c r="F26" s="24" t="n">
        <v>1.8</v>
      </c>
      <c r="G26" s="35">
        <f>D26*E26+F26</f>
        <v/>
      </c>
      <c r="H26" s="30" t="inlineStr">
        <is>
          <t>Restock wave 1</t>
        </is>
      </c>
    </row>
    <row r="27">
      <c r="A27" s="34" t="n">
        <v>46028</v>
      </c>
      <c r="B27" s="30" t="inlineStr">
        <is>
          <t>SKU-023</t>
        </is>
      </c>
      <c r="C27" s="30" t="inlineStr">
        <is>
          <t>Northstar Wholesale</t>
        </is>
      </c>
      <c r="D27" s="22" t="n">
        <v>4</v>
      </c>
      <c r="E27" s="24" t="n">
        <v>3.44</v>
      </c>
      <c r="F27" s="24" t="n">
        <v>2.15</v>
      </c>
      <c r="G27" s="35">
        <f>D27*E27+F27</f>
        <v/>
      </c>
      <c r="H27" s="30" t="inlineStr">
        <is>
          <t>Restock wave 1</t>
        </is>
      </c>
    </row>
    <row r="28">
      <c r="A28" s="34" t="n">
        <v>46028</v>
      </c>
      <c r="B28" s="30" t="inlineStr">
        <is>
          <t>SKU-024</t>
        </is>
      </c>
      <c r="C28" s="30" t="inlineStr">
        <is>
          <t>Northstar Wholesale</t>
        </is>
      </c>
      <c r="D28" s="22" t="n">
        <v>5</v>
      </c>
      <c r="E28" s="24" t="n">
        <v>3.61</v>
      </c>
      <c r="F28" s="24" t="n">
        <v>2.5</v>
      </c>
      <c r="G28" s="35">
        <f>D28*E28+F28</f>
        <v/>
      </c>
      <c r="H28" s="30" t="inlineStr">
        <is>
          <t>Restock wave 1</t>
        </is>
      </c>
    </row>
    <row r="29">
      <c r="A29" s="34" t="n">
        <v>46029</v>
      </c>
      <c r="B29" s="30" t="inlineStr">
        <is>
          <t>SKU-025</t>
        </is>
      </c>
      <c r="C29" s="30" t="inlineStr">
        <is>
          <t>Northstar Wholesale</t>
        </is>
      </c>
      <c r="D29" s="22" t="n">
        <v>6</v>
      </c>
      <c r="E29" s="24" t="n">
        <v>3.78</v>
      </c>
      <c r="F29" s="24" t="n">
        <v>2.85</v>
      </c>
      <c r="G29" s="35">
        <f>D29*E29+F29</f>
        <v/>
      </c>
      <c r="H29" s="30" t="inlineStr">
        <is>
          <t>Restock wave 1</t>
        </is>
      </c>
    </row>
    <row r="30">
      <c r="A30" s="34" t="n">
        <v>46029</v>
      </c>
      <c r="B30" s="30" t="inlineStr">
        <is>
          <t>SKU-026</t>
        </is>
      </c>
      <c r="C30" s="30" t="inlineStr">
        <is>
          <t>Luma Imports</t>
        </is>
      </c>
      <c r="D30" s="22" t="n">
        <v>2</v>
      </c>
      <c r="E30" s="24" t="n">
        <v>0.5600000000000001</v>
      </c>
      <c r="F30" s="24" t="n">
        <v>3.2</v>
      </c>
      <c r="G30" s="35">
        <f>D30*E30+F30</f>
        <v/>
      </c>
      <c r="H30" s="30" t="inlineStr">
        <is>
          <t>Restock wave 1</t>
        </is>
      </c>
    </row>
    <row r="31">
      <c r="A31" s="34" t="n">
        <v>46029</v>
      </c>
      <c r="B31" s="30" t="inlineStr">
        <is>
          <t>SKU-027</t>
        </is>
      </c>
      <c r="C31" s="30" t="inlineStr">
        <is>
          <t>Luma Imports</t>
        </is>
      </c>
      <c r="D31" s="22" t="n">
        <v>3</v>
      </c>
      <c r="E31" s="24" t="n">
        <v>0.73</v>
      </c>
      <c r="F31" s="24" t="n">
        <v>3.55</v>
      </c>
      <c r="G31" s="35">
        <f>D31*E31+F31</f>
        <v/>
      </c>
      <c r="H31" s="30" t="inlineStr">
        <is>
          <t>Restock wave 1</t>
        </is>
      </c>
    </row>
    <row r="32">
      <c r="A32" s="34" t="n">
        <v>46029</v>
      </c>
      <c r="B32" s="30" t="inlineStr">
        <is>
          <t>SKU-028</t>
        </is>
      </c>
      <c r="C32" s="30" t="inlineStr">
        <is>
          <t>Luma Imports</t>
        </is>
      </c>
      <c r="D32" s="22" t="n">
        <v>4</v>
      </c>
      <c r="E32" s="24" t="n">
        <v>0.9</v>
      </c>
      <c r="F32" s="24" t="n">
        <v>3.9</v>
      </c>
      <c r="G32" s="35">
        <f>D32*E32+F32</f>
        <v/>
      </c>
      <c r="H32" s="30" t="inlineStr">
        <is>
          <t>Restock wave 1</t>
        </is>
      </c>
    </row>
    <row r="33">
      <c r="A33" s="34" t="n">
        <v>46029</v>
      </c>
      <c r="B33" s="30" t="inlineStr">
        <is>
          <t>SKU-029</t>
        </is>
      </c>
      <c r="C33" s="30" t="inlineStr">
        <is>
          <t>Luma Imports</t>
        </is>
      </c>
      <c r="D33" s="22" t="n">
        <v>5</v>
      </c>
      <c r="E33" s="24" t="n">
        <v>1.07</v>
      </c>
      <c r="F33" s="24" t="n">
        <v>1.8</v>
      </c>
      <c r="G33" s="35">
        <f>D33*E33+F33</f>
        <v/>
      </c>
      <c r="H33" s="30" t="inlineStr">
        <is>
          <t>Restock wave 1</t>
        </is>
      </c>
    </row>
    <row r="34">
      <c r="A34" s="34" t="n">
        <v>46029</v>
      </c>
      <c r="B34" s="30" t="inlineStr">
        <is>
          <t>SKU-030</t>
        </is>
      </c>
      <c r="C34" s="30" t="inlineStr">
        <is>
          <t>Luma Imports</t>
        </is>
      </c>
      <c r="D34" s="22" t="n">
        <v>6</v>
      </c>
      <c r="E34" s="24" t="n">
        <v>1.24</v>
      </c>
      <c r="F34" s="24" t="n">
        <v>2.15</v>
      </c>
      <c r="G34" s="35">
        <f>D34*E34+F34</f>
        <v/>
      </c>
      <c r="H34" s="30" t="inlineStr">
        <is>
          <t>Restock wave 1</t>
        </is>
      </c>
    </row>
    <row r="35">
      <c r="A35" s="34" t="n">
        <v>46030</v>
      </c>
      <c r="B35" s="30" t="inlineStr">
        <is>
          <t>SKU-031</t>
        </is>
      </c>
      <c r="C35" s="30" t="inlineStr">
        <is>
          <t>Harbor Supply</t>
        </is>
      </c>
      <c r="D35" s="22" t="n">
        <v>2</v>
      </c>
      <c r="E35" s="24" t="n">
        <v>4.33</v>
      </c>
      <c r="F35" s="24" t="n">
        <v>2.5</v>
      </c>
      <c r="G35" s="35">
        <f>D35*E35+F35</f>
        <v/>
      </c>
      <c r="H35" s="30" t="inlineStr">
        <is>
          <t>Restock wave 1</t>
        </is>
      </c>
    </row>
    <row r="36">
      <c r="A36" s="34" t="n">
        <v>46030</v>
      </c>
      <c r="B36" s="30" t="inlineStr">
        <is>
          <t>SKU-032</t>
        </is>
      </c>
      <c r="C36" s="30" t="inlineStr">
        <is>
          <t>Harbor Supply</t>
        </is>
      </c>
      <c r="D36" s="22" t="n">
        <v>3</v>
      </c>
      <c r="E36" s="24" t="n">
        <v>4.5</v>
      </c>
      <c r="F36" s="24" t="n">
        <v>2.85</v>
      </c>
      <c r="G36" s="35">
        <f>D36*E36+F36</f>
        <v/>
      </c>
      <c r="H36" s="30" t="inlineStr">
        <is>
          <t>Restock wave 1</t>
        </is>
      </c>
    </row>
    <row r="37">
      <c r="A37" s="34" t="n">
        <v>46030</v>
      </c>
      <c r="B37" s="30" t="inlineStr">
        <is>
          <t>SKU-033</t>
        </is>
      </c>
      <c r="C37" s="30" t="inlineStr">
        <is>
          <t>Harbor Supply</t>
        </is>
      </c>
      <c r="D37" s="22" t="n">
        <v>4</v>
      </c>
      <c r="E37" s="24" t="n">
        <v>4.67</v>
      </c>
      <c r="F37" s="24" t="n">
        <v>3.2</v>
      </c>
      <c r="G37" s="35">
        <f>D37*E37+F37</f>
        <v/>
      </c>
      <c r="H37" s="30" t="inlineStr">
        <is>
          <t>Restock wave 1</t>
        </is>
      </c>
    </row>
    <row r="38">
      <c r="A38" s="34" t="n">
        <v>46030</v>
      </c>
      <c r="B38" s="30" t="inlineStr">
        <is>
          <t>SKU-034</t>
        </is>
      </c>
      <c r="C38" s="30" t="inlineStr">
        <is>
          <t>Harbor Supply</t>
        </is>
      </c>
      <c r="D38" s="22" t="n">
        <v>5</v>
      </c>
      <c r="E38" s="24" t="n">
        <v>4.84</v>
      </c>
      <c r="F38" s="24" t="n">
        <v>3.55</v>
      </c>
      <c r="G38" s="35">
        <f>D38*E38+F38</f>
        <v/>
      </c>
      <c r="H38" s="30" t="inlineStr">
        <is>
          <t>Restock wave 1</t>
        </is>
      </c>
    </row>
    <row r="39">
      <c r="A39" s="34" t="n">
        <v>46030</v>
      </c>
      <c r="B39" s="30" t="inlineStr">
        <is>
          <t>SKU-035</t>
        </is>
      </c>
      <c r="C39" s="30" t="inlineStr">
        <is>
          <t>Harbor Supply</t>
        </is>
      </c>
      <c r="D39" s="22" t="n">
        <v>6</v>
      </c>
      <c r="E39" s="24" t="n">
        <v>5.01</v>
      </c>
      <c r="F39" s="24" t="n">
        <v>3.9</v>
      </c>
      <c r="G39" s="35">
        <f>D39*E39+F39</f>
        <v/>
      </c>
      <c r="H39" s="30" t="inlineStr">
        <is>
          <t>Restock wave 1</t>
        </is>
      </c>
    </row>
    <row r="40">
      <c r="A40" s="34" t="n">
        <v>46030</v>
      </c>
      <c r="B40" s="30" t="inlineStr">
        <is>
          <t>SKU-036</t>
        </is>
      </c>
      <c r="C40" s="30" t="inlineStr">
        <is>
          <t>Studio Nine</t>
        </is>
      </c>
      <c r="D40" s="22" t="n">
        <v>2</v>
      </c>
      <c r="E40" s="24" t="n">
        <v>1.88</v>
      </c>
      <c r="F40" s="24" t="n">
        <v>1.8</v>
      </c>
      <c r="G40" s="35">
        <f>D40*E40+F40</f>
        <v/>
      </c>
      <c r="H40" s="30" t="inlineStr">
        <is>
          <t>Restock wave 1</t>
        </is>
      </c>
    </row>
    <row r="41">
      <c r="A41" s="34" t="n">
        <v>46031</v>
      </c>
      <c r="B41" s="30" t="inlineStr">
        <is>
          <t>SKU-037</t>
        </is>
      </c>
      <c r="C41" s="30" t="inlineStr">
        <is>
          <t>Studio Nine</t>
        </is>
      </c>
      <c r="D41" s="22" t="n">
        <v>3</v>
      </c>
      <c r="E41" s="24" t="n">
        <v>2.05</v>
      </c>
      <c r="F41" s="24" t="n">
        <v>2.15</v>
      </c>
      <c r="G41" s="35">
        <f>D41*E41+F41</f>
        <v/>
      </c>
      <c r="H41" s="30" t="inlineStr">
        <is>
          <t>Restock wave 1</t>
        </is>
      </c>
    </row>
    <row r="42">
      <c r="A42" s="34" t="n">
        <v>46031</v>
      </c>
      <c r="B42" s="30" t="inlineStr">
        <is>
          <t>SKU-038</t>
        </is>
      </c>
      <c r="C42" s="30" t="inlineStr">
        <is>
          <t>Studio Nine</t>
        </is>
      </c>
      <c r="D42" s="22" t="n">
        <v>4</v>
      </c>
      <c r="E42" s="24" t="n">
        <v>2.22</v>
      </c>
      <c r="F42" s="24" t="n">
        <v>2.5</v>
      </c>
      <c r="G42" s="35">
        <f>D42*E42+F42</f>
        <v/>
      </c>
      <c r="H42" s="30" t="inlineStr">
        <is>
          <t>Restock wave 1</t>
        </is>
      </c>
    </row>
    <row r="43">
      <c r="A43" s="34" t="n">
        <v>46031</v>
      </c>
      <c r="B43" s="30" t="inlineStr">
        <is>
          <t>SKU-039</t>
        </is>
      </c>
      <c r="C43" s="30" t="inlineStr">
        <is>
          <t>Studio Nine</t>
        </is>
      </c>
      <c r="D43" s="22" t="n">
        <v>5</v>
      </c>
      <c r="E43" s="24" t="n">
        <v>2.39</v>
      </c>
      <c r="F43" s="24" t="n">
        <v>2.85</v>
      </c>
      <c r="G43" s="35">
        <f>D43*E43+F43</f>
        <v/>
      </c>
      <c r="H43" s="30" t="inlineStr">
        <is>
          <t>Restock wave 1</t>
        </is>
      </c>
    </row>
    <row r="44">
      <c r="A44" s="34" t="n">
        <v>46031</v>
      </c>
      <c r="B44" s="30" t="inlineStr">
        <is>
          <t>SKU-040</t>
        </is>
      </c>
      <c r="C44" s="30" t="inlineStr">
        <is>
          <t>Studio Nine</t>
        </is>
      </c>
      <c r="D44" s="22" t="n">
        <v>6</v>
      </c>
      <c r="E44" s="24" t="n">
        <v>2.56</v>
      </c>
      <c r="F44" s="24" t="n">
        <v>3.2</v>
      </c>
      <c r="G44" s="35">
        <f>D44*E44+F44</f>
        <v/>
      </c>
      <c r="H44" s="30" t="inlineStr">
        <is>
          <t>Restock wave 1</t>
        </is>
      </c>
    </row>
    <row r="45">
      <c r="A45" s="34" t="n">
        <v>46031</v>
      </c>
      <c r="B45" s="30" t="inlineStr">
        <is>
          <t>SKU-041</t>
        </is>
      </c>
      <c r="C45" s="30" t="inlineStr">
        <is>
          <t>Luma Imports</t>
        </is>
      </c>
      <c r="D45" s="22" t="n">
        <v>2</v>
      </c>
      <c r="E45" s="24" t="n">
        <v>0.7</v>
      </c>
      <c r="F45" s="24" t="n">
        <v>3.55</v>
      </c>
      <c r="G45" s="35">
        <f>D45*E45+F45</f>
        <v/>
      </c>
      <c r="H45" s="30" t="inlineStr">
        <is>
          <t>Restock wave 1</t>
        </is>
      </c>
    </row>
    <row r="46">
      <c r="A46" s="34" t="n">
        <v>46031</v>
      </c>
      <c r="B46" s="30" t="inlineStr">
        <is>
          <t>SKU-042</t>
        </is>
      </c>
      <c r="C46" s="30" t="inlineStr">
        <is>
          <t>Luma Imports</t>
        </is>
      </c>
      <c r="D46" s="22" t="n">
        <v>3</v>
      </c>
      <c r="E46" s="24" t="n">
        <v>0.87</v>
      </c>
      <c r="F46" s="24" t="n">
        <v>3.9</v>
      </c>
      <c r="G46" s="35">
        <f>D46*E46+F46</f>
        <v/>
      </c>
      <c r="H46" s="30" t="inlineStr">
        <is>
          <t>Restock wave 1</t>
        </is>
      </c>
    </row>
    <row r="47">
      <c r="A47" s="34" t="n">
        <v>46032</v>
      </c>
      <c r="B47" s="30" t="inlineStr">
        <is>
          <t>SKU-043</t>
        </is>
      </c>
      <c r="C47" s="30" t="inlineStr">
        <is>
          <t>Luma Imports</t>
        </is>
      </c>
      <c r="D47" s="22" t="n">
        <v>4</v>
      </c>
      <c r="E47" s="24" t="n">
        <v>1.04</v>
      </c>
      <c r="F47" s="24" t="n">
        <v>1.8</v>
      </c>
      <c r="G47" s="35">
        <f>D47*E47+F47</f>
        <v/>
      </c>
      <c r="H47" s="30" t="inlineStr">
        <is>
          <t>Restock wave 1</t>
        </is>
      </c>
    </row>
    <row r="48">
      <c r="A48" s="34" t="n">
        <v>46032</v>
      </c>
      <c r="B48" s="30" t="inlineStr">
        <is>
          <t>SKU-044</t>
        </is>
      </c>
      <c r="C48" s="30" t="inlineStr">
        <is>
          <t>Luma Imports</t>
        </is>
      </c>
      <c r="D48" s="22" t="n">
        <v>5</v>
      </c>
      <c r="E48" s="24" t="n">
        <v>1.21</v>
      </c>
      <c r="F48" s="24" t="n">
        <v>2.15</v>
      </c>
      <c r="G48" s="35">
        <f>D48*E48+F48</f>
        <v/>
      </c>
      <c r="H48" s="30" t="inlineStr">
        <is>
          <t>Restock wave 1</t>
        </is>
      </c>
    </row>
    <row r="49">
      <c r="A49" s="34" t="n">
        <v>46032</v>
      </c>
      <c r="B49" s="30" t="inlineStr">
        <is>
          <t>SKU-045</t>
        </is>
      </c>
      <c r="C49" s="30" t="inlineStr">
        <is>
          <t>Luma Imports</t>
        </is>
      </c>
      <c r="D49" s="22" t="n">
        <v>6</v>
      </c>
      <c r="E49" s="24" t="n">
        <v>1.38</v>
      </c>
      <c r="F49" s="24" t="n">
        <v>2.5</v>
      </c>
      <c r="G49" s="35">
        <f>D49*E49+F49</f>
        <v/>
      </c>
      <c r="H49" s="30" t="inlineStr">
        <is>
          <t>Restock wave 1</t>
        </is>
      </c>
    </row>
    <row r="50">
      <c r="A50" s="34" t="n">
        <v>46032</v>
      </c>
      <c r="B50" s="30" t="inlineStr">
        <is>
          <t>SKU-046</t>
        </is>
      </c>
      <c r="C50" s="30" t="inlineStr">
        <is>
          <t>Northstar Wholesale</t>
        </is>
      </c>
      <c r="D50" s="22" t="n">
        <v>2</v>
      </c>
      <c r="E50" s="24" t="n">
        <v>1.78</v>
      </c>
      <c r="F50" s="24" t="n">
        <v>2.85</v>
      </c>
      <c r="G50" s="35">
        <f>D50*E50+F50</f>
        <v/>
      </c>
      <c r="H50" s="30" t="inlineStr">
        <is>
          <t>Restock wave 1</t>
        </is>
      </c>
    </row>
    <row r="51">
      <c r="A51" s="34" t="n">
        <v>46032</v>
      </c>
      <c r="B51" s="30" t="inlineStr">
        <is>
          <t>SKU-047</t>
        </is>
      </c>
      <c r="C51" s="30" t="inlineStr">
        <is>
          <t>Northstar Wholesale</t>
        </is>
      </c>
      <c r="D51" s="22" t="n">
        <v>3</v>
      </c>
      <c r="E51" s="24" t="n">
        <v>1.95</v>
      </c>
      <c r="F51" s="24" t="n">
        <v>3.2</v>
      </c>
      <c r="G51" s="35">
        <f>D51*E51+F51</f>
        <v/>
      </c>
      <c r="H51" s="30" t="inlineStr">
        <is>
          <t>Restock wave 1</t>
        </is>
      </c>
    </row>
    <row r="52">
      <c r="A52" s="34" t="n">
        <v>46032</v>
      </c>
      <c r="B52" s="30" t="inlineStr">
        <is>
          <t>SKU-048</t>
        </is>
      </c>
      <c r="C52" s="30" t="inlineStr">
        <is>
          <t>Northstar Wholesale</t>
        </is>
      </c>
      <c r="D52" s="22" t="n">
        <v>4</v>
      </c>
      <c r="E52" s="24" t="n">
        <v>2.12</v>
      </c>
      <c r="F52" s="24" t="n">
        <v>3.55</v>
      </c>
      <c r="G52" s="35">
        <f>D52*E52+F52</f>
        <v/>
      </c>
      <c r="H52" s="30" t="inlineStr">
        <is>
          <t>Restock wave 1</t>
        </is>
      </c>
    </row>
    <row r="53">
      <c r="A53" s="34" t="n">
        <v>46033</v>
      </c>
      <c r="B53" s="30" t="inlineStr">
        <is>
          <t>SKU-049</t>
        </is>
      </c>
      <c r="C53" s="30" t="inlineStr">
        <is>
          <t>Northstar Wholesale</t>
        </is>
      </c>
      <c r="D53" s="22" t="n">
        <v>5</v>
      </c>
      <c r="E53" s="24" t="n">
        <v>2.29</v>
      </c>
      <c r="F53" s="24" t="n">
        <v>3.9</v>
      </c>
      <c r="G53" s="35">
        <f>D53*E53+F53</f>
        <v/>
      </c>
      <c r="H53" s="30" t="inlineStr">
        <is>
          <t>Restock wave 1</t>
        </is>
      </c>
    </row>
    <row r="54">
      <c r="A54" s="34" t="n">
        <v>46033</v>
      </c>
      <c r="B54" s="30" t="inlineStr">
        <is>
          <t>SKU-050</t>
        </is>
      </c>
      <c r="C54" s="30" t="inlineStr">
        <is>
          <t>Northstar Wholesale</t>
        </is>
      </c>
      <c r="D54" s="22" t="n">
        <v>6</v>
      </c>
      <c r="E54" s="24" t="n">
        <v>2.46</v>
      </c>
      <c r="F54" s="24" t="n">
        <v>1.8</v>
      </c>
      <c r="G54" s="35">
        <f>D54*E54+F54</f>
        <v/>
      </c>
      <c r="H54" s="30" t="inlineStr">
        <is>
          <t>Restock wave 1</t>
        </is>
      </c>
    </row>
    <row r="55">
      <c r="A55" s="34" t="n">
        <v>46033</v>
      </c>
      <c r="B55" s="30" t="inlineStr">
        <is>
          <t>SKU-051</t>
        </is>
      </c>
      <c r="C55" s="30" t="inlineStr">
        <is>
          <t>Paper Trail Co.</t>
        </is>
      </c>
      <c r="D55" s="22" t="n">
        <v>2</v>
      </c>
      <c r="E55" s="24" t="n">
        <v>2.46</v>
      </c>
      <c r="F55" s="24" t="n">
        <v>2.15</v>
      </c>
      <c r="G55" s="35">
        <f>D55*E55+F55</f>
        <v/>
      </c>
      <c r="H55" s="30" t="inlineStr">
        <is>
          <t>Restock wave 1</t>
        </is>
      </c>
    </row>
    <row r="56">
      <c r="A56" s="34" t="n">
        <v>46033</v>
      </c>
      <c r="B56" s="30" t="inlineStr">
        <is>
          <t>SKU-052</t>
        </is>
      </c>
      <c r="C56" s="30" t="inlineStr">
        <is>
          <t>Paper Trail Co.</t>
        </is>
      </c>
      <c r="D56" s="22" t="n">
        <v>3</v>
      </c>
      <c r="E56" s="24" t="n">
        <v>2.63</v>
      </c>
      <c r="F56" s="24" t="n">
        <v>2.5</v>
      </c>
      <c r="G56" s="35">
        <f>D56*E56+F56</f>
        <v/>
      </c>
      <c r="H56" s="30" t="inlineStr">
        <is>
          <t>Restock wave 1</t>
        </is>
      </c>
    </row>
    <row r="57">
      <c r="A57" s="34" t="n">
        <v>46033</v>
      </c>
      <c r="B57" s="30" t="inlineStr">
        <is>
          <t>SKU-053</t>
        </is>
      </c>
      <c r="C57" s="30" t="inlineStr">
        <is>
          <t>Paper Trail Co.</t>
        </is>
      </c>
      <c r="D57" s="22" t="n">
        <v>4</v>
      </c>
      <c r="E57" s="24" t="n">
        <v>2.8</v>
      </c>
      <c r="F57" s="24" t="n">
        <v>2.85</v>
      </c>
      <c r="G57" s="35">
        <f>D57*E57+F57</f>
        <v/>
      </c>
      <c r="H57" s="30" t="inlineStr">
        <is>
          <t>Restock wave 1</t>
        </is>
      </c>
    </row>
    <row r="58">
      <c r="A58" s="34" t="n">
        <v>46033</v>
      </c>
      <c r="B58" s="30" t="inlineStr">
        <is>
          <t>SKU-054</t>
        </is>
      </c>
      <c r="C58" s="30" t="inlineStr">
        <is>
          <t>Paper Trail Co.</t>
        </is>
      </c>
      <c r="D58" s="22" t="n">
        <v>5</v>
      </c>
      <c r="E58" s="24" t="n">
        <v>2.97</v>
      </c>
      <c r="F58" s="24" t="n">
        <v>3.2</v>
      </c>
      <c r="G58" s="35">
        <f>D58*E58+F58</f>
        <v/>
      </c>
      <c r="H58" s="30" t="inlineStr">
        <is>
          <t>Restock wave 1</t>
        </is>
      </c>
    </row>
    <row r="59">
      <c r="A59" s="34" t="n">
        <v>46034</v>
      </c>
      <c r="B59" s="30" t="inlineStr">
        <is>
          <t>SKU-055</t>
        </is>
      </c>
      <c r="C59" s="30" t="inlineStr">
        <is>
          <t>Paper Trail Co.</t>
        </is>
      </c>
      <c r="D59" s="22" t="n">
        <v>6</v>
      </c>
      <c r="E59" s="24" t="n">
        <v>3.14</v>
      </c>
      <c r="F59" s="24" t="n">
        <v>3.55</v>
      </c>
      <c r="G59" s="35">
        <f>D59*E59+F59</f>
        <v/>
      </c>
      <c r="H59" s="30" t="inlineStr">
        <is>
          <t>Restock wave 1</t>
        </is>
      </c>
    </row>
    <row r="60">
      <c r="A60" s="34" t="n">
        <v>46034</v>
      </c>
      <c r="B60" s="30" t="inlineStr">
        <is>
          <t>SKU-056</t>
        </is>
      </c>
      <c r="C60" s="30" t="inlineStr">
        <is>
          <t>Studio Nine</t>
        </is>
      </c>
      <c r="D60" s="22" t="n">
        <v>2</v>
      </c>
      <c r="E60" s="24" t="n">
        <v>1.01</v>
      </c>
      <c r="F60" s="24" t="n">
        <v>3.9</v>
      </c>
      <c r="G60" s="35">
        <f>D60*E60+F60</f>
        <v/>
      </c>
      <c r="H60" s="30" t="inlineStr">
        <is>
          <t>Restock wave 1</t>
        </is>
      </c>
    </row>
    <row r="61">
      <c r="A61" s="34" t="n">
        <v>46034</v>
      </c>
      <c r="B61" s="30" t="inlineStr">
        <is>
          <t>SKU-057</t>
        </is>
      </c>
      <c r="C61" s="30" t="inlineStr">
        <is>
          <t>Studio Nine</t>
        </is>
      </c>
      <c r="D61" s="22" t="n">
        <v>3</v>
      </c>
      <c r="E61" s="24" t="n">
        <v>1.18</v>
      </c>
      <c r="F61" s="24" t="n">
        <v>1.8</v>
      </c>
      <c r="G61" s="35">
        <f>D61*E61+F61</f>
        <v/>
      </c>
      <c r="H61" s="30" t="inlineStr">
        <is>
          <t>Restock wave 1</t>
        </is>
      </c>
    </row>
    <row r="62">
      <c r="A62" s="34" t="n">
        <v>46034</v>
      </c>
      <c r="B62" s="30" t="inlineStr">
        <is>
          <t>SKU-058</t>
        </is>
      </c>
      <c r="C62" s="30" t="inlineStr">
        <is>
          <t>Studio Nine</t>
        </is>
      </c>
      <c r="D62" s="22" t="n">
        <v>4</v>
      </c>
      <c r="E62" s="24" t="n">
        <v>1.35</v>
      </c>
      <c r="F62" s="24" t="n">
        <v>2.15</v>
      </c>
      <c r="G62" s="35">
        <f>D62*E62+F62</f>
        <v/>
      </c>
      <c r="H62" s="30" t="inlineStr">
        <is>
          <t>Restock wave 1</t>
        </is>
      </c>
    </row>
    <row r="63">
      <c r="A63" s="34" t="n">
        <v>46034</v>
      </c>
      <c r="B63" s="30" t="inlineStr">
        <is>
          <t>SKU-059</t>
        </is>
      </c>
      <c r="C63" s="30" t="inlineStr">
        <is>
          <t>Studio Nine</t>
        </is>
      </c>
      <c r="D63" s="22" t="n">
        <v>5</v>
      </c>
      <c r="E63" s="24" t="n">
        <v>1.52</v>
      </c>
      <c r="F63" s="24" t="n">
        <v>2.5</v>
      </c>
      <c r="G63" s="35">
        <f>D63*E63+F63</f>
        <v/>
      </c>
      <c r="H63" s="30" t="inlineStr">
        <is>
          <t>Restock wave 1</t>
        </is>
      </c>
    </row>
    <row r="64">
      <c r="A64" s="34" t="n">
        <v>46034</v>
      </c>
      <c r="B64" s="30" t="inlineStr">
        <is>
          <t>SKU-060</t>
        </is>
      </c>
      <c r="C64" s="30" t="inlineStr">
        <is>
          <t>Studio Nine</t>
        </is>
      </c>
      <c r="D64" s="22" t="n">
        <v>6</v>
      </c>
      <c r="E64" s="24" t="n">
        <v>1.69</v>
      </c>
      <c r="F64" s="24" t="n">
        <v>2.85</v>
      </c>
      <c r="G64" s="35">
        <f>D64*E64+F64</f>
        <v/>
      </c>
      <c r="H64" s="30" t="inlineStr">
        <is>
          <t>Restock wave 1</t>
        </is>
      </c>
    </row>
    <row r="65">
      <c r="A65" s="34" t="n">
        <v>46035</v>
      </c>
      <c r="B65" s="30" t="inlineStr">
        <is>
          <t>SKU-061</t>
        </is>
      </c>
      <c r="C65" s="30" t="inlineStr">
        <is>
          <t>Harbor Supply</t>
        </is>
      </c>
      <c r="D65" s="22" t="n">
        <v>2</v>
      </c>
      <c r="E65" s="24" t="n">
        <v>3.56</v>
      </c>
      <c r="F65" s="24" t="n">
        <v>3.2</v>
      </c>
      <c r="G65" s="35">
        <f>D65*E65+F65</f>
        <v/>
      </c>
      <c r="H65" s="30" t="inlineStr">
        <is>
          <t>Restock wave 1</t>
        </is>
      </c>
    </row>
    <row r="66">
      <c r="A66" s="34" t="n">
        <v>46035</v>
      </c>
      <c r="B66" s="30" t="inlineStr">
        <is>
          <t>SKU-062</t>
        </is>
      </c>
      <c r="C66" s="30" t="inlineStr">
        <is>
          <t>Harbor Supply</t>
        </is>
      </c>
      <c r="D66" s="22" t="n">
        <v>3</v>
      </c>
      <c r="E66" s="24" t="n">
        <v>3.73</v>
      </c>
      <c r="F66" s="24" t="n">
        <v>3.55</v>
      </c>
      <c r="G66" s="35">
        <f>D66*E66+F66</f>
        <v/>
      </c>
      <c r="H66" s="30" t="inlineStr">
        <is>
          <t>Restock wave 1</t>
        </is>
      </c>
    </row>
    <row r="67">
      <c r="A67" s="34" t="n">
        <v>46035</v>
      </c>
      <c r="B67" s="30" t="inlineStr">
        <is>
          <t>SKU-063</t>
        </is>
      </c>
      <c r="C67" s="30" t="inlineStr">
        <is>
          <t>Harbor Supply</t>
        </is>
      </c>
      <c r="D67" s="22" t="n">
        <v>4</v>
      </c>
      <c r="E67" s="24" t="n">
        <v>3.9</v>
      </c>
      <c r="F67" s="24" t="n">
        <v>3.9</v>
      </c>
      <c r="G67" s="35">
        <f>D67*E67+F67</f>
        <v/>
      </c>
      <c r="H67" s="30" t="inlineStr">
        <is>
          <t>Restock wave 1</t>
        </is>
      </c>
    </row>
    <row r="68">
      <c r="A68" s="34" t="n">
        <v>46035</v>
      </c>
      <c r="B68" s="30" t="inlineStr">
        <is>
          <t>SKU-064</t>
        </is>
      </c>
      <c r="C68" s="30" t="inlineStr">
        <is>
          <t>Harbor Supply</t>
        </is>
      </c>
      <c r="D68" s="22" t="n">
        <v>5</v>
      </c>
      <c r="E68" s="24" t="n">
        <v>4.07</v>
      </c>
      <c r="F68" s="24" t="n">
        <v>1.8</v>
      </c>
      <c r="G68" s="35">
        <f>D68*E68+F68</f>
        <v/>
      </c>
      <c r="H68" s="30" t="inlineStr">
        <is>
          <t>Restock wave 1</t>
        </is>
      </c>
    </row>
    <row r="69">
      <c r="A69" s="34" t="n">
        <v>46035</v>
      </c>
      <c r="B69" s="30" t="inlineStr">
        <is>
          <t>SKU-065</t>
        </is>
      </c>
      <c r="C69" s="30" t="inlineStr">
        <is>
          <t>Harbor Supply</t>
        </is>
      </c>
      <c r="D69" s="22" t="n">
        <v>6</v>
      </c>
      <c r="E69" s="24" t="n">
        <v>4.24</v>
      </c>
      <c r="F69" s="24" t="n">
        <v>2.15</v>
      </c>
      <c r="G69" s="35">
        <f>D69*E69+F69</f>
        <v/>
      </c>
      <c r="H69" s="30" t="inlineStr">
        <is>
          <t>Restock wave 1</t>
        </is>
      </c>
    </row>
    <row r="70">
      <c r="A70" s="34" t="n">
        <v>46035</v>
      </c>
      <c r="B70" s="30" t="inlineStr">
        <is>
          <t>SKU-066</t>
        </is>
      </c>
      <c r="C70" s="30" t="inlineStr">
        <is>
          <t>Northstar Wholesale</t>
        </is>
      </c>
      <c r="D70" s="22" t="n">
        <v>2</v>
      </c>
      <c r="E70" s="24" t="n">
        <v>5.36</v>
      </c>
      <c r="F70" s="24" t="n">
        <v>2.5</v>
      </c>
      <c r="G70" s="35">
        <f>D70*E70+F70</f>
        <v/>
      </c>
      <c r="H70" s="30" t="inlineStr">
        <is>
          <t>Restock wave 1</t>
        </is>
      </c>
    </row>
    <row r="71">
      <c r="A71" s="34" t="n">
        <v>46036</v>
      </c>
      <c r="B71" s="30" t="inlineStr">
        <is>
          <t>SKU-067</t>
        </is>
      </c>
      <c r="C71" s="30" t="inlineStr">
        <is>
          <t>Northstar Wholesale</t>
        </is>
      </c>
      <c r="D71" s="22" t="n">
        <v>3</v>
      </c>
      <c r="E71" s="24" t="n">
        <v>5.53</v>
      </c>
      <c r="F71" s="24" t="n">
        <v>2.85</v>
      </c>
      <c r="G71" s="35">
        <f>D71*E71+F71</f>
        <v/>
      </c>
      <c r="H71" s="30" t="inlineStr">
        <is>
          <t>Restock wave 1</t>
        </is>
      </c>
    </row>
    <row r="72">
      <c r="A72" s="34" t="n">
        <v>46036</v>
      </c>
      <c r="B72" s="30" t="inlineStr">
        <is>
          <t>SKU-068</t>
        </is>
      </c>
      <c r="C72" s="30" t="inlineStr">
        <is>
          <t>Northstar Wholesale</t>
        </is>
      </c>
      <c r="D72" s="22" t="n">
        <v>4</v>
      </c>
      <c r="E72" s="24" t="n">
        <v>5.7</v>
      </c>
      <c r="F72" s="24" t="n">
        <v>3.2</v>
      </c>
      <c r="G72" s="35">
        <f>D72*E72+F72</f>
        <v/>
      </c>
      <c r="H72" s="30" t="inlineStr">
        <is>
          <t>Restock wave 1</t>
        </is>
      </c>
    </row>
    <row r="73">
      <c r="A73" s="34" t="n">
        <v>46036</v>
      </c>
      <c r="B73" s="30" t="inlineStr">
        <is>
          <t>SKU-069</t>
        </is>
      </c>
      <c r="C73" s="30" t="inlineStr">
        <is>
          <t>Northstar Wholesale</t>
        </is>
      </c>
      <c r="D73" s="22" t="n">
        <v>5</v>
      </c>
      <c r="E73" s="24" t="n">
        <v>5.87</v>
      </c>
      <c r="F73" s="24" t="n">
        <v>3.55</v>
      </c>
      <c r="G73" s="35">
        <f>D73*E73+F73</f>
        <v/>
      </c>
      <c r="H73" s="30" t="inlineStr">
        <is>
          <t>Restock wave 1</t>
        </is>
      </c>
    </row>
    <row r="74">
      <c r="A74" s="34" t="n">
        <v>46036</v>
      </c>
      <c r="B74" s="30" t="inlineStr">
        <is>
          <t>SKU-070</t>
        </is>
      </c>
      <c r="C74" s="30" t="inlineStr">
        <is>
          <t>Northstar Wholesale</t>
        </is>
      </c>
      <c r="D74" s="22" t="n">
        <v>6</v>
      </c>
      <c r="E74" s="24" t="n">
        <v>6.04</v>
      </c>
      <c r="F74" s="24" t="n">
        <v>3.9</v>
      </c>
      <c r="G74" s="35">
        <f>D74*E74+F74</f>
        <v/>
      </c>
      <c r="H74" s="30" t="inlineStr">
        <is>
          <t>Restock wave 1</t>
        </is>
      </c>
    </row>
    <row r="75">
      <c r="A75" s="34" t="n">
        <v>46036</v>
      </c>
      <c r="B75" s="30" t="inlineStr">
        <is>
          <t>SKU-071</t>
        </is>
      </c>
      <c r="C75" s="30" t="inlineStr">
        <is>
          <t>Paper Trail Co.</t>
        </is>
      </c>
      <c r="D75" s="22" t="n">
        <v>2</v>
      </c>
      <c r="E75" s="24" t="n">
        <v>0.74</v>
      </c>
      <c r="F75" s="24" t="n">
        <v>1.8</v>
      </c>
      <c r="G75" s="35">
        <f>D75*E75+F75</f>
        <v/>
      </c>
      <c r="H75" s="30" t="inlineStr">
        <is>
          <t>Restock wave 1</t>
        </is>
      </c>
    </row>
    <row r="76">
      <c r="A76" s="34" t="n">
        <v>46036</v>
      </c>
      <c r="B76" s="30" t="inlineStr">
        <is>
          <t>SKU-072</t>
        </is>
      </c>
      <c r="C76" s="30" t="inlineStr">
        <is>
          <t>Paper Trail Co.</t>
        </is>
      </c>
      <c r="D76" s="22" t="n">
        <v>3</v>
      </c>
      <c r="E76" s="24" t="n">
        <v>0.91</v>
      </c>
      <c r="F76" s="24" t="n">
        <v>2.15</v>
      </c>
      <c r="G76" s="35">
        <f>D76*E76+F76</f>
        <v/>
      </c>
      <c r="H76" s="30" t="inlineStr">
        <is>
          <t>Restock wave 1</t>
        </is>
      </c>
    </row>
    <row r="77">
      <c r="A77" s="34" t="n">
        <v>46037</v>
      </c>
      <c r="B77" s="30" t="inlineStr">
        <is>
          <t>SKU-073</t>
        </is>
      </c>
      <c r="C77" s="30" t="inlineStr">
        <is>
          <t>Paper Trail Co.</t>
        </is>
      </c>
      <c r="D77" s="22" t="n">
        <v>4</v>
      </c>
      <c r="E77" s="24" t="n">
        <v>1.08</v>
      </c>
      <c r="F77" s="24" t="n">
        <v>2.5</v>
      </c>
      <c r="G77" s="35">
        <f>D77*E77+F77</f>
        <v/>
      </c>
      <c r="H77" s="30" t="inlineStr">
        <is>
          <t>Restock wave 1</t>
        </is>
      </c>
    </row>
    <row r="78">
      <c r="A78" s="34" t="n">
        <v>46037</v>
      </c>
      <c r="B78" s="30" t="inlineStr">
        <is>
          <t>SKU-074</t>
        </is>
      </c>
      <c r="C78" s="30" t="inlineStr">
        <is>
          <t>Paper Trail Co.</t>
        </is>
      </c>
      <c r="D78" s="22" t="n">
        <v>5</v>
      </c>
      <c r="E78" s="24" t="n">
        <v>1.25</v>
      </c>
      <c r="F78" s="24" t="n">
        <v>2.85</v>
      </c>
      <c r="G78" s="35">
        <f>D78*E78+F78</f>
        <v/>
      </c>
      <c r="H78" s="30" t="inlineStr">
        <is>
          <t>Restock wave 1</t>
        </is>
      </c>
    </row>
    <row r="79">
      <c r="A79" s="34" t="n">
        <v>46037</v>
      </c>
      <c r="B79" s="30" t="inlineStr">
        <is>
          <t>SKU-075</t>
        </is>
      </c>
      <c r="C79" s="30" t="inlineStr">
        <is>
          <t>Paper Trail Co.</t>
        </is>
      </c>
      <c r="D79" s="22" t="n">
        <v>6</v>
      </c>
      <c r="E79" s="24" t="n">
        <v>1.42</v>
      </c>
      <c r="F79" s="24" t="n">
        <v>3.2</v>
      </c>
      <c r="G79" s="35">
        <f>D79*E79+F79</f>
        <v/>
      </c>
      <c r="H79" s="30" t="inlineStr">
        <is>
          <t>Restock wave 1</t>
        </is>
      </c>
    </row>
    <row r="80">
      <c r="A80" s="34" t="n">
        <v>46037</v>
      </c>
      <c r="B80" s="30" t="inlineStr">
        <is>
          <t>SKU-076</t>
        </is>
      </c>
      <c r="C80" s="30" t="inlineStr">
        <is>
          <t>Paper Trail Co.</t>
        </is>
      </c>
      <c r="D80" s="22" t="n">
        <v>2</v>
      </c>
      <c r="E80" s="24" t="n">
        <v>0.96</v>
      </c>
      <c r="F80" s="24" t="n">
        <v>3.67</v>
      </c>
      <c r="G80" s="35">
        <f>D80*E80+F80</f>
        <v/>
      </c>
      <c r="H80" s="30" t="inlineStr">
        <is>
          <t>Restock wave 1</t>
        </is>
      </c>
    </row>
    <row r="81">
      <c r="A81" s="34" t="n">
        <v>46037</v>
      </c>
      <c r="B81" s="30" t="inlineStr">
        <is>
          <t>SKU-077</t>
        </is>
      </c>
      <c r="C81" s="30" t="inlineStr">
        <is>
          <t>Paper Trail Co.</t>
        </is>
      </c>
      <c r="D81" s="22" t="n">
        <v>3</v>
      </c>
      <c r="E81" s="24" t="n">
        <v>1.13</v>
      </c>
      <c r="F81" s="24" t="n">
        <v>4.02</v>
      </c>
      <c r="G81" s="35">
        <f>D81*E81+F81</f>
        <v/>
      </c>
      <c r="H81" s="30" t="inlineStr">
        <is>
          <t>Restock wave 1</t>
        </is>
      </c>
    </row>
    <row r="82">
      <c r="A82" s="34" t="n">
        <v>46037</v>
      </c>
      <c r="B82" s="30" t="inlineStr">
        <is>
          <t>SKU-078</t>
        </is>
      </c>
      <c r="C82" s="30" t="inlineStr">
        <is>
          <t>Paper Trail Co.</t>
        </is>
      </c>
      <c r="D82" s="22" t="n">
        <v>4</v>
      </c>
      <c r="E82" s="24" t="n">
        <v>1.3</v>
      </c>
      <c r="F82" s="24" t="n">
        <v>1.92</v>
      </c>
      <c r="G82" s="35">
        <f>D82*E82+F82</f>
        <v/>
      </c>
      <c r="H82" s="30" t="inlineStr">
        <is>
          <t>Restock wave 1</t>
        </is>
      </c>
    </row>
    <row r="83">
      <c r="A83" s="34" t="n">
        <v>46038</v>
      </c>
      <c r="B83" s="30" t="inlineStr">
        <is>
          <t>SKU-079</t>
        </is>
      </c>
      <c r="C83" s="30" t="inlineStr">
        <is>
          <t>Paper Trail Co.</t>
        </is>
      </c>
      <c r="D83" s="22" t="n">
        <v>5</v>
      </c>
      <c r="E83" s="24" t="n">
        <v>1.47</v>
      </c>
      <c r="F83" s="24" t="n">
        <v>2.27</v>
      </c>
      <c r="G83" s="35">
        <f>D83*E83+F83</f>
        <v/>
      </c>
      <c r="H83" s="30" t="inlineStr">
        <is>
          <t>Restock wave 1</t>
        </is>
      </c>
    </row>
    <row r="84">
      <c r="A84" s="34" t="n">
        <v>46038</v>
      </c>
      <c r="B84" s="30" t="inlineStr">
        <is>
          <t>SKU-080</t>
        </is>
      </c>
      <c r="C84" s="30" t="inlineStr">
        <is>
          <t>Paper Trail Co.</t>
        </is>
      </c>
      <c r="D84" s="22" t="n">
        <v>6</v>
      </c>
      <c r="E84" s="24" t="n">
        <v>1.64</v>
      </c>
      <c r="F84" s="24" t="n">
        <v>2.62</v>
      </c>
      <c r="G84" s="35">
        <f>D84*E84+F84</f>
        <v/>
      </c>
      <c r="H84" s="30" t="inlineStr">
        <is>
          <t>Restock wave 1</t>
        </is>
      </c>
    </row>
    <row r="85">
      <c r="A85" s="34" t="n">
        <v>46038</v>
      </c>
      <c r="B85" s="30" t="inlineStr">
        <is>
          <t>SKU-081</t>
        </is>
      </c>
      <c r="C85" s="30" t="inlineStr">
        <is>
          <t>Luma Imports</t>
        </is>
      </c>
      <c r="D85" s="22" t="n">
        <v>2</v>
      </c>
      <c r="E85" s="24" t="n">
        <v>1.34</v>
      </c>
      <c r="F85" s="24" t="n">
        <v>2.97</v>
      </c>
      <c r="G85" s="35">
        <f>D85*E85+F85</f>
        <v/>
      </c>
      <c r="H85" s="30" t="inlineStr">
        <is>
          <t>Restock wave 1</t>
        </is>
      </c>
    </row>
    <row r="86">
      <c r="A86" s="34" t="n">
        <v>46038</v>
      </c>
      <c r="B86" s="30" t="inlineStr">
        <is>
          <t>SKU-082</t>
        </is>
      </c>
      <c r="C86" s="30" t="inlineStr">
        <is>
          <t>Luma Imports</t>
        </is>
      </c>
      <c r="D86" s="22" t="n">
        <v>3</v>
      </c>
      <c r="E86" s="24" t="n">
        <v>1.51</v>
      </c>
      <c r="F86" s="24" t="n">
        <v>3.32</v>
      </c>
      <c r="G86" s="35">
        <f>D86*E86+F86</f>
        <v/>
      </c>
      <c r="H86" s="30" t="inlineStr">
        <is>
          <t>Restock wave 1</t>
        </is>
      </c>
    </row>
    <row r="87">
      <c r="A87" s="34" t="n">
        <v>46038</v>
      </c>
      <c r="B87" s="30" t="inlineStr">
        <is>
          <t>SKU-083</t>
        </is>
      </c>
      <c r="C87" s="30" t="inlineStr">
        <is>
          <t>Luma Imports</t>
        </is>
      </c>
      <c r="D87" s="22" t="n">
        <v>4</v>
      </c>
      <c r="E87" s="24" t="n">
        <v>1.68</v>
      </c>
      <c r="F87" s="24" t="n">
        <v>3.67</v>
      </c>
      <c r="G87" s="35">
        <f>D87*E87+F87</f>
        <v/>
      </c>
      <c r="H87" s="30" t="inlineStr">
        <is>
          <t>Restock wave 1</t>
        </is>
      </c>
    </row>
    <row r="88">
      <c r="A88" s="34" t="n">
        <v>46038</v>
      </c>
      <c r="B88" s="30" t="inlineStr">
        <is>
          <t>SKU-084</t>
        </is>
      </c>
      <c r="C88" s="30" t="inlineStr">
        <is>
          <t>Luma Imports</t>
        </is>
      </c>
      <c r="D88" s="22" t="n">
        <v>5</v>
      </c>
      <c r="E88" s="24" t="n">
        <v>1.85</v>
      </c>
      <c r="F88" s="24" t="n">
        <v>4.02</v>
      </c>
      <c r="G88" s="35">
        <f>D88*E88+F88</f>
        <v/>
      </c>
      <c r="H88" s="30" t="inlineStr">
        <is>
          <t>Restock wave 1</t>
        </is>
      </c>
    </row>
    <row r="89">
      <c r="A89" s="34" t="n">
        <v>46039</v>
      </c>
      <c r="B89" s="30" t="inlineStr">
        <is>
          <t>SKU-085</t>
        </is>
      </c>
      <c r="C89" s="30" t="inlineStr">
        <is>
          <t>Luma Imports</t>
        </is>
      </c>
      <c r="D89" s="22" t="n">
        <v>6</v>
      </c>
      <c r="E89" s="24" t="n">
        <v>2.02</v>
      </c>
      <c r="F89" s="24" t="n">
        <v>1.92</v>
      </c>
      <c r="G89" s="35">
        <f>D89*E89+F89</f>
        <v/>
      </c>
      <c r="H89" s="30" t="inlineStr">
        <is>
          <t>Restock wave 1</t>
        </is>
      </c>
    </row>
    <row r="90">
      <c r="A90" s="34" t="n">
        <v>46039</v>
      </c>
      <c r="B90" s="30" t="inlineStr">
        <is>
          <t>SKU-086</t>
        </is>
      </c>
      <c r="C90" s="30" t="inlineStr">
        <is>
          <t>Studio Nine</t>
        </is>
      </c>
      <c r="D90" s="22" t="n">
        <v>2</v>
      </c>
      <c r="E90" s="24" t="n">
        <v>0.64</v>
      </c>
      <c r="F90" s="24" t="n">
        <v>2.27</v>
      </c>
      <c r="G90" s="35">
        <f>D90*E90+F90</f>
        <v/>
      </c>
      <c r="H90" s="30" t="inlineStr">
        <is>
          <t>Restock wave 1</t>
        </is>
      </c>
    </row>
    <row r="91">
      <c r="A91" s="34" t="n">
        <v>46039</v>
      </c>
      <c r="B91" s="30" t="inlineStr">
        <is>
          <t>SKU-087</t>
        </is>
      </c>
      <c r="C91" s="30" t="inlineStr">
        <is>
          <t>Studio Nine</t>
        </is>
      </c>
      <c r="D91" s="22" t="n">
        <v>3</v>
      </c>
      <c r="E91" s="24" t="n">
        <v>0.8100000000000001</v>
      </c>
      <c r="F91" s="24" t="n">
        <v>2.62</v>
      </c>
      <c r="G91" s="35">
        <f>D91*E91+F91</f>
        <v/>
      </c>
      <c r="H91" s="30" t="inlineStr">
        <is>
          <t>Restock wave 1</t>
        </is>
      </c>
    </row>
    <row r="92">
      <c r="A92" s="34" t="n">
        <v>46039</v>
      </c>
      <c r="B92" s="30" t="inlineStr">
        <is>
          <t>SKU-088</t>
        </is>
      </c>
      <c r="C92" s="30" t="inlineStr">
        <is>
          <t>Studio Nine</t>
        </is>
      </c>
      <c r="D92" s="22" t="n">
        <v>4</v>
      </c>
      <c r="E92" s="24" t="n">
        <v>0.98</v>
      </c>
      <c r="F92" s="24" t="n">
        <v>2.97</v>
      </c>
      <c r="G92" s="35">
        <f>D92*E92+F92</f>
        <v/>
      </c>
      <c r="H92" s="30" t="inlineStr">
        <is>
          <t>Restock wave 1</t>
        </is>
      </c>
    </row>
    <row r="93">
      <c r="A93" s="34" t="n">
        <v>46039</v>
      </c>
      <c r="B93" s="30" t="inlineStr">
        <is>
          <t>SKU-089</t>
        </is>
      </c>
      <c r="C93" s="30" t="inlineStr">
        <is>
          <t>Studio Nine</t>
        </is>
      </c>
      <c r="D93" s="22" t="n">
        <v>5</v>
      </c>
      <c r="E93" s="24" t="n">
        <v>1.15</v>
      </c>
      <c r="F93" s="24" t="n">
        <v>3.32</v>
      </c>
      <c r="G93" s="35">
        <f>D93*E93+F93</f>
        <v/>
      </c>
      <c r="H93" s="30" t="inlineStr">
        <is>
          <t>Restock wave 1</t>
        </is>
      </c>
    </row>
    <row r="94">
      <c r="A94" s="34" t="n">
        <v>46039</v>
      </c>
      <c r="B94" s="30" t="inlineStr">
        <is>
          <t>SKU-090</t>
        </is>
      </c>
      <c r="C94" s="30" t="inlineStr">
        <is>
          <t>Studio Nine</t>
        </is>
      </c>
      <c r="D94" s="22" t="n">
        <v>6</v>
      </c>
      <c r="E94" s="24" t="n">
        <v>1.32</v>
      </c>
      <c r="F94" s="24" t="n">
        <v>3.67</v>
      </c>
      <c r="G94" s="35">
        <f>D94*E94+F94</f>
        <v/>
      </c>
      <c r="H94" s="30" t="inlineStr">
        <is>
          <t>Restock wave 1</t>
        </is>
      </c>
    </row>
    <row r="95">
      <c r="A95" s="34" t="n">
        <v>46040</v>
      </c>
      <c r="B95" s="30" t="inlineStr">
        <is>
          <t>SKU-091</t>
        </is>
      </c>
      <c r="C95" s="30" t="inlineStr">
        <is>
          <t>Studio Nine</t>
        </is>
      </c>
      <c r="D95" s="22" t="n">
        <v>2</v>
      </c>
      <c r="E95" s="24" t="n">
        <v>3.14</v>
      </c>
      <c r="F95" s="24" t="n">
        <v>4.02</v>
      </c>
      <c r="G95" s="35">
        <f>D95*E95+F95</f>
        <v/>
      </c>
      <c r="H95" s="30" t="inlineStr">
        <is>
          <t>Restock wave 1</t>
        </is>
      </c>
    </row>
    <row r="96">
      <c r="A96" s="34" t="n">
        <v>46040</v>
      </c>
      <c r="B96" s="30" t="inlineStr">
        <is>
          <t>SKU-092</t>
        </is>
      </c>
      <c r="C96" s="30" t="inlineStr">
        <is>
          <t>Studio Nine</t>
        </is>
      </c>
      <c r="D96" s="22" t="n">
        <v>3</v>
      </c>
      <c r="E96" s="24" t="n">
        <v>3.31</v>
      </c>
      <c r="F96" s="24" t="n">
        <v>1.92</v>
      </c>
      <c r="G96" s="35">
        <f>D96*E96+F96</f>
        <v/>
      </c>
      <c r="H96" s="30" t="inlineStr">
        <is>
          <t>Restock wave 1</t>
        </is>
      </c>
    </row>
    <row r="97">
      <c r="A97" s="34" t="n">
        <v>46040</v>
      </c>
      <c r="B97" s="30" t="inlineStr">
        <is>
          <t>SKU-093</t>
        </is>
      </c>
      <c r="C97" s="30" t="inlineStr">
        <is>
          <t>Studio Nine</t>
        </is>
      </c>
      <c r="D97" s="22" t="n">
        <v>4</v>
      </c>
      <c r="E97" s="24" t="n">
        <v>3.48</v>
      </c>
      <c r="F97" s="24" t="n">
        <v>2.27</v>
      </c>
      <c r="G97" s="35">
        <f>D97*E97+F97</f>
        <v/>
      </c>
      <c r="H97" s="30" t="inlineStr">
        <is>
          <t>Restock wave 1</t>
        </is>
      </c>
    </row>
    <row r="98">
      <c r="A98" s="34" t="n">
        <v>46040</v>
      </c>
      <c r="B98" s="30" t="inlineStr">
        <is>
          <t>SKU-094</t>
        </is>
      </c>
      <c r="C98" s="30" t="inlineStr">
        <is>
          <t>Studio Nine</t>
        </is>
      </c>
      <c r="D98" s="22" t="n">
        <v>5</v>
      </c>
      <c r="E98" s="24" t="n">
        <v>3.65</v>
      </c>
      <c r="F98" s="24" t="n">
        <v>2.62</v>
      </c>
      <c r="G98" s="35">
        <f>D98*E98+F98</f>
        <v/>
      </c>
      <c r="H98" s="30" t="inlineStr">
        <is>
          <t>Restock wave 1</t>
        </is>
      </c>
    </row>
    <row r="99">
      <c r="A99" s="34" t="n">
        <v>46040</v>
      </c>
      <c r="B99" s="30" t="inlineStr">
        <is>
          <t>SKU-095</t>
        </is>
      </c>
      <c r="C99" s="30" t="inlineStr">
        <is>
          <t>Studio Nine</t>
        </is>
      </c>
      <c r="D99" s="22" t="n">
        <v>6</v>
      </c>
      <c r="E99" s="24" t="n">
        <v>3.82</v>
      </c>
      <c r="F99" s="24" t="n">
        <v>2.97</v>
      </c>
      <c r="G99" s="35">
        <f>D99*E99+F99</f>
        <v/>
      </c>
      <c r="H99" s="30" t="inlineStr">
        <is>
          <t>Restock wave 1</t>
        </is>
      </c>
    </row>
    <row r="100">
      <c r="A100" s="34" t="n">
        <v>46040</v>
      </c>
      <c r="B100" s="30" t="inlineStr">
        <is>
          <t>SKU-096</t>
        </is>
      </c>
      <c r="C100" s="30" t="inlineStr">
        <is>
          <t>Harbor Supply</t>
        </is>
      </c>
      <c r="D100" s="22" t="n">
        <v>2</v>
      </c>
      <c r="E100" s="24" t="n">
        <v>2.19</v>
      </c>
      <c r="F100" s="24" t="n">
        <v>3.32</v>
      </c>
      <c r="G100" s="35">
        <f>D100*E100+F100</f>
        <v/>
      </c>
      <c r="H100" s="30" t="inlineStr">
        <is>
          <t>Restock wave 1</t>
        </is>
      </c>
    </row>
    <row r="101">
      <c r="A101" s="34" t="n">
        <v>46041</v>
      </c>
      <c r="B101" s="30" t="inlineStr">
        <is>
          <t>SKU-097</t>
        </is>
      </c>
      <c r="C101" s="30" t="inlineStr">
        <is>
          <t>Harbor Supply</t>
        </is>
      </c>
      <c r="D101" s="22" t="n">
        <v>3</v>
      </c>
      <c r="E101" s="24" t="n">
        <v>2.36</v>
      </c>
      <c r="F101" s="24" t="n">
        <v>3.67</v>
      </c>
      <c r="G101" s="35">
        <f>D101*E101+F101</f>
        <v/>
      </c>
      <c r="H101" s="30" t="inlineStr">
        <is>
          <t>Restock wave 1</t>
        </is>
      </c>
    </row>
    <row r="102">
      <c r="A102" s="34" t="n">
        <v>46041</v>
      </c>
      <c r="B102" s="30" t="inlineStr">
        <is>
          <t>SKU-098</t>
        </is>
      </c>
      <c r="C102" s="30" t="inlineStr">
        <is>
          <t>Harbor Supply</t>
        </is>
      </c>
      <c r="D102" s="22" t="n">
        <v>4</v>
      </c>
      <c r="E102" s="24" t="n">
        <v>2.53</v>
      </c>
      <c r="F102" s="24" t="n">
        <v>4.02</v>
      </c>
      <c r="G102" s="35">
        <f>D102*E102+F102</f>
        <v/>
      </c>
      <c r="H102" s="30" t="inlineStr">
        <is>
          <t>Restock wave 1</t>
        </is>
      </c>
    </row>
    <row r="103">
      <c r="A103" s="34" t="n">
        <v>46041</v>
      </c>
      <c r="B103" s="30" t="inlineStr">
        <is>
          <t>SKU-099</t>
        </is>
      </c>
      <c r="C103" s="30" t="inlineStr">
        <is>
          <t>Harbor Supply</t>
        </is>
      </c>
      <c r="D103" s="22" t="n">
        <v>5</v>
      </c>
      <c r="E103" s="24" t="n">
        <v>2.7</v>
      </c>
      <c r="F103" s="24" t="n">
        <v>1.92</v>
      </c>
      <c r="G103" s="35">
        <f>D103*E103+F103</f>
        <v/>
      </c>
      <c r="H103" s="30" t="inlineStr">
        <is>
          <t>Restock wave 1</t>
        </is>
      </c>
    </row>
    <row r="104">
      <c r="A104" s="34" t="n">
        <v>46041</v>
      </c>
      <c r="B104" s="30" t="inlineStr">
        <is>
          <t>SKU-100</t>
        </is>
      </c>
      <c r="C104" s="30" t="inlineStr">
        <is>
          <t>Harbor Supply</t>
        </is>
      </c>
      <c r="D104" s="22" t="n">
        <v>6</v>
      </c>
      <c r="E104" s="24" t="n">
        <v>2.87</v>
      </c>
      <c r="F104" s="24" t="n">
        <v>2.27</v>
      </c>
      <c r="G104" s="35">
        <f>D104*E104+F104</f>
        <v/>
      </c>
      <c r="H104" s="30" t="inlineStr">
        <is>
          <t>Restock wave 1</t>
        </is>
      </c>
    </row>
    <row r="105">
      <c r="A105" s="34" t="n">
        <v>46041</v>
      </c>
      <c r="B105" s="30" t="inlineStr">
        <is>
          <t>SKU-001</t>
        </is>
      </c>
      <c r="C105" s="30" t="inlineStr">
        <is>
          <t>Northstar Wholesale</t>
        </is>
      </c>
      <c r="D105" s="22" t="n">
        <v>2</v>
      </c>
      <c r="E105" s="24" t="n">
        <v>0.95</v>
      </c>
      <c r="F105" s="24" t="n">
        <v>2.62</v>
      </c>
      <c r="G105" s="35">
        <f>D105*E105+F105</f>
        <v/>
      </c>
      <c r="H105" s="30" t="inlineStr">
        <is>
          <t>Restock wave 2</t>
        </is>
      </c>
    </row>
    <row r="106">
      <c r="A106" s="34" t="n">
        <v>46041</v>
      </c>
      <c r="B106" s="30" t="inlineStr">
        <is>
          <t>SKU-002</t>
        </is>
      </c>
      <c r="C106" s="30" t="inlineStr">
        <is>
          <t>Northstar Wholesale</t>
        </is>
      </c>
      <c r="D106" s="22" t="n">
        <v>3</v>
      </c>
      <c r="E106" s="24" t="n">
        <v>1.12</v>
      </c>
      <c r="F106" s="24" t="n">
        <v>2.97</v>
      </c>
      <c r="G106" s="35">
        <f>D106*E106+F106</f>
        <v/>
      </c>
      <c r="H106" s="30" t="inlineStr">
        <is>
          <t>Restock wave 2</t>
        </is>
      </c>
    </row>
    <row r="107">
      <c r="A107" s="34" t="n">
        <v>46042</v>
      </c>
      <c r="B107" s="30" t="inlineStr">
        <is>
          <t>SKU-003</t>
        </is>
      </c>
      <c r="C107" s="30" t="inlineStr">
        <is>
          <t>Northstar Wholesale</t>
        </is>
      </c>
      <c r="D107" s="22" t="n">
        <v>4</v>
      </c>
      <c r="E107" s="24" t="n">
        <v>1.29</v>
      </c>
      <c r="F107" s="24" t="n">
        <v>3.32</v>
      </c>
      <c r="G107" s="35">
        <f>D107*E107+F107</f>
        <v/>
      </c>
      <c r="H107" s="30" t="inlineStr">
        <is>
          <t>Restock wave 2</t>
        </is>
      </c>
    </row>
    <row r="108">
      <c r="A108" s="34" t="n">
        <v>46042</v>
      </c>
      <c r="B108" s="30" t="inlineStr">
        <is>
          <t>SKU-004</t>
        </is>
      </c>
      <c r="C108" s="30" t="inlineStr">
        <is>
          <t>Northstar Wholesale</t>
        </is>
      </c>
      <c r="D108" s="22" t="n">
        <v>5</v>
      </c>
      <c r="E108" s="24" t="n">
        <v>1.46</v>
      </c>
      <c r="F108" s="24" t="n">
        <v>3.67</v>
      </c>
      <c r="G108" s="35">
        <f>D108*E108+F108</f>
        <v/>
      </c>
      <c r="H108" s="30" t="inlineStr">
        <is>
          <t>Restock wave 2</t>
        </is>
      </c>
    </row>
    <row r="109">
      <c r="A109" s="34" t="n">
        <v>46042</v>
      </c>
      <c r="B109" s="30" t="inlineStr">
        <is>
          <t>SKU-005</t>
        </is>
      </c>
      <c r="C109" s="30" t="inlineStr">
        <is>
          <t>Northstar Wholesale</t>
        </is>
      </c>
      <c r="D109" s="22" t="n">
        <v>6</v>
      </c>
      <c r="E109" s="24" t="n">
        <v>1.63</v>
      </c>
      <c r="F109" s="24" t="n">
        <v>4.02</v>
      </c>
      <c r="G109" s="35">
        <f>D109*E109+F109</f>
        <v/>
      </c>
      <c r="H109" s="30" t="inlineStr">
        <is>
          <t>Restock wave 2</t>
        </is>
      </c>
    </row>
    <row r="110">
      <c r="A110" s="34" t="n">
        <v>46042</v>
      </c>
      <c r="B110" s="30" t="inlineStr">
        <is>
          <t>SKU-006</t>
        </is>
      </c>
      <c r="C110" s="30" t="inlineStr">
        <is>
          <t>Harbor Supply</t>
        </is>
      </c>
      <c r="D110" s="22" t="n">
        <v>2</v>
      </c>
      <c r="E110" s="24" t="n">
        <v>2.1</v>
      </c>
      <c r="F110" s="24" t="n">
        <v>1.92</v>
      </c>
      <c r="G110" s="35">
        <f>D110*E110+F110</f>
        <v/>
      </c>
      <c r="H110" s="30" t="inlineStr">
        <is>
          <t>Restock wave 2</t>
        </is>
      </c>
    </row>
    <row r="111">
      <c r="A111" s="34" t="n">
        <v>46042</v>
      </c>
      <c r="B111" s="30" t="inlineStr">
        <is>
          <t>SKU-007</t>
        </is>
      </c>
      <c r="C111" s="30" t="inlineStr">
        <is>
          <t>Harbor Supply</t>
        </is>
      </c>
      <c r="D111" s="22" t="n">
        <v>3</v>
      </c>
      <c r="E111" s="24" t="n">
        <v>2.27</v>
      </c>
      <c r="F111" s="24" t="n">
        <v>2.27</v>
      </c>
      <c r="G111" s="35">
        <f>D111*E111+F111</f>
        <v/>
      </c>
      <c r="H111" s="30" t="inlineStr">
        <is>
          <t>Restock wave 2</t>
        </is>
      </c>
    </row>
    <row r="112">
      <c r="A112" s="34" t="n">
        <v>46042</v>
      </c>
      <c r="B112" s="30" t="inlineStr">
        <is>
          <t>SKU-008</t>
        </is>
      </c>
      <c r="C112" s="30" t="inlineStr">
        <is>
          <t>Harbor Supply</t>
        </is>
      </c>
      <c r="D112" s="22" t="n">
        <v>4</v>
      </c>
      <c r="E112" s="24" t="n">
        <v>2.44</v>
      </c>
      <c r="F112" s="24" t="n">
        <v>2.62</v>
      </c>
      <c r="G112" s="35">
        <f>D112*E112+F112</f>
        <v/>
      </c>
      <c r="H112" s="30" t="inlineStr">
        <is>
          <t>Restock wave 2</t>
        </is>
      </c>
    </row>
    <row r="113">
      <c r="A113" s="34" t="n">
        <v>46043</v>
      </c>
      <c r="B113" s="30" t="inlineStr">
        <is>
          <t>SKU-009</t>
        </is>
      </c>
      <c r="C113" s="30" t="inlineStr">
        <is>
          <t>Harbor Supply</t>
        </is>
      </c>
      <c r="D113" s="22" t="n">
        <v>5</v>
      </c>
      <c r="E113" s="24" t="n">
        <v>2.61</v>
      </c>
      <c r="F113" s="24" t="n">
        <v>2.97</v>
      </c>
      <c r="G113" s="35">
        <f>D113*E113+F113</f>
        <v/>
      </c>
      <c r="H113" s="30" t="inlineStr">
        <is>
          <t>Restock wave 2</t>
        </is>
      </c>
    </row>
    <row r="114">
      <c r="A114" s="34" t="n">
        <v>46043</v>
      </c>
      <c r="B114" s="30" t="inlineStr">
        <is>
          <t>SKU-010</t>
        </is>
      </c>
      <c r="C114" s="30" t="inlineStr">
        <is>
          <t>Harbor Supply</t>
        </is>
      </c>
      <c r="D114" s="22" t="n">
        <v>6</v>
      </c>
      <c r="E114" s="24" t="n">
        <v>2.78</v>
      </c>
      <c r="F114" s="24" t="n">
        <v>3.32</v>
      </c>
      <c r="G114" s="35">
        <f>D114*E114+F114</f>
        <v/>
      </c>
      <c r="H114" s="30" t="inlineStr">
        <is>
          <t>Restock wave 2</t>
        </is>
      </c>
    </row>
    <row r="115">
      <c r="A115" s="34" t="n">
        <v>46043</v>
      </c>
      <c r="B115" s="30" t="inlineStr">
        <is>
          <t>SKU-011</t>
        </is>
      </c>
      <c r="C115" s="30" t="inlineStr">
        <is>
          <t>Paper Trail Co.</t>
        </is>
      </c>
      <c r="D115" s="22" t="n">
        <v>2</v>
      </c>
      <c r="E115" s="24" t="n">
        <v>1.25</v>
      </c>
      <c r="F115" s="24" t="n">
        <v>3.67</v>
      </c>
      <c r="G115" s="35">
        <f>D115*E115+F115</f>
        <v/>
      </c>
      <c r="H115" s="30" t="inlineStr">
        <is>
          <t>Restock wave 2</t>
        </is>
      </c>
    </row>
    <row r="116">
      <c r="A116" s="34" t="n">
        <v>46043</v>
      </c>
      <c r="B116" s="30" t="inlineStr">
        <is>
          <t>SKU-012</t>
        </is>
      </c>
      <c r="C116" s="30" t="inlineStr">
        <is>
          <t>Paper Trail Co.</t>
        </is>
      </c>
      <c r="D116" s="22" t="n">
        <v>3</v>
      </c>
      <c r="E116" s="24" t="n">
        <v>1.42</v>
      </c>
      <c r="F116" s="24" t="n">
        <v>4.02</v>
      </c>
      <c r="G116" s="35">
        <f>D116*E116+F116</f>
        <v/>
      </c>
      <c r="H116" s="30" t="inlineStr">
        <is>
          <t>Restock wave 2</t>
        </is>
      </c>
    </row>
    <row r="117">
      <c r="A117" s="34" t="n">
        <v>46043</v>
      </c>
      <c r="B117" s="30" t="inlineStr">
        <is>
          <t>SKU-013</t>
        </is>
      </c>
      <c r="C117" s="30" t="inlineStr">
        <is>
          <t>Paper Trail Co.</t>
        </is>
      </c>
      <c r="D117" s="22" t="n">
        <v>4</v>
      </c>
      <c r="E117" s="24" t="n">
        <v>1.59</v>
      </c>
      <c r="F117" s="24" t="n">
        <v>1.92</v>
      </c>
      <c r="G117" s="35">
        <f>D117*E117+F117</f>
        <v/>
      </c>
      <c r="H117" s="30" t="inlineStr">
        <is>
          <t>Restock wave 2</t>
        </is>
      </c>
    </row>
    <row r="118">
      <c r="A118" s="34" t="n">
        <v>46043</v>
      </c>
      <c r="B118" s="30" t="inlineStr">
        <is>
          <t>SKU-014</t>
        </is>
      </c>
      <c r="C118" s="30" t="inlineStr">
        <is>
          <t>Paper Trail Co.</t>
        </is>
      </c>
      <c r="D118" s="22" t="n">
        <v>5</v>
      </c>
      <c r="E118" s="24" t="n">
        <v>1.76</v>
      </c>
      <c r="F118" s="24" t="n">
        <v>2.27</v>
      </c>
      <c r="G118" s="35">
        <f>D118*E118+F118</f>
        <v/>
      </c>
      <c r="H118" s="30" t="inlineStr">
        <is>
          <t>Restock wave 2</t>
        </is>
      </c>
    </row>
    <row r="119">
      <c r="A119" s="34" t="n">
        <v>46044</v>
      </c>
      <c r="B119" s="30" t="inlineStr">
        <is>
          <t>SKU-015</t>
        </is>
      </c>
      <c r="C119" s="30" t="inlineStr">
        <is>
          <t>Paper Trail Co.</t>
        </is>
      </c>
      <c r="D119" s="22" t="n">
        <v>6</v>
      </c>
      <c r="E119" s="24" t="n">
        <v>1.93</v>
      </c>
      <c r="F119" s="24" t="n">
        <v>2.62</v>
      </c>
      <c r="G119" s="35">
        <f>D119*E119+F119</f>
        <v/>
      </c>
      <c r="H119" s="30" t="inlineStr">
        <is>
          <t>Restock wave 2</t>
        </is>
      </c>
    </row>
    <row r="120">
      <c r="A120" s="34" t="n">
        <v>46044</v>
      </c>
      <c r="B120" s="30" t="inlineStr">
        <is>
          <t>SKU-016</t>
        </is>
      </c>
      <c r="C120" s="30" t="inlineStr">
        <is>
          <t>Paper Trail Co.</t>
        </is>
      </c>
      <c r="D120" s="22" t="n">
        <v>2</v>
      </c>
      <c r="E120" s="24" t="n">
        <v>0.22</v>
      </c>
      <c r="F120" s="24" t="n">
        <v>2.97</v>
      </c>
      <c r="G120" s="35">
        <f>D120*E120+F120</f>
        <v/>
      </c>
      <c r="H120" s="30" t="inlineStr">
        <is>
          <t>Restock wave 2</t>
        </is>
      </c>
    </row>
    <row r="121">
      <c r="A121" s="34" t="n">
        <v>46044</v>
      </c>
      <c r="B121" s="30" t="inlineStr">
        <is>
          <t>SKU-017</t>
        </is>
      </c>
      <c r="C121" s="30" t="inlineStr">
        <is>
          <t>Paper Trail Co.</t>
        </is>
      </c>
      <c r="D121" s="22" t="n">
        <v>3</v>
      </c>
      <c r="E121" s="24" t="n">
        <v>0.39</v>
      </c>
      <c r="F121" s="24" t="n">
        <v>3.32</v>
      </c>
      <c r="G121" s="35">
        <f>D121*E121+F121</f>
        <v/>
      </c>
      <c r="H121" s="30" t="inlineStr">
        <is>
          <t>Restock wave 2</t>
        </is>
      </c>
    </row>
    <row r="122">
      <c r="A122" s="34" t="n">
        <v>46044</v>
      </c>
      <c r="B122" s="30" t="inlineStr">
        <is>
          <t>SKU-018</t>
        </is>
      </c>
      <c r="C122" s="30" t="inlineStr">
        <is>
          <t>Paper Trail Co.</t>
        </is>
      </c>
      <c r="D122" s="22" t="n">
        <v>4</v>
      </c>
      <c r="E122" s="24" t="n">
        <v>0.5600000000000001</v>
      </c>
      <c r="F122" s="24" t="n">
        <v>3.67</v>
      </c>
      <c r="G122" s="35">
        <f>D122*E122+F122</f>
        <v/>
      </c>
      <c r="H122" s="30" t="inlineStr">
        <is>
          <t>Restock wave 2</t>
        </is>
      </c>
    </row>
    <row r="123">
      <c r="A123" s="34" t="n">
        <v>46044</v>
      </c>
      <c r="B123" s="30" t="inlineStr">
        <is>
          <t>SKU-019</t>
        </is>
      </c>
      <c r="C123" s="30" t="inlineStr">
        <is>
          <t>Paper Trail Co.</t>
        </is>
      </c>
      <c r="D123" s="22" t="n">
        <v>5</v>
      </c>
      <c r="E123" s="24" t="n">
        <v>0.73</v>
      </c>
      <c r="F123" s="24" t="n">
        <v>4.02</v>
      </c>
      <c r="G123" s="35">
        <f>D123*E123+F123</f>
        <v/>
      </c>
      <c r="H123" s="30" t="inlineStr">
        <is>
          <t>Restock wave 2</t>
        </is>
      </c>
    </row>
    <row r="124">
      <c r="A124" s="34" t="n">
        <v>46044</v>
      </c>
      <c r="B124" s="30" t="inlineStr">
        <is>
          <t>SKU-020</t>
        </is>
      </c>
      <c r="C124" s="30" t="inlineStr">
        <is>
          <t>Paper Trail Co.</t>
        </is>
      </c>
      <c r="D124" s="22" t="n">
        <v>6</v>
      </c>
      <c r="E124" s="24" t="n">
        <v>0.9</v>
      </c>
      <c r="F124" s="24" t="n">
        <v>1.92</v>
      </c>
      <c r="G124" s="35">
        <f>D124*E124+F124</f>
        <v/>
      </c>
      <c r="H124" s="30" t="inlineStr">
        <is>
          <t>Restock wave 2</t>
        </is>
      </c>
    </row>
    <row r="125">
      <c r="A125" s="34" t="n">
        <v>46045</v>
      </c>
      <c r="B125" s="30" t="inlineStr">
        <is>
          <t>SKU-021</t>
        </is>
      </c>
      <c r="C125" s="30" t="inlineStr">
        <is>
          <t>Northstar Wholesale</t>
        </is>
      </c>
      <c r="D125" s="22" t="n">
        <v>2</v>
      </c>
      <c r="E125" s="24" t="n">
        <v>3.1</v>
      </c>
      <c r="F125" s="24" t="n">
        <v>2.27</v>
      </c>
      <c r="G125" s="35">
        <f>D125*E125+F125</f>
        <v/>
      </c>
      <c r="H125" s="30" t="inlineStr">
        <is>
          <t>Restock wave 2</t>
        </is>
      </c>
    </row>
    <row r="126">
      <c r="A126" s="34" t="n">
        <v>46045</v>
      </c>
      <c r="B126" s="30" t="inlineStr">
        <is>
          <t>SKU-022</t>
        </is>
      </c>
      <c r="C126" s="30" t="inlineStr">
        <is>
          <t>Northstar Wholesale</t>
        </is>
      </c>
      <c r="D126" s="22" t="n">
        <v>3</v>
      </c>
      <c r="E126" s="24" t="n">
        <v>3.27</v>
      </c>
      <c r="F126" s="24" t="n">
        <v>2.62</v>
      </c>
      <c r="G126" s="35">
        <f>D126*E126+F126</f>
        <v/>
      </c>
      <c r="H126" s="30" t="inlineStr">
        <is>
          <t>Restock wave 2</t>
        </is>
      </c>
    </row>
    <row r="127">
      <c r="A127" s="34" t="n">
        <v>46045</v>
      </c>
      <c r="B127" s="30" t="inlineStr">
        <is>
          <t>SKU-023</t>
        </is>
      </c>
      <c r="C127" s="30" t="inlineStr">
        <is>
          <t>Northstar Wholesale</t>
        </is>
      </c>
      <c r="D127" s="22" t="n">
        <v>4</v>
      </c>
      <c r="E127" s="24" t="n">
        <v>3.44</v>
      </c>
      <c r="F127" s="24" t="n">
        <v>2.97</v>
      </c>
      <c r="G127" s="35">
        <f>D127*E127+F127</f>
        <v/>
      </c>
      <c r="H127" s="30" t="inlineStr">
        <is>
          <t>Restock wave 2</t>
        </is>
      </c>
    </row>
    <row r="128">
      <c r="A128" s="34" t="n">
        <v>46045</v>
      </c>
      <c r="B128" s="30" t="inlineStr">
        <is>
          <t>SKU-024</t>
        </is>
      </c>
      <c r="C128" s="30" t="inlineStr">
        <is>
          <t>Northstar Wholesale</t>
        </is>
      </c>
      <c r="D128" s="22" t="n">
        <v>5</v>
      </c>
      <c r="E128" s="24" t="n">
        <v>3.61</v>
      </c>
      <c r="F128" s="24" t="n">
        <v>3.32</v>
      </c>
      <c r="G128" s="35">
        <f>D128*E128+F128</f>
        <v/>
      </c>
      <c r="H128" s="30" t="inlineStr">
        <is>
          <t>Restock wave 2</t>
        </is>
      </c>
    </row>
    <row r="129">
      <c r="A129" s="34" t="n">
        <v>46045</v>
      </c>
      <c r="B129" s="30" t="inlineStr">
        <is>
          <t>SKU-025</t>
        </is>
      </c>
      <c r="C129" s="30" t="inlineStr">
        <is>
          <t>Northstar Wholesale</t>
        </is>
      </c>
      <c r="D129" s="22" t="n">
        <v>6</v>
      </c>
      <c r="E129" s="24" t="n">
        <v>3.78</v>
      </c>
      <c r="F129" s="24" t="n">
        <v>3.67</v>
      </c>
      <c r="G129" s="35">
        <f>D129*E129+F129</f>
        <v/>
      </c>
      <c r="H129" s="30" t="inlineStr">
        <is>
          <t>Restock wave 2</t>
        </is>
      </c>
    </row>
    <row r="130">
      <c r="A130" s="34" t="n">
        <v>46045</v>
      </c>
      <c r="B130" s="30" t="inlineStr">
        <is>
          <t>SKU-026</t>
        </is>
      </c>
      <c r="C130" s="30" t="inlineStr">
        <is>
          <t>Luma Imports</t>
        </is>
      </c>
      <c r="D130" s="22" t="n">
        <v>2</v>
      </c>
      <c r="E130" s="24" t="n">
        <v>0.5600000000000001</v>
      </c>
      <c r="F130" s="24" t="n">
        <v>4.02</v>
      </c>
      <c r="G130" s="35">
        <f>D130*E130+F130</f>
        <v/>
      </c>
      <c r="H130" s="30" t="inlineStr">
        <is>
          <t>Restock wave 2</t>
        </is>
      </c>
    </row>
    <row r="131">
      <c r="A131" s="34" t="n">
        <v>46046</v>
      </c>
      <c r="B131" s="30" t="inlineStr">
        <is>
          <t>SKU-027</t>
        </is>
      </c>
      <c r="C131" s="30" t="inlineStr">
        <is>
          <t>Luma Imports</t>
        </is>
      </c>
      <c r="D131" s="22" t="n">
        <v>3</v>
      </c>
      <c r="E131" s="24" t="n">
        <v>0.73</v>
      </c>
      <c r="F131" s="24" t="n">
        <v>1.92</v>
      </c>
      <c r="G131" s="35">
        <f>D131*E131+F131</f>
        <v/>
      </c>
      <c r="H131" s="30" t="inlineStr">
        <is>
          <t>Restock wave 2</t>
        </is>
      </c>
    </row>
    <row r="132">
      <c r="A132" s="34" t="n">
        <v>46046</v>
      </c>
      <c r="B132" s="30" t="inlineStr">
        <is>
          <t>SKU-028</t>
        </is>
      </c>
      <c r="C132" s="30" t="inlineStr">
        <is>
          <t>Luma Imports</t>
        </is>
      </c>
      <c r="D132" s="22" t="n">
        <v>4</v>
      </c>
      <c r="E132" s="24" t="n">
        <v>0.9</v>
      </c>
      <c r="F132" s="24" t="n">
        <v>2.27</v>
      </c>
      <c r="G132" s="35">
        <f>D132*E132+F132</f>
        <v/>
      </c>
      <c r="H132" s="30" t="inlineStr">
        <is>
          <t>Restock wave 2</t>
        </is>
      </c>
    </row>
    <row r="133">
      <c r="A133" s="34" t="n">
        <v>46046</v>
      </c>
      <c r="B133" s="30" t="inlineStr">
        <is>
          <t>SKU-029</t>
        </is>
      </c>
      <c r="C133" s="30" t="inlineStr">
        <is>
          <t>Luma Imports</t>
        </is>
      </c>
      <c r="D133" s="22" t="n">
        <v>5</v>
      </c>
      <c r="E133" s="24" t="n">
        <v>1.07</v>
      </c>
      <c r="F133" s="24" t="n">
        <v>2.62</v>
      </c>
      <c r="G133" s="35">
        <f>D133*E133+F133</f>
        <v/>
      </c>
      <c r="H133" s="30" t="inlineStr">
        <is>
          <t>Restock wave 2</t>
        </is>
      </c>
    </row>
    <row r="134">
      <c r="A134" s="34" t="n">
        <v>46046</v>
      </c>
      <c r="B134" s="30" t="inlineStr">
        <is>
          <t>SKU-030</t>
        </is>
      </c>
      <c r="C134" s="30" t="inlineStr">
        <is>
          <t>Luma Imports</t>
        </is>
      </c>
      <c r="D134" s="22" t="n">
        <v>6</v>
      </c>
      <c r="E134" s="24" t="n">
        <v>1.24</v>
      </c>
      <c r="F134" s="24" t="n">
        <v>2.97</v>
      </c>
      <c r="G134" s="35">
        <f>D134*E134+F134</f>
        <v/>
      </c>
      <c r="H134" s="30" t="inlineStr">
        <is>
          <t>Restock wave 2</t>
        </is>
      </c>
    </row>
    <row r="135">
      <c r="A135" s="34" t="n">
        <v>46046</v>
      </c>
      <c r="B135" s="30" t="inlineStr">
        <is>
          <t>SKU-031</t>
        </is>
      </c>
      <c r="C135" s="30" t="inlineStr">
        <is>
          <t>Harbor Supply</t>
        </is>
      </c>
      <c r="D135" s="22" t="n">
        <v>2</v>
      </c>
      <c r="E135" s="24" t="n">
        <v>4.33</v>
      </c>
      <c r="F135" s="24" t="n">
        <v>3.32</v>
      </c>
      <c r="G135" s="35">
        <f>D135*E135+F135</f>
        <v/>
      </c>
      <c r="H135" s="30" t="inlineStr">
        <is>
          <t>Restock wave 2</t>
        </is>
      </c>
    </row>
    <row r="136">
      <c r="A136" s="34" t="n">
        <v>46046</v>
      </c>
      <c r="B136" s="30" t="inlineStr">
        <is>
          <t>SKU-032</t>
        </is>
      </c>
      <c r="C136" s="30" t="inlineStr">
        <is>
          <t>Harbor Supply</t>
        </is>
      </c>
      <c r="D136" s="22" t="n">
        <v>3</v>
      </c>
      <c r="E136" s="24" t="n">
        <v>4.5</v>
      </c>
      <c r="F136" s="24" t="n">
        <v>3.67</v>
      </c>
      <c r="G136" s="35">
        <f>D136*E136+F136</f>
        <v/>
      </c>
      <c r="H136" s="30" t="inlineStr">
        <is>
          <t>Restock wave 2</t>
        </is>
      </c>
    </row>
    <row r="137">
      <c r="A137" s="34" t="n">
        <v>46047</v>
      </c>
      <c r="B137" s="30" t="inlineStr">
        <is>
          <t>SKU-033</t>
        </is>
      </c>
      <c r="C137" s="30" t="inlineStr">
        <is>
          <t>Harbor Supply</t>
        </is>
      </c>
      <c r="D137" s="22" t="n">
        <v>4</v>
      </c>
      <c r="E137" s="24" t="n">
        <v>4.67</v>
      </c>
      <c r="F137" s="24" t="n">
        <v>4.02</v>
      </c>
      <c r="G137" s="35">
        <f>D137*E137+F137</f>
        <v/>
      </c>
      <c r="H137" s="30" t="inlineStr">
        <is>
          <t>Restock wave 2</t>
        </is>
      </c>
    </row>
    <row r="138">
      <c r="A138" s="34" t="n">
        <v>46047</v>
      </c>
      <c r="B138" s="30" t="inlineStr">
        <is>
          <t>SKU-034</t>
        </is>
      </c>
      <c r="C138" s="30" t="inlineStr">
        <is>
          <t>Harbor Supply</t>
        </is>
      </c>
      <c r="D138" s="22" t="n">
        <v>5</v>
      </c>
      <c r="E138" s="24" t="n">
        <v>4.84</v>
      </c>
      <c r="F138" s="24" t="n">
        <v>1.92</v>
      </c>
      <c r="G138" s="35">
        <f>D138*E138+F138</f>
        <v/>
      </c>
      <c r="H138" s="30" t="inlineStr">
        <is>
          <t>Restock wave 2</t>
        </is>
      </c>
    </row>
    <row r="139">
      <c r="A139" s="34" t="n">
        <v>46047</v>
      </c>
      <c r="B139" s="30" t="inlineStr">
        <is>
          <t>SKU-035</t>
        </is>
      </c>
      <c r="C139" s="30" t="inlineStr">
        <is>
          <t>Harbor Supply</t>
        </is>
      </c>
      <c r="D139" s="22" t="n">
        <v>6</v>
      </c>
      <c r="E139" s="24" t="n">
        <v>5.01</v>
      </c>
      <c r="F139" s="24" t="n">
        <v>2.27</v>
      </c>
      <c r="G139" s="35">
        <f>D139*E139+F139</f>
        <v/>
      </c>
      <c r="H139" s="30" t="inlineStr">
        <is>
          <t>Restock wave 2</t>
        </is>
      </c>
    </row>
    <row r="140">
      <c r="A140" s="34" t="n">
        <v>46047</v>
      </c>
      <c r="B140" s="30" t="inlineStr">
        <is>
          <t>SKU-036</t>
        </is>
      </c>
      <c r="C140" s="30" t="inlineStr">
        <is>
          <t>Studio Nine</t>
        </is>
      </c>
      <c r="D140" s="22" t="n">
        <v>2</v>
      </c>
      <c r="E140" s="24" t="n">
        <v>1.88</v>
      </c>
      <c r="F140" s="24" t="n">
        <v>2.62</v>
      </c>
      <c r="G140" s="35">
        <f>D140*E140+F140</f>
        <v/>
      </c>
      <c r="H140" s="30" t="inlineStr">
        <is>
          <t>Restock wave 2</t>
        </is>
      </c>
    </row>
    <row r="141">
      <c r="A141" s="34" t="n">
        <v>46047</v>
      </c>
      <c r="B141" s="30" t="inlineStr">
        <is>
          <t>SKU-037</t>
        </is>
      </c>
      <c r="C141" s="30" t="inlineStr">
        <is>
          <t>Studio Nine</t>
        </is>
      </c>
      <c r="D141" s="22" t="n">
        <v>3</v>
      </c>
      <c r="E141" s="24" t="n">
        <v>2.05</v>
      </c>
      <c r="F141" s="24" t="n">
        <v>2.97</v>
      </c>
      <c r="G141" s="35">
        <f>D141*E141+F141</f>
        <v/>
      </c>
      <c r="H141" s="30" t="inlineStr">
        <is>
          <t>Restock wave 2</t>
        </is>
      </c>
    </row>
    <row r="142">
      <c r="A142" s="34" t="n">
        <v>46047</v>
      </c>
      <c r="B142" s="30" t="inlineStr">
        <is>
          <t>SKU-038</t>
        </is>
      </c>
      <c r="C142" s="30" t="inlineStr">
        <is>
          <t>Studio Nine</t>
        </is>
      </c>
      <c r="D142" s="22" t="n">
        <v>4</v>
      </c>
      <c r="E142" s="24" t="n">
        <v>2.22</v>
      </c>
      <c r="F142" s="24" t="n">
        <v>3.32</v>
      </c>
      <c r="G142" s="35">
        <f>D142*E142+F142</f>
        <v/>
      </c>
      <c r="H142" s="30" t="inlineStr">
        <is>
          <t>Restock wave 2</t>
        </is>
      </c>
    </row>
    <row r="143">
      <c r="A143" s="34" t="n">
        <v>46048</v>
      </c>
      <c r="B143" s="30" t="inlineStr">
        <is>
          <t>SKU-039</t>
        </is>
      </c>
      <c r="C143" s="30" t="inlineStr">
        <is>
          <t>Studio Nine</t>
        </is>
      </c>
      <c r="D143" s="22" t="n">
        <v>5</v>
      </c>
      <c r="E143" s="24" t="n">
        <v>2.39</v>
      </c>
      <c r="F143" s="24" t="n">
        <v>3.67</v>
      </c>
      <c r="G143" s="35">
        <f>D143*E143+F143</f>
        <v/>
      </c>
      <c r="H143" s="30" t="inlineStr">
        <is>
          <t>Restock wave 2</t>
        </is>
      </c>
    </row>
    <row r="144">
      <c r="A144" s="34" t="n">
        <v>46048</v>
      </c>
      <c r="B144" s="30" t="inlineStr">
        <is>
          <t>SKU-040</t>
        </is>
      </c>
      <c r="C144" s="30" t="inlineStr">
        <is>
          <t>Studio Nine</t>
        </is>
      </c>
      <c r="D144" s="22" t="n">
        <v>6</v>
      </c>
      <c r="E144" s="24" t="n">
        <v>2.56</v>
      </c>
      <c r="F144" s="24" t="n">
        <v>4.02</v>
      </c>
      <c r="G144" s="35">
        <f>D144*E144+F144</f>
        <v/>
      </c>
      <c r="H144" s="30" t="inlineStr">
        <is>
          <t>Restock wave 2</t>
        </is>
      </c>
    </row>
    <row r="145">
      <c r="A145" s="34" t="n">
        <v>46048</v>
      </c>
      <c r="B145" s="30" t="inlineStr">
        <is>
          <t>SKU-041</t>
        </is>
      </c>
      <c r="C145" s="30" t="inlineStr">
        <is>
          <t>Luma Imports</t>
        </is>
      </c>
      <c r="D145" s="22" t="n">
        <v>2</v>
      </c>
      <c r="E145" s="24" t="n">
        <v>0.7</v>
      </c>
      <c r="F145" s="24" t="n">
        <v>1.92</v>
      </c>
      <c r="G145" s="35">
        <f>D145*E145+F145</f>
        <v/>
      </c>
      <c r="H145" s="30" t="inlineStr">
        <is>
          <t>Restock wave 2</t>
        </is>
      </c>
    </row>
    <row r="146">
      <c r="A146" s="34" t="n">
        <v>46048</v>
      </c>
      <c r="B146" s="30" t="inlineStr">
        <is>
          <t>SKU-042</t>
        </is>
      </c>
      <c r="C146" s="30" t="inlineStr">
        <is>
          <t>Luma Imports</t>
        </is>
      </c>
      <c r="D146" s="22" t="n">
        <v>3</v>
      </c>
      <c r="E146" s="24" t="n">
        <v>0.87</v>
      </c>
      <c r="F146" s="24" t="n">
        <v>2.27</v>
      </c>
      <c r="G146" s="35">
        <f>D146*E146+F146</f>
        <v/>
      </c>
      <c r="H146" s="30" t="inlineStr">
        <is>
          <t>Restock wave 2</t>
        </is>
      </c>
    </row>
    <row r="147">
      <c r="A147" s="34" t="n">
        <v>46048</v>
      </c>
      <c r="B147" s="30" t="inlineStr">
        <is>
          <t>SKU-043</t>
        </is>
      </c>
      <c r="C147" s="30" t="inlineStr">
        <is>
          <t>Luma Imports</t>
        </is>
      </c>
      <c r="D147" s="22" t="n">
        <v>4</v>
      </c>
      <c r="E147" s="24" t="n">
        <v>1.04</v>
      </c>
      <c r="F147" s="24" t="n">
        <v>2.62</v>
      </c>
      <c r="G147" s="35">
        <f>D147*E147+F147</f>
        <v/>
      </c>
      <c r="H147" s="30" t="inlineStr">
        <is>
          <t>Restock wave 2</t>
        </is>
      </c>
    </row>
    <row r="148">
      <c r="A148" s="34" t="n">
        <v>46048</v>
      </c>
      <c r="B148" s="30" t="inlineStr">
        <is>
          <t>SKU-044</t>
        </is>
      </c>
      <c r="C148" s="30" t="inlineStr">
        <is>
          <t>Luma Imports</t>
        </is>
      </c>
      <c r="D148" s="22" t="n">
        <v>5</v>
      </c>
      <c r="E148" s="24" t="n">
        <v>1.21</v>
      </c>
      <c r="F148" s="24" t="n">
        <v>2.97</v>
      </c>
      <c r="G148" s="35">
        <f>D148*E148+F148</f>
        <v/>
      </c>
      <c r="H148" s="30" t="inlineStr">
        <is>
          <t>Restock wave 2</t>
        </is>
      </c>
    </row>
    <row r="149">
      <c r="A149" s="34" t="n">
        <v>46049</v>
      </c>
      <c r="B149" s="30" t="inlineStr">
        <is>
          <t>SKU-045</t>
        </is>
      </c>
      <c r="C149" s="30" t="inlineStr">
        <is>
          <t>Luma Imports</t>
        </is>
      </c>
      <c r="D149" s="22" t="n">
        <v>6</v>
      </c>
      <c r="E149" s="24" t="n">
        <v>1.38</v>
      </c>
      <c r="F149" s="24" t="n">
        <v>3.32</v>
      </c>
      <c r="G149" s="35">
        <f>D149*E149+F149</f>
        <v/>
      </c>
      <c r="H149" s="30" t="inlineStr">
        <is>
          <t>Restock wave 2</t>
        </is>
      </c>
    </row>
    <row r="150">
      <c r="A150" s="34" t="n">
        <v>46049</v>
      </c>
      <c r="B150" s="30" t="inlineStr">
        <is>
          <t>SKU-046</t>
        </is>
      </c>
      <c r="C150" s="30" t="inlineStr">
        <is>
          <t>Northstar Wholesale</t>
        </is>
      </c>
      <c r="D150" s="22" t="n">
        <v>2</v>
      </c>
      <c r="E150" s="24" t="n">
        <v>1.78</v>
      </c>
      <c r="F150" s="24" t="n">
        <v>3.67</v>
      </c>
      <c r="G150" s="35">
        <f>D150*E150+F150</f>
        <v/>
      </c>
      <c r="H150" s="30" t="inlineStr">
        <is>
          <t>Restock wave 2</t>
        </is>
      </c>
    </row>
    <row r="151">
      <c r="A151" s="34" t="n">
        <v>46049</v>
      </c>
      <c r="B151" s="30" t="inlineStr">
        <is>
          <t>SKU-047</t>
        </is>
      </c>
      <c r="C151" s="30" t="inlineStr">
        <is>
          <t>Northstar Wholesale</t>
        </is>
      </c>
      <c r="D151" s="22" t="n">
        <v>3</v>
      </c>
      <c r="E151" s="24" t="n">
        <v>1.95</v>
      </c>
      <c r="F151" s="24" t="n">
        <v>4.02</v>
      </c>
      <c r="G151" s="35">
        <f>D151*E151+F151</f>
        <v/>
      </c>
      <c r="H151" s="30" t="inlineStr">
        <is>
          <t>Restock wave 2</t>
        </is>
      </c>
    </row>
    <row r="152">
      <c r="A152" s="34" t="n">
        <v>46049</v>
      </c>
      <c r="B152" s="30" t="inlineStr">
        <is>
          <t>SKU-048</t>
        </is>
      </c>
      <c r="C152" s="30" t="inlineStr">
        <is>
          <t>Northstar Wholesale</t>
        </is>
      </c>
      <c r="D152" s="22" t="n">
        <v>4</v>
      </c>
      <c r="E152" s="24" t="n">
        <v>2.12</v>
      </c>
      <c r="F152" s="24" t="n">
        <v>1.92</v>
      </c>
      <c r="G152" s="35">
        <f>D152*E152+F152</f>
        <v/>
      </c>
      <c r="H152" s="30" t="inlineStr">
        <is>
          <t>Restock wave 2</t>
        </is>
      </c>
    </row>
    <row r="153">
      <c r="A153" s="34" t="n">
        <v>46049</v>
      </c>
      <c r="B153" s="30" t="inlineStr">
        <is>
          <t>SKU-049</t>
        </is>
      </c>
      <c r="C153" s="30" t="inlineStr">
        <is>
          <t>Northstar Wholesale</t>
        </is>
      </c>
      <c r="D153" s="22" t="n">
        <v>5</v>
      </c>
      <c r="E153" s="24" t="n">
        <v>2.29</v>
      </c>
      <c r="F153" s="24" t="n">
        <v>2.27</v>
      </c>
      <c r="G153" s="35">
        <f>D153*E153+F153</f>
        <v/>
      </c>
      <c r="H153" s="30" t="inlineStr">
        <is>
          <t>Restock wave 2</t>
        </is>
      </c>
    </row>
    <row r="154">
      <c r="A154" s="34" t="n">
        <v>46049</v>
      </c>
      <c r="B154" s="30" t="inlineStr">
        <is>
          <t>SKU-050</t>
        </is>
      </c>
      <c r="C154" s="30" t="inlineStr">
        <is>
          <t>Northstar Wholesale</t>
        </is>
      </c>
      <c r="D154" s="22" t="n">
        <v>6</v>
      </c>
      <c r="E154" s="24" t="n">
        <v>2.46</v>
      </c>
      <c r="F154" s="24" t="n">
        <v>2.62</v>
      </c>
      <c r="G154" s="35">
        <f>D154*E154+F154</f>
        <v/>
      </c>
      <c r="H154" s="30" t="inlineStr">
        <is>
          <t>Restock wave 2</t>
        </is>
      </c>
    </row>
    <row r="155">
      <c r="A155" s="34" t="n">
        <v>46050</v>
      </c>
      <c r="B155" s="30" t="inlineStr">
        <is>
          <t>SKU-051</t>
        </is>
      </c>
      <c r="C155" s="30" t="inlineStr">
        <is>
          <t>Paper Trail Co.</t>
        </is>
      </c>
      <c r="D155" s="22" t="n">
        <v>2</v>
      </c>
      <c r="E155" s="24" t="n">
        <v>2.46</v>
      </c>
      <c r="F155" s="24" t="n">
        <v>3.09</v>
      </c>
      <c r="G155" s="35">
        <f>D155*E155+F155</f>
        <v/>
      </c>
      <c r="H155" s="30" t="inlineStr">
        <is>
          <t>Restock wave 2</t>
        </is>
      </c>
    </row>
    <row r="156">
      <c r="A156" s="34" t="n">
        <v>46050</v>
      </c>
      <c r="B156" s="30" t="inlineStr">
        <is>
          <t>SKU-052</t>
        </is>
      </c>
      <c r="C156" s="30" t="inlineStr">
        <is>
          <t>Paper Trail Co.</t>
        </is>
      </c>
      <c r="D156" s="22" t="n">
        <v>3</v>
      </c>
      <c r="E156" s="24" t="n">
        <v>2.63</v>
      </c>
      <c r="F156" s="24" t="n">
        <v>3.44</v>
      </c>
      <c r="G156" s="35">
        <f>D156*E156+F156</f>
        <v/>
      </c>
      <c r="H156" s="30" t="inlineStr">
        <is>
          <t>Restock wave 2</t>
        </is>
      </c>
    </row>
    <row r="157">
      <c r="A157" s="34" t="n">
        <v>46050</v>
      </c>
      <c r="B157" s="30" t="inlineStr">
        <is>
          <t>SKU-053</t>
        </is>
      </c>
      <c r="C157" s="30" t="inlineStr">
        <is>
          <t>Paper Trail Co.</t>
        </is>
      </c>
      <c r="D157" s="22" t="n">
        <v>4</v>
      </c>
      <c r="E157" s="24" t="n">
        <v>2.8</v>
      </c>
      <c r="F157" s="24" t="n">
        <v>3.79</v>
      </c>
      <c r="G157" s="35">
        <f>D157*E157+F157</f>
        <v/>
      </c>
      <c r="H157" s="30" t="inlineStr">
        <is>
          <t>Restock wave 2</t>
        </is>
      </c>
    </row>
    <row r="158">
      <c r="A158" s="34" t="n">
        <v>46050</v>
      </c>
      <c r="B158" s="30" t="inlineStr">
        <is>
          <t>SKU-054</t>
        </is>
      </c>
      <c r="C158" s="30" t="inlineStr">
        <is>
          <t>Paper Trail Co.</t>
        </is>
      </c>
      <c r="D158" s="22" t="n">
        <v>5</v>
      </c>
      <c r="E158" s="24" t="n">
        <v>2.97</v>
      </c>
      <c r="F158" s="24" t="n">
        <v>4.14</v>
      </c>
      <c r="G158" s="35">
        <f>D158*E158+F158</f>
        <v/>
      </c>
      <c r="H158" s="30" t="inlineStr">
        <is>
          <t>Restock wave 2</t>
        </is>
      </c>
    </row>
    <row r="159">
      <c r="A159" s="34" t="n">
        <v>46050</v>
      </c>
      <c r="B159" s="30" t="inlineStr">
        <is>
          <t>SKU-055</t>
        </is>
      </c>
      <c r="C159" s="30" t="inlineStr">
        <is>
          <t>Paper Trail Co.</t>
        </is>
      </c>
      <c r="D159" s="22" t="n">
        <v>6</v>
      </c>
      <c r="E159" s="24" t="n">
        <v>3.14</v>
      </c>
      <c r="F159" s="24" t="n">
        <v>2.04</v>
      </c>
      <c r="G159" s="35">
        <f>D159*E159+F159</f>
        <v/>
      </c>
      <c r="H159" s="30" t="inlineStr">
        <is>
          <t>Restock wave 2</t>
        </is>
      </c>
    </row>
    <row r="160">
      <c r="A160" s="34" t="n">
        <v>46050</v>
      </c>
      <c r="B160" s="30" t="inlineStr">
        <is>
          <t>SKU-056</t>
        </is>
      </c>
      <c r="C160" s="30" t="inlineStr">
        <is>
          <t>Studio Nine</t>
        </is>
      </c>
      <c r="D160" s="22" t="n">
        <v>2</v>
      </c>
      <c r="E160" s="24" t="n">
        <v>1.01</v>
      </c>
      <c r="F160" s="24" t="n">
        <v>2.39</v>
      </c>
      <c r="G160" s="35">
        <f>D160*E160+F160</f>
        <v/>
      </c>
      <c r="H160" s="30" t="inlineStr">
        <is>
          <t>Restock wave 2</t>
        </is>
      </c>
    </row>
    <row r="161">
      <c r="A161" s="34" t="n">
        <v>46051</v>
      </c>
      <c r="B161" s="30" t="inlineStr">
        <is>
          <t>SKU-057</t>
        </is>
      </c>
      <c r="C161" s="30" t="inlineStr">
        <is>
          <t>Studio Nine</t>
        </is>
      </c>
      <c r="D161" s="22" t="n">
        <v>3</v>
      </c>
      <c r="E161" s="24" t="n">
        <v>1.18</v>
      </c>
      <c r="F161" s="24" t="n">
        <v>2.74</v>
      </c>
      <c r="G161" s="35">
        <f>D161*E161+F161</f>
        <v/>
      </c>
      <c r="H161" s="30" t="inlineStr">
        <is>
          <t>Restock wave 2</t>
        </is>
      </c>
    </row>
    <row r="162">
      <c r="A162" s="34" t="n">
        <v>46051</v>
      </c>
      <c r="B162" s="30" t="inlineStr">
        <is>
          <t>SKU-058</t>
        </is>
      </c>
      <c r="C162" s="30" t="inlineStr">
        <is>
          <t>Studio Nine</t>
        </is>
      </c>
      <c r="D162" s="22" t="n">
        <v>4</v>
      </c>
      <c r="E162" s="24" t="n">
        <v>1.35</v>
      </c>
      <c r="F162" s="24" t="n">
        <v>3.09</v>
      </c>
      <c r="G162" s="35">
        <f>D162*E162+F162</f>
        <v/>
      </c>
      <c r="H162" s="30" t="inlineStr">
        <is>
          <t>Restock wave 2</t>
        </is>
      </c>
    </row>
    <row r="163">
      <c r="A163" s="34" t="n">
        <v>46051</v>
      </c>
      <c r="B163" s="30" t="inlineStr">
        <is>
          <t>SKU-059</t>
        </is>
      </c>
      <c r="C163" s="30" t="inlineStr">
        <is>
          <t>Studio Nine</t>
        </is>
      </c>
      <c r="D163" s="22" t="n">
        <v>5</v>
      </c>
      <c r="E163" s="24" t="n">
        <v>1.52</v>
      </c>
      <c r="F163" s="24" t="n">
        <v>3.44</v>
      </c>
      <c r="G163" s="35">
        <f>D163*E163+F163</f>
        <v/>
      </c>
      <c r="H163" s="30" t="inlineStr">
        <is>
          <t>Restock wave 2</t>
        </is>
      </c>
    </row>
    <row r="164">
      <c r="A164" s="34" t="n">
        <v>46051</v>
      </c>
      <c r="B164" s="30" t="inlineStr">
        <is>
          <t>SKU-060</t>
        </is>
      </c>
      <c r="C164" s="30" t="inlineStr">
        <is>
          <t>Studio Nine</t>
        </is>
      </c>
      <c r="D164" s="22" t="n">
        <v>6</v>
      </c>
      <c r="E164" s="24" t="n">
        <v>1.69</v>
      </c>
      <c r="F164" s="24" t="n">
        <v>3.79</v>
      </c>
      <c r="G164" s="35">
        <f>D164*E164+F164</f>
        <v/>
      </c>
      <c r="H164" s="30" t="inlineStr">
        <is>
          <t>Restock wave 2</t>
        </is>
      </c>
    </row>
    <row r="165">
      <c r="A165" s="34" t="n">
        <v>46051</v>
      </c>
      <c r="B165" s="30" t="inlineStr">
        <is>
          <t>SKU-061</t>
        </is>
      </c>
      <c r="C165" s="30" t="inlineStr">
        <is>
          <t>Harbor Supply</t>
        </is>
      </c>
      <c r="D165" s="22" t="n">
        <v>2</v>
      </c>
      <c r="E165" s="24" t="n">
        <v>3.56</v>
      </c>
      <c r="F165" s="24" t="n">
        <v>4.14</v>
      </c>
      <c r="G165" s="35">
        <f>D165*E165+F165</f>
        <v/>
      </c>
      <c r="H165" s="30" t="inlineStr">
        <is>
          <t>Restock wave 2</t>
        </is>
      </c>
    </row>
    <row r="166">
      <c r="A166" s="34" t="n">
        <v>46051</v>
      </c>
      <c r="B166" s="30" t="inlineStr">
        <is>
          <t>SKU-062</t>
        </is>
      </c>
      <c r="C166" s="30" t="inlineStr">
        <is>
          <t>Harbor Supply</t>
        </is>
      </c>
      <c r="D166" s="22" t="n">
        <v>3</v>
      </c>
      <c r="E166" s="24" t="n">
        <v>3.73</v>
      </c>
      <c r="F166" s="24" t="n">
        <v>2.04</v>
      </c>
      <c r="G166" s="35">
        <f>D166*E166+F166</f>
        <v/>
      </c>
      <c r="H166" s="30" t="inlineStr">
        <is>
          <t>Restock wave 2</t>
        </is>
      </c>
    </row>
    <row r="167">
      <c r="A167" s="34" t="n">
        <v>46052</v>
      </c>
      <c r="B167" s="30" t="inlineStr">
        <is>
          <t>SKU-063</t>
        </is>
      </c>
      <c r="C167" s="30" t="inlineStr">
        <is>
          <t>Harbor Supply</t>
        </is>
      </c>
      <c r="D167" s="22" t="n">
        <v>4</v>
      </c>
      <c r="E167" s="24" t="n">
        <v>3.9</v>
      </c>
      <c r="F167" s="24" t="n">
        <v>2.39</v>
      </c>
      <c r="G167" s="35">
        <f>D167*E167+F167</f>
        <v/>
      </c>
      <c r="H167" s="30" t="inlineStr">
        <is>
          <t>Restock wave 2</t>
        </is>
      </c>
    </row>
    <row r="168">
      <c r="A168" s="34" t="n">
        <v>46052</v>
      </c>
      <c r="B168" s="30" t="inlineStr">
        <is>
          <t>SKU-064</t>
        </is>
      </c>
      <c r="C168" s="30" t="inlineStr">
        <is>
          <t>Harbor Supply</t>
        </is>
      </c>
      <c r="D168" s="22" t="n">
        <v>5</v>
      </c>
      <c r="E168" s="24" t="n">
        <v>4.07</v>
      </c>
      <c r="F168" s="24" t="n">
        <v>2.74</v>
      </c>
      <c r="G168" s="35">
        <f>D168*E168+F168</f>
        <v/>
      </c>
      <c r="H168" s="30" t="inlineStr">
        <is>
          <t>Restock wave 2</t>
        </is>
      </c>
    </row>
    <row r="169">
      <c r="A169" s="34" t="n">
        <v>46052</v>
      </c>
      <c r="B169" s="30" t="inlineStr">
        <is>
          <t>SKU-065</t>
        </is>
      </c>
      <c r="C169" s="30" t="inlineStr">
        <is>
          <t>Harbor Supply</t>
        </is>
      </c>
      <c r="D169" s="22" t="n">
        <v>6</v>
      </c>
      <c r="E169" s="24" t="n">
        <v>4.24</v>
      </c>
      <c r="F169" s="24" t="n">
        <v>3.09</v>
      </c>
      <c r="G169" s="35">
        <f>D169*E169+F169</f>
        <v/>
      </c>
      <c r="H169" s="30" t="inlineStr">
        <is>
          <t>Restock wave 2</t>
        </is>
      </c>
    </row>
    <row r="170">
      <c r="A170" s="34" t="n">
        <v>46052</v>
      </c>
      <c r="B170" s="30" t="inlineStr">
        <is>
          <t>SKU-066</t>
        </is>
      </c>
      <c r="C170" s="30" t="inlineStr">
        <is>
          <t>Northstar Wholesale</t>
        </is>
      </c>
      <c r="D170" s="22" t="n">
        <v>2</v>
      </c>
      <c r="E170" s="24" t="n">
        <v>5.36</v>
      </c>
      <c r="F170" s="24" t="n">
        <v>3.44</v>
      </c>
      <c r="G170" s="35">
        <f>D170*E170+F170</f>
        <v/>
      </c>
      <c r="H170" s="30" t="inlineStr">
        <is>
          <t>Restock wave 2</t>
        </is>
      </c>
    </row>
    <row r="171">
      <c r="A171" s="34" t="n">
        <v>46052</v>
      </c>
      <c r="B171" s="30" t="inlineStr">
        <is>
          <t>SKU-067</t>
        </is>
      </c>
      <c r="C171" s="30" t="inlineStr">
        <is>
          <t>Northstar Wholesale</t>
        </is>
      </c>
      <c r="D171" s="22" t="n">
        <v>3</v>
      </c>
      <c r="E171" s="24" t="n">
        <v>5.53</v>
      </c>
      <c r="F171" s="24" t="n">
        <v>3.79</v>
      </c>
      <c r="G171" s="35">
        <f>D171*E171+F171</f>
        <v/>
      </c>
      <c r="H171" s="30" t="inlineStr">
        <is>
          <t>Restock wave 2</t>
        </is>
      </c>
    </row>
    <row r="172">
      <c r="A172" s="34" t="n">
        <v>46052</v>
      </c>
      <c r="B172" s="30" t="inlineStr">
        <is>
          <t>SKU-068</t>
        </is>
      </c>
      <c r="C172" s="30" t="inlineStr">
        <is>
          <t>Northstar Wholesale</t>
        </is>
      </c>
      <c r="D172" s="22" t="n">
        <v>4</v>
      </c>
      <c r="E172" s="24" t="n">
        <v>5.7</v>
      </c>
      <c r="F172" s="24" t="n">
        <v>4.14</v>
      </c>
      <c r="G172" s="35">
        <f>D172*E172+F172</f>
        <v/>
      </c>
      <c r="H172" s="30" t="inlineStr">
        <is>
          <t>Restock wave 2</t>
        </is>
      </c>
    </row>
    <row r="173">
      <c r="A173" s="34" t="n">
        <v>46053</v>
      </c>
      <c r="B173" s="30" t="inlineStr">
        <is>
          <t>SKU-069</t>
        </is>
      </c>
      <c r="C173" s="30" t="inlineStr">
        <is>
          <t>Northstar Wholesale</t>
        </is>
      </c>
      <c r="D173" s="22" t="n">
        <v>5</v>
      </c>
      <c r="E173" s="24" t="n">
        <v>5.87</v>
      </c>
      <c r="F173" s="24" t="n">
        <v>2.04</v>
      </c>
      <c r="G173" s="35">
        <f>D173*E173+F173</f>
        <v/>
      </c>
      <c r="H173" s="30" t="inlineStr">
        <is>
          <t>Restock wave 2</t>
        </is>
      </c>
    </row>
    <row r="174">
      <c r="A174" s="34" t="n">
        <v>46053</v>
      </c>
      <c r="B174" s="30" t="inlineStr">
        <is>
          <t>SKU-070</t>
        </is>
      </c>
      <c r="C174" s="30" t="inlineStr">
        <is>
          <t>Northstar Wholesale</t>
        </is>
      </c>
      <c r="D174" s="22" t="n">
        <v>6</v>
      </c>
      <c r="E174" s="24" t="n">
        <v>6.04</v>
      </c>
      <c r="F174" s="24" t="n">
        <v>2.39</v>
      </c>
      <c r="G174" s="35">
        <f>D174*E174+F174</f>
        <v/>
      </c>
      <c r="H174" s="30" t="inlineStr">
        <is>
          <t>Restock wave 2</t>
        </is>
      </c>
    </row>
    <row r="175">
      <c r="A175" s="34" t="n">
        <v>46053</v>
      </c>
      <c r="B175" s="30" t="inlineStr">
        <is>
          <t>SKU-071</t>
        </is>
      </c>
      <c r="C175" s="30" t="inlineStr">
        <is>
          <t>Paper Trail Co.</t>
        </is>
      </c>
      <c r="D175" s="22" t="n">
        <v>2</v>
      </c>
      <c r="E175" s="24" t="n">
        <v>0.74</v>
      </c>
      <c r="F175" s="24" t="n">
        <v>2.74</v>
      </c>
      <c r="G175" s="35">
        <f>D175*E175+F175</f>
        <v/>
      </c>
      <c r="H175" s="30" t="inlineStr">
        <is>
          <t>Restock wave 2</t>
        </is>
      </c>
    </row>
    <row r="176">
      <c r="A176" s="34" t="n">
        <v>46053</v>
      </c>
      <c r="B176" s="30" t="inlineStr">
        <is>
          <t>SKU-072</t>
        </is>
      </c>
      <c r="C176" s="30" t="inlineStr">
        <is>
          <t>Paper Trail Co.</t>
        </is>
      </c>
      <c r="D176" s="22" t="n">
        <v>3</v>
      </c>
      <c r="E176" s="24" t="n">
        <v>0.91</v>
      </c>
      <c r="F176" s="24" t="n">
        <v>3.09</v>
      </c>
      <c r="G176" s="35">
        <f>D176*E176+F176</f>
        <v/>
      </c>
      <c r="H176" s="30" t="inlineStr">
        <is>
          <t>Restock wave 2</t>
        </is>
      </c>
    </row>
    <row r="177">
      <c r="A177" s="34" t="n">
        <v>46053</v>
      </c>
      <c r="B177" s="30" t="inlineStr">
        <is>
          <t>SKU-073</t>
        </is>
      </c>
      <c r="C177" s="30" t="inlineStr">
        <is>
          <t>Paper Trail Co.</t>
        </is>
      </c>
      <c r="D177" s="22" t="n">
        <v>4</v>
      </c>
      <c r="E177" s="24" t="n">
        <v>1.08</v>
      </c>
      <c r="F177" s="24" t="n">
        <v>3.44</v>
      </c>
      <c r="G177" s="35">
        <f>D177*E177+F177</f>
        <v/>
      </c>
      <c r="H177" s="30" t="inlineStr">
        <is>
          <t>Restock wave 2</t>
        </is>
      </c>
    </row>
    <row r="178">
      <c r="A178" s="34" t="n">
        <v>46053</v>
      </c>
      <c r="B178" s="30" t="inlineStr">
        <is>
          <t>SKU-074</t>
        </is>
      </c>
      <c r="C178" s="30" t="inlineStr">
        <is>
          <t>Paper Trail Co.</t>
        </is>
      </c>
      <c r="D178" s="22" t="n">
        <v>5</v>
      </c>
      <c r="E178" s="24" t="n">
        <v>1.25</v>
      </c>
      <c r="F178" s="24" t="n">
        <v>3.79</v>
      </c>
      <c r="G178" s="35">
        <f>D178*E178+F178</f>
        <v/>
      </c>
      <c r="H178" s="30" t="inlineStr">
        <is>
          <t>Restock wave 2</t>
        </is>
      </c>
    </row>
    <row r="179">
      <c r="A179" s="34" t="n">
        <v>46054</v>
      </c>
      <c r="B179" s="30" t="inlineStr">
        <is>
          <t>SKU-075</t>
        </is>
      </c>
      <c r="C179" s="30" t="inlineStr">
        <is>
          <t>Paper Trail Co.</t>
        </is>
      </c>
      <c r="D179" s="22" t="n">
        <v>6</v>
      </c>
      <c r="E179" s="24" t="n">
        <v>1.42</v>
      </c>
      <c r="F179" s="24" t="n">
        <v>4.14</v>
      </c>
      <c r="G179" s="35">
        <f>D179*E179+F179</f>
        <v/>
      </c>
      <c r="H179" s="30" t="inlineStr">
        <is>
          <t>Restock wave 2</t>
        </is>
      </c>
    </row>
    <row r="180">
      <c r="A180" s="34" t="n">
        <v>46054</v>
      </c>
      <c r="B180" s="30" t="inlineStr">
        <is>
          <t>SKU-076</t>
        </is>
      </c>
      <c r="C180" s="30" t="inlineStr">
        <is>
          <t>Paper Trail Co.</t>
        </is>
      </c>
      <c r="D180" s="22" t="n">
        <v>2</v>
      </c>
      <c r="E180" s="24" t="n">
        <v>0.96</v>
      </c>
      <c r="F180" s="24" t="n">
        <v>2.04</v>
      </c>
      <c r="G180" s="35">
        <f>D180*E180+F180</f>
        <v/>
      </c>
      <c r="H180" s="30" t="inlineStr">
        <is>
          <t>Restock wave 2</t>
        </is>
      </c>
    </row>
    <row r="181">
      <c r="A181" s="34" t="n">
        <v>46054</v>
      </c>
      <c r="B181" s="30" t="inlineStr">
        <is>
          <t>SKU-077</t>
        </is>
      </c>
      <c r="C181" s="30" t="inlineStr">
        <is>
          <t>Paper Trail Co.</t>
        </is>
      </c>
      <c r="D181" s="22" t="n">
        <v>3</v>
      </c>
      <c r="E181" s="24" t="n">
        <v>1.13</v>
      </c>
      <c r="F181" s="24" t="n">
        <v>2.39</v>
      </c>
      <c r="G181" s="35">
        <f>D181*E181+F181</f>
        <v/>
      </c>
      <c r="H181" s="30" t="inlineStr">
        <is>
          <t>Restock wave 2</t>
        </is>
      </c>
    </row>
    <row r="182">
      <c r="A182" s="34" t="n">
        <v>46054</v>
      </c>
      <c r="B182" s="30" t="inlineStr">
        <is>
          <t>SKU-078</t>
        </is>
      </c>
      <c r="C182" s="30" t="inlineStr">
        <is>
          <t>Paper Trail Co.</t>
        </is>
      </c>
      <c r="D182" s="22" t="n">
        <v>4</v>
      </c>
      <c r="E182" s="24" t="n">
        <v>1.3</v>
      </c>
      <c r="F182" s="24" t="n">
        <v>2.74</v>
      </c>
      <c r="G182" s="35">
        <f>D182*E182+F182</f>
        <v/>
      </c>
      <c r="H182" s="30" t="inlineStr">
        <is>
          <t>Restock wave 2</t>
        </is>
      </c>
    </row>
    <row r="183">
      <c r="A183" s="34" t="n">
        <v>46054</v>
      </c>
      <c r="B183" s="30" t="inlineStr">
        <is>
          <t>SKU-079</t>
        </is>
      </c>
      <c r="C183" s="30" t="inlineStr">
        <is>
          <t>Paper Trail Co.</t>
        </is>
      </c>
      <c r="D183" s="22" t="n">
        <v>5</v>
      </c>
      <c r="E183" s="24" t="n">
        <v>1.47</v>
      </c>
      <c r="F183" s="24" t="n">
        <v>3.09</v>
      </c>
      <c r="G183" s="35">
        <f>D183*E183+F183</f>
        <v/>
      </c>
      <c r="H183" s="30" t="inlineStr">
        <is>
          <t>Restock wave 2</t>
        </is>
      </c>
    </row>
    <row r="184">
      <c r="A184" s="34" t="n">
        <v>46054</v>
      </c>
      <c r="B184" s="30" t="inlineStr">
        <is>
          <t>SKU-080</t>
        </is>
      </c>
      <c r="C184" s="30" t="inlineStr">
        <is>
          <t>Paper Trail Co.</t>
        </is>
      </c>
      <c r="D184" s="22" t="n">
        <v>6</v>
      </c>
      <c r="E184" s="24" t="n">
        <v>1.64</v>
      </c>
      <c r="F184" s="24" t="n">
        <v>3.44</v>
      </c>
      <c r="G184" s="35">
        <f>D184*E184+F184</f>
        <v/>
      </c>
      <c r="H184" s="30" t="inlineStr">
        <is>
          <t>Restock wave 2</t>
        </is>
      </c>
    </row>
    <row r="185">
      <c r="A185" s="34" t="n">
        <v>46055</v>
      </c>
      <c r="B185" s="30" t="inlineStr">
        <is>
          <t>SKU-081</t>
        </is>
      </c>
      <c r="C185" s="30" t="inlineStr">
        <is>
          <t>Luma Imports</t>
        </is>
      </c>
      <c r="D185" s="22" t="n">
        <v>2</v>
      </c>
      <c r="E185" s="24" t="n">
        <v>1.34</v>
      </c>
      <c r="F185" s="24" t="n">
        <v>3.79</v>
      </c>
      <c r="G185" s="35">
        <f>D185*E185+F185</f>
        <v/>
      </c>
      <c r="H185" s="30" t="inlineStr">
        <is>
          <t>Restock wave 2</t>
        </is>
      </c>
    </row>
    <row r="186">
      <c r="A186" s="34" t="n">
        <v>46055</v>
      </c>
      <c r="B186" s="30" t="inlineStr">
        <is>
          <t>SKU-082</t>
        </is>
      </c>
      <c r="C186" s="30" t="inlineStr">
        <is>
          <t>Luma Imports</t>
        </is>
      </c>
      <c r="D186" s="22" t="n">
        <v>3</v>
      </c>
      <c r="E186" s="24" t="n">
        <v>1.51</v>
      </c>
      <c r="F186" s="24" t="n">
        <v>4.14</v>
      </c>
      <c r="G186" s="35">
        <f>D186*E186+F186</f>
        <v/>
      </c>
      <c r="H186" s="30" t="inlineStr">
        <is>
          <t>Restock wave 2</t>
        </is>
      </c>
    </row>
    <row r="187">
      <c r="A187" s="34" t="n">
        <v>46055</v>
      </c>
      <c r="B187" s="30" t="inlineStr">
        <is>
          <t>SKU-083</t>
        </is>
      </c>
      <c r="C187" s="30" t="inlineStr">
        <is>
          <t>Luma Imports</t>
        </is>
      </c>
      <c r="D187" s="22" t="n">
        <v>4</v>
      </c>
      <c r="E187" s="24" t="n">
        <v>1.68</v>
      </c>
      <c r="F187" s="24" t="n">
        <v>2.04</v>
      </c>
      <c r="G187" s="35">
        <f>D187*E187+F187</f>
        <v/>
      </c>
      <c r="H187" s="30" t="inlineStr">
        <is>
          <t>Restock wave 2</t>
        </is>
      </c>
    </row>
    <row r="188">
      <c r="A188" s="34" t="n">
        <v>46055</v>
      </c>
      <c r="B188" s="30" t="inlineStr">
        <is>
          <t>SKU-084</t>
        </is>
      </c>
      <c r="C188" s="30" t="inlineStr">
        <is>
          <t>Luma Imports</t>
        </is>
      </c>
      <c r="D188" s="22" t="n">
        <v>5</v>
      </c>
      <c r="E188" s="24" t="n">
        <v>1.85</v>
      </c>
      <c r="F188" s="24" t="n">
        <v>2.39</v>
      </c>
      <c r="G188" s="35">
        <f>D188*E188+F188</f>
        <v/>
      </c>
      <c r="H188" s="30" t="inlineStr">
        <is>
          <t>Restock wave 2</t>
        </is>
      </c>
    </row>
    <row r="189">
      <c r="A189" s="34" t="n">
        <v>46055</v>
      </c>
      <c r="B189" s="30" t="inlineStr">
        <is>
          <t>SKU-085</t>
        </is>
      </c>
      <c r="C189" s="30" t="inlineStr">
        <is>
          <t>Luma Imports</t>
        </is>
      </c>
      <c r="D189" s="22" t="n">
        <v>6</v>
      </c>
      <c r="E189" s="24" t="n">
        <v>2.02</v>
      </c>
      <c r="F189" s="24" t="n">
        <v>2.74</v>
      </c>
      <c r="G189" s="35">
        <f>D189*E189+F189</f>
        <v/>
      </c>
      <c r="H189" s="30" t="inlineStr">
        <is>
          <t>Restock wave 2</t>
        </is>
      </c>
    </row>
    <row r="190">
      <c r="A190" s="34" t="n">
        <v>46055</v>
      </c>
      <c r="B190" s="30" t="inlineStr">
        <is>
          <t>SKU-086</t>
        </is>
      </c>
      <c r="C190" s="30" t="inlineStr">
        <is>
          <t>Studio Nine</t>
        </is>
      </c>
      <c r="D190" s="22" t="n">
        <v>2</v>
      </c>
      <c r="E190" s="24" t="n">
        <v>0.64</v>
      </c>
      <c r="F190" s="24" t="n">
        <v>3.09</v>
      </c>
      <c r="G190" s="35">
        <f>D190*E190+F190</f>
        <v/>
      </c>
      <c r="H190" s="30" t="inlineStr">
        <is>
          <t>Restock wave 2</t>
        </is>
      </c>
    </row>
    <row r="191">
      <c r="A191" s="34" t="n">
        <v>46056</v>
      </c>
      <c r="B191" s="30" t="inlineStr">
        <is>
          <t>SKU-087</t>
        </is>
      </c>
      <c r="C191" s="30" t="inlineStr">
        <is>
          <t>Studio Nine</t>
        </is>
      </c>
      <c r="D191" s="22" t="n">
        <v>3</v>
      </c>
      <c r="E191" s="24" t="n">
        <v>0.8100000000000001</v>
      </c>
      <c r="F191" s="24" t="n">
        <v>3.44</v>
      </c>
      <c r="G191" s="35">
        <f>D191*E191+F191</f>
        <v/>
      </c>
      <c r="H191" s="30" t="inlineStr">
        <is>
          <t>Restock wave 2</t>
        </is>
      </c>
    </row>
    <row r="192">
      <c r="A192" s="34" t="n">
        <v>46056</v>
      </c>
      <c r="B192" s="30" t="inlineStr">
        <is>
          <t>SKU-088</t>
        </is>
      </c>
      <c r="C192" s="30" t="inlineStr">
        <is>
          <t>Studio Nine</t>
        </is>
      </c>
      <c r="D192" s="22" t="n">
        <v>4</v>
      </c>
      <c r="E192" s="24" t="n">
        <v>0.98</v>
      </c>
      <c r="F192" s="24" t="n">
        <v>3.79</v>
      </c>
      <c r="G192" s="35">
        <f>D192*E192+F192</f>
        <v/>
      </c>
      <c r="H192" s="30" t="inlineStr">
        <is>
          <t>Restock wave 2</t>
        </is>
      </c>
    </row>
    <row r="193">
      <c r="A193" s="34" t="n">
        <v>46056</v>
      </c>
      <c r="B193" s="30" t="inlineStr">
        <is>
          <t>SKU-089</t>
        </is>
      </c>
      <c r="C193" s="30" t="inlineStr">
        <is>
          <t>Studio Nine</t>
        </is>
      </c>
      <c r="D193" s="22" t="n">
        <v>5</v>
      </c>
      <c r="E193" s="24" t="n">
        <v>1.15</v>
      </c>
      <c r="F193" s="24" t="n">
        <v>4.14</v>
      </c>
      <c r="G193" s="35">
        <f>D193*E193+F193</f>
        <v/>
      </c>
      <c r="H193" s="30" t="inlineStr">
        <is>
          <t>Restock wave 2</t>
        </is>
      </c>
    </row>
    <row r="194">
      <c r="A194" s="34" t="n">
        <v>46056</v>
      </c>
      <c r="B194" s="30" t="inlineStr">
        <is>
          <t>SKU-090</t>
        </is>
      </c>
      <c r="C194" s="30" t="inlineStr">
        <is>
          <t>Studio Nine</t>
        </is>
      </c>
      <c r="D194" s="22" t="n">
        <v>6</v>
      </c>
      <c r="E194" s="24" t="n">
        <v>1.32</v>
      </c>
      <c r="F194" s="24" t="n">
        <v>2.04</v>
      </c>
      <c r="G194" s="35">
        <f>D194*E194+F194</f>
        <v/>
      </c>
      <c r="H194" s="30" t="inlineStr">
        <is>
          <t>Restock wave 2</t>
        </is>
      </c>
    </row>
    <row r="195">
      <c r="A195" s="34" t="n">
        <v>46056</v>
      </c>
      <c r="B195" s="30" t="inlineStr">
        <is>
          <t>SKU-091</t>
        </is>
      </c>
      <c r="C195" s="30" t="inlineStr">
        <is>
          <t>Studio Nine</t>
        </is>
      </c>
      <c r="D195" s="22" t="n">
        <v>2</v>
      </c>
      <c r="E195" s="24" t="n">
        <v>3.14</v>
      </c>
      <c r="F195" s="24" t="n">
        <v>2.39</v>
      </c>
      <c r="G195" s="35">
        <f>D195*E195+F195</f>
        <v/>
      </c>
      <c r="H195" s="30" t="inlineStr">
        <is>
          <t>Restock wave 2</t>
        </is>
      </c>
    </row>
    <row r="196">
      <c r="A196" s="34" t="n">
        <v>46056</v>
      </c>
      <c r="B196" s="30" t="inlineStr">
        <is>
          <t>SKU-092</t>
        </is>
      </c>
      <c r="C196" s="30" t="inlineStr">
        <is>
          <t>Studio Nine</t>
        </is>
      </c>
      <c r="D196" s="22" t="n">
        <v>3</v>
      </c>
      <c r="E196" s="24" t="n">
        <v>3.31</v>
      </c>
      <c r="F196" s="24" t="n">
        <v>2.74</v>
      </c>
      <c r="G196" s="35">
        <f>D196*E196+F196</f>
        <v/>
      </c>
      <c r="H196" s="30" t="inlineStr">
        <is>
          <t>Restock wave 2</t>
        </is>
      </c>
    </row>
    <row r="197">
      <c r="A197" s="34" t="n">
        <v>46057</v>
      </c>
      <c r="B197" s="30" t="inlineStr">
        <is>
          <t>SKU-093</t>
        </is>
      </c>
      <c r="C197" s="30" t="inlineStr">
        <is>
          <t>Studio Nine</t>
        </is>
      </c>
      <c r="D197" s="22" t="n">
        <v>4</v>
      </c>
      <c r="E197" s="24" t="n">
        <v>3.48</v>
      </c>
      <c r="F197" s="24" t="n">
        <v>3.09</v>
      </c>
      <c r="G197" s="35">
        <f>D197*E197+F197</f>
        <v/>
      </c>
      <c r="H197" s="30" t="inlineStr">
        <is>
          <t>Restock wave 2</t>
        </is>
      </c>
    </row>
    <row r="198">
      <c r="A198" s="34" t="n">
        <v>46057</v>
      </c>
      <c r="B198" s="30" t="inlineStr">
        <is>
          <t>SKU-094</t>
        </is>
      </c>
      <c r="C198" s="30" t="inlineStr">
        <is>
          <t>Studio Nine</t>
        </is>
      </c>
      <c r="D198" s="22" t="n">
        <v>5</v>
      </c>
      <c r="E198" s="24" t="n">
        <v>3.65</v>
      </c>
      <c r="F198" s="24" t="n">
        <v>3.44</v>
      </c>
      <c r="G198" s="35">
        <f>D198*E198+F198</f>
        <v/>
      </c>
      <c r="H198" s="30" t="inlineStr">
        <is>
          <t>Restock wave 2</t>
        </is>
      </c>
    </row>
    <row r="199">
      <c r="A199" s="34" t="n">
        <v>46057</v>
      </c>
      <c r="B199" s="30" t="inlineStr">
        <is>
          <t>SKU-095</t>
        </is>
      </c>
      <c r="C199" s="30" t="inlineStr">
        <is>
          <t>Studio Nine</t>
        </is>
      </c>
      <c r="D199" s="22" t="n">
        <v>6</v>
      </c>
      <c r="E199" s="24" t="n">
        <v>3.82</v>
      </c>
      <c r="F199" s="24" t="n">
        <v>3.79</v>
      </c>
      <c r="G199" s="35">
        <f>D199*E199+F199</f>
        <v/>
      </c>
      <c r="H199" s="30" t="inlineStr">
        <is>
          <t>Restock wave 2</t>
        </is>
      </c>
    </row>
    <row r="200">
      <c r="A200" s="34" t="n">
        <v>46057</v>
      </c>
      <c r="B200" s="30" t="inlineStr">
        <is>
          <t>SKU-096</t>
        </is>
      </c>
      <c r="C200" s="30" t="inlineStr">
        <is>
          <t>Harbor Supply</t>
        </is>
      </c>
      <c r="D200" s="22" t="n">
        <v>2</v>
      </c>
      <c r="E200" s="24" t="n">
        <v>2.19</v>
      </c>
      <c r="F200" s="24" t="n">
        <v>4.14</v>
      </c>
      <c r="G200" s="35">
        <f>D200*E200+F200</f>
        <v/>
      </c>
      <c r="H200" s="30" t="inlineStr">
        <is>
          <t>Restock wave 2</t>
        </is>
      </c>
    </row>
    <row r="201">
      <c r="A201" s="34" t="n">
        <v>46057</v>
      </c>
      <c r="B201" s="30" t="inlineStr">
        <is>
          <t>SKU-097</t>
        </is>
      </c>
      <c r="C201" s="30" t="inlineStr">
        <is>
          <t>Harbor Supply</t>
        </is>
      </c>
      <c r="D201" s="22" t="n">
        <v>3</v>
      </c>
      <c r="E201" s="24" t="n">
        <v>2.36</v>
      </c>
      <c r="F201" s="24" t="n">
        <v>2.04</v>
      </c>
      <c r="G201" s="35">
        <f>D201*E201+F201</f>
        <v/>
      </c>
      <c r="H201" s="30" t="inlineStr">
        <is>
          <t>Restock wave 2</t>
        </is>
      </c>
    </row>
    <row r="202">
      <c r="A202" s="34" t="n">
        <v>46057</v>
      </c>
      <c r="B202" s="30" t="inlineStr">
        <is>
          <t>SKU-098</t>
        </is>
      </c>
      <c r="C202" s="30" t="inlineStr">
        <is>
          <t>Harbor Supply</t>
        </is>
      </c>
      <c r="D202" s="22" t="n">
        <v>4</v>
      </c>
      <c r="E202" s="24" t="n">
        <v>2.53</v>
      </c>
      <c r="F202" s="24" t="n">
        <v>2.39</v>
      </c>
      <c r="G202" s="35">
        <f>D202*E202+F202</f>
        <v/>
      </c>
      <c r="H202" s="30" t="inlineStr">
        <is>
          <t>Restock wave 2</t>
        </is>
      </c>
    </row>
    <row r="203">
      <c r="A203" s="34" t="n">
        <v>46058</v>
      </c>
      <c r="B203" s="30" t="inlineStr">
        <is>
          <t>SKU-099</t>
        </is>
      </c>
      <c r="C203" s="30" t="inlineStr">
        <is>
          <t>Harbor Supply</t>
        </is>
      </c>
      <c r="D203" s="22" t="n">
        <v>5</v>
      </c>
      <c r="E203" s="24" t="n">
        <v>2.7</v>
      </c>
      <c r="F203" s="24" t="n">
        <v>2.74</v>
      </c>
      <c r="G203" s="35">
        <f>D203*E203+F203</f>
        <v/>
      </c>
      <c r="H203" s="30" t="inlineStr">
        <is>
          <t>Restock wave 2</t>
        </is>
      </c>
    </row>
    <row r="204">
      <c r="A204" s="34" t="n">
        <v>46058</v>
      </c>
      <c r="B204" s="30" t="inlineStr">
        <is>
          <t>SKU-100</t>
        </is>
      </c>
      <c r="C204" s="30" t="inlineStr">
        <is>
          <t>Harbor Supply</t>
        </is>
      </c>
      <c r="D204" s="22" t="n">
        <v>6</v>
      </c>
      <c r="E204" s="24" t="n">
        <v>2.87</v>
      </c>
      <c r="F204" s="24" t="n">
        <v>3.09</v>
      </c>
      <c r="G204" s="35">
        <f>D204*E204+F204</f>
        <v/>
      </c>
      <c r="H204" s="30" t="inlineStr">
        <is>
          <t>Restock wave 2</t>
        </is>
      </c>
    </row>
    <row r="205">
      <c r="A205" s="34" t="n">
        <v>46058</v>
      </c>
      <c r="B205" s="30" t="inlineStr">
        <is>
          <t>SKU-001</t>
        </is>
      </c>
      <c r="C205" s="30" t="inlineStr">
        <is>
          <t>Northstar Wholesale</t>
        </is>
      </c>
      <c r="D205" s="22" t="n">
        <v>2</v>
      </c>
      <c r="E205" s="24" t="n">
        <v>0.95</v>
      </c>
      <c r="F205" s="24" t="n">
        <v>3.44</v>
      </c>
      <c r="G205" s="35">
        <f>D205*E205+F205</f>
        <v/>
      </c>
      <c r="H205" s="30" t="inlineStr">
        <is>
          <t>Restock wave 3</t>
        </is>
      </c>
    </row>
    <row r="206">
      <c r="A206" s="34" t="n">
        <v>46058</v>
      </c>
      <c r="B206" s="30" t="inlineStr">
        <is>
          <t>SKU-002</t>
        </is>
      </c>
      <c r="C206" s="30" t="inlineStr">
        <is>
          <t>Northstar Wholesale</t>
        </is>
      </c>
      <c r="D206" s="22" t="n">
        <v>3</v>
      </c>
      <c r="E206" s="24" t="n">
        <v>1.12</v>
      </c>
      <c r="F206" s="24" t="n">
        <v>3.79</v>
      </c>
      <c r="G206" s="35">
        <f>D206*E206+F206</f>
        <v/>
      </c>
      <c r="H206" s="30" t="inlineStr">
        <is>
          <t>Restock wave 3</t>
        </is>
      </c>
    </row>
    <row r="207">
      <c r="A207" s="34" t="n">
        <v>46058</v>
      </c>
      <c r="B207" s="30" t="inlineStr">
        <is>
          <t>SKU-003</t>
        </is>
      </c>
      <c r="C207" s="30" t="inlineStr">
        <is>
          <t>Northstar Wholesale</t>
        </is>
      </c>
      <c r="D207" s="22" t="n">
        <v>4</v>
      </c>
      <c r="E207" s="24" t="n">
        <v>1.29</v>
      </c>
      <c r="F207" s="24" t="n">
        <v>4.14</v>
      </c>
      <c r="G207" s="35">
        <f>D207*E207+F207</f>
        <v/>
      </c>
      <c r="H207" s="30" t="inlineStr">
        <is>
          <t>Restock wave 3</t>
        </is>
      </c>
    </row>
    <row r="208">
      <c r="A208" s="34" t="n">
        <v>46058</v>
      </c>
      <c r="B208" s="30" t="inlineStr">
        <is>
          <t>SKU-004</t>
        </is>
      </c>
      <c r="C208" s="30" t="inlineStr">
        <is>
          <t>Northstar Wholesale</t>
        </is>
      </c>
      <c r="D208" s="22" t="n">
        <v>5</v>
      </c>
      <c r="E208" s="24" t="n">
        <v>1.46</v>
      </c>
      <c r="F208" s="24" t="n">
        <v>2.04</v>
      </c>
      <c r="G208" s="35">
        <f>D208*E208+F208</f>
        <v/>
      </c>
      <c r="H208" s="30" t="inlineStr">
        <is>
          <t>Restock wave 3</t>
        </is>
      </c>
    </row>
    <row r="209">
      <c r="A209" s="34" t="n">
        <v>46059</v>
      </c>
      <c r="B209" s="30" t="inlineStr">
        <is>
          <t>SKU-005</t>
        </is>
      </c>
      <c r="C209" s="30" t="inlineStr">
        <is>
          <t>Northstar Wholesale</t>
        </is>
      </c>
      <c r="D209" s="22" t="n">
        <v>6</v>
      </c>
      <c r="E209" s="24" t="n">
        <v>1.63</v>
      </c>
      <c r="F209" s="24" t="n">
        <v>2.39</v>
      </c>
      <c r="G209" s="35">
        <f>D209*E209+F209</f>
        <v/>
      </c>
      <c r="H209" s="30" t="inlineStr">
        <is>
          <t>Restock wave 3</t>
        </is>
      </c>
    </row>
    <row r="210">
      <c r="A210" s="34" t="n">
        <v>46059</v>
      </c>
      <c r="B210" s="30" t="inlineStr">
        <is>
          <t>SKU-006</t>
        </is>
      </c>
      <c r="C210" s="30" t="inlineStr">
        <is>
          <t>Harbor Supply</t>
        </is>
      </c>
      <c r="D210" s="22" t="n">
        <v>2</v>
      </c>
      <c r="E210" s="24" t="n">
        <v>2.1</v>
      </c>
      <c r="F210" s="24" t="n">
        <v>2.74</v>
      </c>
      <c r="G210" s="35">
        <f>D210*E210+F210</f>
        <v/>
      </c>
      <c r="H210" s="30" t="inlineStr">
        <is>
          <t>Restock wave 3</t>
        </is>
      </c>
    </row>
    <row r="211">
      <c r="A211" s="34" t="n">
        <v>46059</v>
      </c>
      <c r="B211" s="30" t="inlineStr">
        <is>
          <t>SKU-007</t>
        </is>
      </c>
      <c r="C211" s="30" t="inlineStr">
        <is>
          <t>Harbor Supply</t>
        </is>
      </c>
      <c r="D211" s="22" t="n">
        <v>3</v>
      </c>
      <c r="E211" s="24" t="n">
        <v>2.27</v>
      </c>
      <c r="F211" s="24" t="n">
        <v>3.09</v>
      </c>
      <c r="G211" s="35">
        <f>D211*E211+F211</f>
        <v/>
      </c>
      <c r="H211" s="30" t="inlineStr">
        <is>
          <t>Restock wave 3</t>
        </is>
      </c>
    </row>
    <row r="212">
      <c r="A212" s="34" t="n">
        <v>46059</v>
      </c>
      <c r="B212" s="30" t="inlineStr">
        <is>
          <t>SKU-008</t>
        </is>
      </c>
      <c r="C212" s="30" t="inlineStr">
        <is>
          <t>Harbor Supply</t>
        </is>
      </c>
      <c r="D212" s="22" t="n">
        <v>4</v>
      </c>
      <c r="E212" s="24" t="n">
        <v>2.44</v>
      </c>
      <c r="F212" s="24" t="n">
        <v>3.44</v>
      </c>
      <c r="G212" s="35">
        <f>D212*E212+F212</f>
        <v/>
      </c>
      <c r="H212" s="30" t="inlineStr">
        <is>
          <t>Restock wave 3</t>
        </is>
      </c>
    </row>
    <row r="213">
      <c r="A213" s="34" t="n">
        <v>46059</v>
      </c>
      <c r="B213" s="30" t="inlineStr">
        <is>
          <t>SKU-009</t>
        </is>
      </c>
      <c r="C213" s="30" t="inlineStr">
        <is>
          <t>Harbor Supply</t>
        </is>
      </c>
      <c r="D213" s="22" t="n">
        <v>5</v>
      </c>
      <c r="E213" s="24" t="n">
        <v>2.61</v>
      </c>
      <c r="F213" s="24" t="n">
        <v>3.79</v>
      </c>
      <c r="G213" s="35">
        <f>D213*E213+F213</f>
        <v/>
      </c>
      <c r="H213" s="30" t="inlineStr">
        <is>
          <t>Restock wave 3</t>
        </is>
      </c>
    </row>
    <row r="214">
      <c r="A214" s="34" t="n">
        <v>46059</v>
      </c>
      <c r="B214" s="30" t="inlineStr">
        <is>
          <t>SKU-010</t>
        </is>
      </c>
      <c r="C214" s="30" t="inlineStr">
        <is>
          <t>Harbor Supply</t>
        </is>
      </c>
      <c r="D214" s="22" t="n">
        <v>6</v>
      </c>
      <c r="E214" s="24" t="n">
        <v>2.78</v>
      </c>
      <c r="F214" s="24" t="n">
        <v>4.14</v>
      </c>
      <c r="G214" s="35">
        <f>D214*E214+F214</f>
        <v/>
      </c>
      <c r="H214" s="30" t="inlineStr">
        <is>
          <t>Restock wave 3</t>
        </is>
      </c>
    </row>
    <row r="215">
      <c r="A215" s="34" t="n">
        <v>46060</v>
      </c>
      <c r="B215" s="30" t="inlineStr">
        <is>
          <t>SKU-011</t>
        </is>
      </c>
      <c r="C215" s="30" t="inlineStr">
        <is>
          <t>Paper Trail Co.</t>
        </is>
      </c>
      <c r="D215" s="22" t="n">
        <v>2</v>
      </c>
      <c r="E215" s="24" t="n">
        <v>1.25</v>
      </c>
      <c r="F215" s="24" t="n">
        <v>2.04</v>
      </c>
      <c r="G215" s="35">
        <f>D215*E215+F215</f>
        <v/>
      </c>
      <c r="H215" s="30" t="inlineStr">
        <is>
          <t>Restock wave 3</t>
        </is>
      </c>
    </row>
    <row r="216">
      <c r="A216" s="34" t="n">
        <v>46060</v>
      </c>
      <c r="B216" s="30" t="inlineStr">
        <is>
          <t>SKU-012</t>
        </is>
      </c>
      <c r="C216" s="30" t="inlineStr">
        <is>
          <t>Paper Trail Co.</t>
        </is>
      </c>
      <c r="D216" s="22" t="n">
        <v>3</v>
      </c>
      <c r="E216" s="24" t="n">
        <v>1.42</v>
      </c>
      <c r="F216" s="24" t="n">
        <v>2.39</v>
      </c>
      <c r="G216" s="35">
        <f>D216*E216+F216</f>
        <v/>
      </c>
      <c r="H216" s="30" t="inlineStr">
        <is>
          <t>Restock wave 3</t>
        </is>
      </c>
    </row>
    <row r="217">
      <c r="A217" s="34" t="n">
        <v>46060</v>
      </c>
      <c r="B217" s="30" t="inlineStr">
        <is>
          <t>SKU-013</t>
        </is>
      </c>
      <c r="C217" s="30" t="inlineStr">
        <is>
          <t>Paper Trail Co.</t>
        </is>
      </c>
      <c r="D217" s="22" t="n">
        <v>4</v>
      </c>
      <c r="E217" s="24" t="n">
        <v>1.59</v>
      </c>
      <c r="F217" s="24" t="n">
        <v>2.74</v>
      </c>
      <c r="G217" s="35">
        <f>D217*E217+F217</f>
        <v/>
      </c>
      <c r="H217" s="30" t="inlineStr">
        <is>
          <t>Restock wave 3</t>
        </is>
      </c>
    </row>
    <row r="218">
      <c r="A218" s="34" t="n">
        <v>46060</v>
      </c>
      <c r="B218" s="30" t="inlineStr">
        <is>
          <t>SKU-014</t>
        </is>
      </c>
      <c r="C218" s="30" t="inlineStr">
        <is>
          <t>Paper Trail Co.</t>
        </is>
      </c>
      <c r="D218" s="22" t="n">
        <v>5</v>
      </c>
      <c r="E218" s="24" t="n">
        <v>1.76</v>
      </c>
      <c r="F218" s="24" t="n">
        <v>3.09</v>
      </c>
      <c r="G218" s="35">
        <f>D218*E218+F218</f>
        <v/>
      </c>
      <c r="H218" s="30" t="inlineStr">
        <is>
          <t>Restock wave 3</t>
        </is>
      </c>
    </row>
    <row r="219">
      <c r="A219" s="34" t="n">
        <v>46060</v>
      </c>
      <c r="B219" s="30" t="inlineStr">
        <is>
          <t>SKU-015</t>
        </is>
      </c>
      <c r="C219" s="30" t="inlineStr">
        <is>
          <t>Paper Trail Co.</t>
        </is>
      </c>
      <c r="D219" s="22" t="n">
        <v>6</v>
      </c>
      <c r="E219" s="24" t="n">
        <v>1.93</v>
      </c>
      <c r="F219" s="24" t="n">
        <v>3.44</v>
      </c>
      <c r="G219" s="35">
        <f>D219*E219+F219</f>
        <v/>
      </c>
      <c r="H219" s="30" t="inlineStr">
        <is>
          <t>Restock wave 3</t>
        </is>
      </c>
    </row>
    <row r="220">
      <c r="A220" s="34" t="n">
        <v>46060</v>
      </c>
      <c r="B220" s="30" t="inlineStr">
        <is>
          <t>SKU-016</t>
        </is>
      </c>
      <c r="C220" s="30" t="inlineStr">
        <is>
          <t>Paper Trail Co.</t>
        </is>
      </c>
      <c r="D220" s="22" t="n">
        <v>2</v>
      </c>
      <c r="E220" s="24" t="n">
        <v>0.22</v>
      </c>
      <c r="F220" s="24" t="n">
        <v>3.79</v>
      </c>
      <c r="G220" s="35">
        <f>D220*E220+F220</f>
        <v/>
      </c>
      <c r="H220" s="30" t="inlineStr">
        <is>
          <t>Restock wave 3</t>
        </is>
      </c>
    </row>
    <row r="221">
      <c r="A221" s="34" t="n">
        <v>46061</v>
      </c>
      <c r="B221" s="30" t="inlineStr">
        <is>
          <t>SKU-017</t>
        </is>
      </c>
      <c r="C221" s="30" t="inlineStr">
        <is>
          <t>Paper Trail Co.</t>
        </is>
      </c>
      <c r="D221" s="22" t="n">
        <v>3</v>
      </c>
      <c r="E221" s="24" t="n">
        <v>0.39</v>
      </c>
      <c r="F221" s="24" t="n">
        <v>4.14</v>
      </c>
      <c r="G221" s="35">
        <f>D221*E221+F221</f>
        <v/>
      </c>
      <c r="H221" s="30" t="inlineStr">
        <is>
          <t>Restock wave 3</t>
        </is>
      </c>
    </row>
    <row r="222">
      <c r="A222" s="34" t="n">
        <v>46061</v>
      </c>
      <c r="B222" s="30" t="inlineStr">
        <is>
          <t>SKU-018</t>
        </is>
      </c>
      <c r="C222" s="30" t="inlineStr">
        <is>
          <t>Paper Trail Co.</t>
        </is>
      </c>
      <c r="D222" s="22" t="n">
        <v>4</v>
      </c>
      <c r="E222" s="24" t="n">
        <v>0.5600000000000001</v>
      </c>
      <c r="F222" s="24" t="n">
        <v>2.04</v>
      </c>
      <c r="G222" s="35">
        <f>D222*E222+F222</f>
        <v/>
      </c>
      <c r="H222" s="30" t="inlineStr">
        <is>
          <t>Restock wave 3</t>
        </is>
      </c>
    </row>
    <row r="223">
      <c r="A223" s="34" t="n">
        <v>46061</v>
      </c>
      <c r="B223" s="30" t="inlineStr">
        <is>
          <t>SKU-019</t>
        </is>
      </c>
      <c r="C223" s="30" t="inlineStr">
        <is>
          <t>Paper Trail Co.</t>
        </is>
      </c>
      <c r="D223" s="22" t="n">
        <v>5</v>
      </c>
      <c r="E223" s="24" t="n">
        <v>0.73</v>
      </c>
      <c r="F223" s="24" t="n">
        <v>2.39</v>
      </c>
      <c r="G223" s="35">
        <f>D223*E223+F223</f>
        <v/>
      </c>
      <c r="H223" s="30" t="inlineStr">
        <is>
          <t>Restock wave 3</t>
        </is>
      </c>
    </row>
    <row r="224">
      <c r="A224" s="34" t="n">
        <v>46061</v>
      </c>
      <c r="B224" s="30" t="inlineStr">
        <is>
          <t>SKU-020</t>
        </is>
      </c>
      <c r="C224" s="30" t="inlineStr">
        <is>
          <t>Paper Trail Co.</t>
        </is>
      </c>
      <c r="D224" s="22" t="n">
        <v>6</v>
      </c>
      <c r="E224" s="24" t="n">
        <v>0.9</v>
      </c>
      <c r="F224" s="24" t="n">
        <v>2.74</v>
      </c>
      <c r="G224" s="35">
        <f>D224*E224+F224</f>
        <v/>
      </c>
      <c r="H224" s="30" t="inlineStr">
        <is>
          <t>Restock wave 3</t>
        </is>
      </c>
    </row>
    <row r="225">
      <c r="A225" s="34" t="n">
        <v>46061</v>
      </c>
      <c r="B225" s="30" t="inlineStr">
        <is>
          <t>SKU-021</t>
        </is>
      </c>
      <c r="C225" s="30" t="inlineStr">
        <is>
          <t>Northstar Wholesale</t>
        </is>
      </c>
      <c r="D225" s="22" t="n">
        <v>2</v>
      </c>
      <c r="E225" s="24" t="n">
        <v>3.1</v>
      </c>
      <c r="F225" s="24" t="n">
        <v>3.09</v>
      </c>
      <c r="G225" s="35">
        <f>D225*E225+F225</f>
        <v/>
      </c>
      <c r="H225" s="30" t="inlineStr">
        <is>
          <t>Restock wave 3</t>
        </is>
      </c>
    </row>
    <row r="226">
      <c r="A226" s="34" t="n">
        <v>46061</v>
      </c>
      <c r="B226" s="30" t="inlineStr">
        <is>
          <t>SKU-022</t>
        </is>
      </c>
      <c r="C226" s="30" t="inlineStr">
        <is>
          <t>Northstar Wholesale</t>
        </is>
      </c>
      <c r="D226" s="22" t="n">
        <v>3</v>
      </c>
      <c r="E226" s="24" t="n">
        <v>3.27</v>
      </c>
      <c r="F226" s="24" t="n">
        <v>3.44</v>
      </c>
      <c r="G226" s="35">
        <f>D226*E226+F226</f>
        <v/>
      </c>
      <c r="H226" s="30" t="inlineStr">
        <is>
          <t>Restock wave 3</t>
        </is>
      </c>
    </row>
    <row r="227">
      <c r="A227" s="34" t="n">
        <v>46062</v>
      </c>
      <c r="B227" s="30" t="inlineStr">
        <is>
          <t>SKU-023</t>
        </is>
      </c>
      <c r="C227" s="30" t="inlineStr">
        <is>
          <t>Northstar Wholesale</t>
        </is>
      </c>
      <c r="D227" s="22" t="n">
        <v>4</v>
      </c>
      <c r="E227" s="24" t="n">
        <v>3.44</v>
      </c>
      <c r="F227" s="24" t="n">
        <v>3.79</v>
      </c>
      <c r="G227" s="35">
        <f>D227*E227+F227</f>
        <v/>
      </c>
      <c r="H227" s="30" t="inlineStr">
        <is>
          <t>Restock wave 3</t>
        </is>
      </c>
    </row>
    <row r="228">
      <c r="A228" s="34" t="n">
        <v>46062</v>
      </c>
      <c r="B228" s="30" t="inlineStr">
        <is>
          <t>SKU-024</t>
        </is>
      </c>
      <c r="C228" s="30" t="inlineStr">
        <is>
          <t>Northstar Wholesale</t>
        </is>
      </c>
      <c r="D228" s="22" t="n">
        <v>5</v>
      </c>
      <c r="E228" s="24" t="n">
        <v>3.61</v>
      </c>
      <c r="F228" s="24" t="n">
        <v>4.14</v>
      </c>
      <c r="G228" s="35">
        <f>D228*E228+F228</f>
        <v/>
      </c>
      <c r="H228" s="30" t="inlineStr">
        <is>
          <t>Restock wave 3</t>
        </is>
      </c>
    </row>
    <row r="229">
      <c r="A229" s="34" t="n">
        <v>46062</v>
      </c>
      <c r="B229" s="30" t="inlineStr">
        <is>
          <t>SKU-025</t>
        </is>
      </c>
      <c r="C229" s="30" t="inlineStr">
        <is>
          <t>Northstar Wholesale</t>
        </is>
      </c>
      <c r="D229" s="22" t="n">
        <v>6</v>
      </c>
      <c r="E229" s="24" t="n">
        <v>3.78</v>
      </c>
      <c r="F229" s="24" t="n">
        <v>2.04</v>
      </c>
      <c r="G229" s="35">
        <f>D229*E229+F229</f>
        <v/>
      </c>
      <c r="H229" s="30" t="inlineStr">
        <is>
          <t>Restock wave 3</t>
        </is>
      </c>
    </row>
    <row r="230">
      <c r="A230" s="34" t="n">
        <v>46062</v>
      </c>
      <c r="B230" s="30" t="inlineStr">
        <is>
          <t>SKU-026</t>
        </is>
      </c>
      <c r="C230" s="30" t="inlineStr">
        <is>
          <t>Luma Imports</t>
        </is>
      </c>
      <c r="D230" s="22" t="n">
        <v>2</v>
      </c>
      <c r="E230" s="24" t="n">
        <v>0.5600000000000001</v>
      </c>
      <c r="F230" s="24" t="n">
        <v>2.51</v>
      </c>
      <c r="G230" s="35">
        <f>D230*E230+F230</f>
        <v/>
      </c>
      <c r="H230" s="30" t="inlineStr">
        <is>
          <t>Restock wave 3</t>
        </is>
      </c>
    </row>
    <row r="231">
      <c r="A231" s="34" t="n">
        <v>46062</v>
      </c>
      <c r="B231" s="30" t="inlineStr">
        <is>
          <t>SKU-027</t>
        </is>
      </c>
      <c r="C231" s="30" t="inlineStr">
        <is>
          <t>Luma Imports</t>
        </is>
      </c>
      <c r="D231" s="22" t="n">
        <v>3</v>
      </c>
      <c r="E231" s="24" t="n">
        <v>0.73</v>
      </c>
      <c r="F231" s="24" t="n">
        <v>2.86</v>
      </c>
      <c r="G231" s="35">
        <f>D231*E231+F231</f>
        <v/>
      </c>
      <c r="H231" s="30" t="inlineStr">
        <is>
          <t>Restock wave 3</t>
        </is>
      </c>
    </row>
    <row r="232">
      <c r="A232" s="34" t="n">
        <v>46062</v>
      </c>
      <c r="B232" s="30" t="inlineStr">
        <is>
          <t>SKU-028</t>
        </is>
      </c>
      <c r="C232" s="30" t="inlineStr">
        <is>
          <t>Luma Imports</t>
        </is>
      </c>
      <c r="D232" s="22" t="n">
        <v>4</v>
      </c>
      <c r="E232" s="24" t="n">
        <v>0.9</v>
      </c>
      <c r="F232" s="24" t="n">
        <v>3.21</v>
      </c>
      <c r="G232" s="35">
        <f>D232*E232+F232</f>
        <v/>
      </c>
      <c r="H232" s="30" t="inlineStr">
        <is>
          <t>Restock wave 3</t>
        </is>
      </c>
    </row>
    <row r="233">
      <c r="A233" s="34" t="n">
        <v>46063</v>
      </c>
      <c r="B233" s="30" t="inlineStr">
        <is>
          <t>SKU-029</t>
        </is>
      </c>
      <c r="C233" s="30" t="inlineStr">
        <is>
          <t>Luma Imports</t>
        </is>
      </c>
      <c r="D233" s="22" t="n">
        <v>5</v>
      </c>
      <c r="E233" s="24" t="n">
        <v>1.07</v>
      </c>
      <c r="F233" s="24" t="n">
        <v>3.56</v>
      </c>
      <c r="G233" s="35">
        <f>D233*E233+F233</f>
        <v/>
      </c>
      <c r="H233" s="30" t="inlineStr">
        <is>
          <t>Restock wave 3</t>
        </is>
      </c>
    </row>
    <row r="234">
      <c r="A234" s="34" t="n">
        <v>46063</v>
      </c>
      <c r="B234" s="30" t="inlineStr">
        <is>
          <t>SKU-030</t>
        </is>
      </c>
      <c r="C234" s="30" t="inlineStr">
        <is>
          <t>Luma Imports</t>
        </is>
      </c>
      <c r="D234" s="22" t="n">
        <v>6</v>
      </c>
      <c r="E234" s="24" t="n">
        <v>1.24</v>
      </c>
      <c r="F234" s="24" t="n">
        <v>3.91</v>
      </c>
      <c r="G234" s="35">
        <f>D234*E234+F234</f>
        <v/>
      </c>
      <c r="H234" s="30" t="inlineStr">
        <is>
          <t>Restock wave 3</t>
        </is>
      </c>
    </row>
    <row r="235">
      <c r="A235" s="34" t="n">
        <v>46063</v>
      </c>
      <c r="B235" s="30" t="inlineStr">
        <is>
          <t>SKU-031</t>
        </is>
      </c>
      <c r="C235" s="30" t="inlineStr">
        <is>
          <t>Harbor Supply</t>
        </is>
      </c>
      <c r="D235" s="22" t="n">
        <v>2</v>
      </c>
      <c r="E235" s="24" t="n">
        <v>4.33</v>
      </c>
      <c r="F235" s="24" t="n">
        <v>4.26</v>
      </c>
      <c r="G235" s="35">
        <f>D235*E235+F235</f>
        <v/>
      </c>
      <c r="H235" s="30" t="inlineStr">
        <is>
          <t>Restock wave 3</t>
        </is>
      </c>
    </row>
    <row r="236">
      <c r="A236" s="34" t="n">
        <v>46063</v>
      </c>
      <c r="B236" s="30" t="inlineStr">
        <is>
          <t>SKU-032</t>
        </is>
      </c>
      <c r="C236" s="30" t="inlineStr">
        <is>
          <t>Harbor Supply</t>
        </is>
      </c>
      <c r="D236" s="22" t="n">
        <v>3</v>
      </c>
      <c r="E236" s="24" t="n">
        <v>4.5</v>
      </c>
      <c r="F236" s="24" t="n">
        <v>2.16</v>
      </c>
      <c r="G236" s="35">
        <f>D236*E236+F236</f>
        <v/>
      </c>
      <c r="H236" s="30" t="inlineStr">
        <is>
          <t>Restock wave 3</t>
        </is>
      </c>
    </row>
    <row r="237">
      <c r="A237" s="34" t="n">
        <v>46063</v>
      </c>
      <c r="B237" s="30" t="inlineStr">
        <is>
          <t>SKU-033</t>
        </is>
      </c>
      <c r="C237" s="30" t="inlineStr">
        <is>
          <t>Harbor Supply</t>
        </is>
      </c>
      <c r="D237" s="22" t="n">
        <v>4</v>
      </c>
      <c r="E237" s="24" t="n">
        <v>4.67</v>
      </c>
      <c r="F237" s="24" t="n">
        <v>2.51</v>
      </c>
      <c r="G237" s="35">
        <f>D237*E237+F237</f>
        <v/>
      </c>
      <c r="H237" s="30" t="inlineStr">
        <is>
          <t>Restock wave 3</t>
        </is>
      </c>
    </row>
    <row r="238">
      <c r="A238" s="34" t="n">
        <v>46063</v>
      </c>
      <c r="B238" s="30" t="inlineStr">
        <is>
          <t>SKU-034</t>
        </is>
      </c>
      <c r="C238" s="30" t="inlineStr">
        <is>
          <t>Harbor Supply</t>
        </is>
      </c>
      <c r="D238" s="22" t="n">
        <v>5</v>
      </c>
      <c r="E238" s="24" t="n">
        <v>4.84</v>
      </c>
      <c r="F238" s="24" t="n">
        <v>2.86</v>
      </c>
      <c r="G238" s="35">
        <f>D238*E238+F238</f>
        <v/>
      </c>
      <c r="H238" s="30" t="inlineStr">
        <is>
          <t>Restock wave 3</t>
        </is>
      </c>
    </row>
    <row r="239">
      <c r="A239" s="34" t="n">
        <v>46064</v>
      </c>
      <c r="B239" s="30" t="inlineStr">
        <is>
          <t>SKU-035</t>
        </is>
      </c>
      <c r="C239" s="30" t="inlineStr">
        <is>
          <t>Harbor Supply</t>
        </is>
      </c>
      <c r="D239" s="22" t="n">
        <v>6</v>
      </c>
      <c r="E239" s="24" t="n">
        <v>5.01</v>
      </c>
      <c r="F239" s="24" t="n">
        <v>3.21</v>
      </c>
      <c r="G239" s="35">
        <f>D239*E239+F239</f>
        <v/>
      </c>
      <c r="H239" s="30" t="inlineStr">
        <is>
          <t>Restock wave 3</t>
        </is>
      </c>
    </row>
    <row r="240">
      <c r="A240" s="34" t="n">
        <v>46064</v>
      </c>
      <c r="B240" s="30" t="inlineStr">
        <is>
          <t>SKU-036</t>
        </is>
      </c>
      <c r="C240" s="30" t="inlineStr">
        <is>
          <t>Studio Nine</t>
        </is>
      </c>
      <c r="D240" s="22" t="n">
        <v>2</v>
      </c>
      <c r="E240" s="24" t="n">
        <v>1.88</v>
      </c>
      <c r="F240" s="24" t="n">
        <v>3.56</v>
      </c>
      <c r="G240" s="35">
        <f>D240*E240+F240</f>
        <v/>
      </c>
      <c r="H240" s="30" t="inlineStr">
        <is>
          <t>Restock wave 3</t>
        </is>
      </c>
    </row>
    <row r="241">
      <c r="A241" s="34" t="n">
        <v>46064</v>
      </c>
      <c r="B241" s="30" t="inlineStr">
        <is>
          <t>SKU-037</t>
        </is>
      </c>
      <c r="C241" s="30" t="inlineStr">
        <is>
          <t>Studio Nine</t>
        </is>
      </c>
      <c r="D241" s="22" t="n">
        <v>3</v>
      </c>
      <c r="E241" s="24" t="n">
        <v>2.05</v>
      </c>
      <c r="F241" s="24" t="n">
        <v>3.91</v>
      </c>
      <c r="G241" s="35">
        <f>D241*E241+F241</f>
        <v/>
      </c>
      <c r="H241" s="30" t="inlineStr">
        <is>
          <t>Restock wave 3</t>
        </is>
      </c>
    </row>
    <row r="242">
      <c r="A242" s="34" t="n">
        <v>46064</v>
      </c>
      <c r="B242" s="30" t="inlineStr">
        <is>
          <t>SKU-038</t>
        </is>
      </c>
      <c r="C242" s="30" t="inlineStr">
        <is>
          <t>Studio Nine</t>
        </is>
      </c>
      <c r="D242" s="22" t="n">
        <v>4</v>
      </c>
      <c r="E242" s="24" t="n">
        <v>2.22</v>
      </c>
      <c r="F242" s="24" t="n">
        <v>4.26</v>
      </c>
      <c r="G242" s="35">
        <f>D242*E242+F242</f>
        <v/>
      </c>
      <c r="H242" s="30" t="inlineStr">
        <is>
          <t>Restock wave 3</t>
        </is>
      </c>
    </row>
    <row r="243">
      <c r="A243" s="34" t="n">
        <v>46064</v>
      </c>
      <c r="B243" s="30" t="inlineStr">
        <is>
          <t>SKU-039</t>
        </is>
      </c>
      <c r="C243" s="30" t="inlineStr">
        <is>
          <t>Studio Nine</t>
        </is>
      </c>
      <c r="D243" s="22" t="n">
        <v>5</v>
      </c>
      <c r="E243" s="24" t="n">
        <v>2.39</v>
      </c>
      <c r="F243" s="24" t="n">
        <v>2.16</v>
      </c>
      <c r="G243" s="35">
        <f>D243*E243+F243</f>
        <v/>
      </c>
      <c r="H243" s="30" t="inlineStr">
        <is>
          <t>Restock wave 3</t>
        </is>
      </c>
    </row>
    <row r="244">
      <c r="A244" s="34" t="n">
        <v>46064</v>
      </c>
      <c r="B244" s="30" t="inlineStr">
        <is>
          <t>SKU-040</t>
        </is>
      </c>
      <c r="C244" s="30" t="inlineStr">
        <is>
          <t>Studio Nine</t>
        </is>
      </c>
      <c r="D244" s="22" t="n">
        <v>6</v>
      </c>
      <c r="E244" s="24" t="n">
        <v>2.56</v>
      </c>
      <c r="F244" s="24" t="n">
        <v>2.51</v>
      </c>
      <c r="G244" s="35">
        <f>D244*E244+F244</f>
        <v/>
      </c>
      <c r="H244" s="30" t="inlineStr">
        <is>
          <t>Restock wave 3</t>
        </is>
      </c>
    </row>
    <row r="245">
      <c r="A245" s="34" t="n">
        <v>46065</v>
      </c>
      <c r="B245" s="30" t="inlineStr">
        <is>
          <t>SKU-041</t>
        </is>
      </c>
      <c r="C245" s="30" t="inlineStr">
        <is>
          <t>Luma Imports</t>
        </is>
      </c>
      <c r="D245" s="22" t="n">
        <v>2</v>
      </c>
      <c r="E245" s="24" t="n">
        <v>0.7</v>
      </c>
      <c r="F245" s="24" t="n">
        <v>2.86</v>
      </c>
      <c r="G245" s="35">
        <f>D245*E245+F245</f>
        <v/>
      </c>
      <c r="H245" s="30" t="inlineStr">
        <is>
          <t>Restock wave 3</t>
        </is>
      </c>
    </row>
    <row r="246">
      <c r="A246" s="34" t="n">
        <v>46065</v>
      </c>
      <c r="B246" s="30" t="inlineStr">
        <is>
          <t>SKU-042</t>
        </is>
      </c>
      <c r="C246" s="30" t="inlineStr">
        <is>
          <t>Luma Imports</t>
        </is>
      </c>
      <c r="D246" s="22" t="n">
        <v>3</v>
      </c>
      <c r="E246" s="24" t="n">
        <v>0.87</v>
      </c>
      <c r="F246" s="24" t="n">
        <v>3.21</v>
      </c>
      <c r="G246" s="35">
        <f>D246*E246+F246</f>
        <v/>
      </c>
      <c r="H246" s="30" t="inlineStr">
        <is>
          <t>Restock wave 3</t>
        </is>
      </c>
    </row>
    <row r="247">
      <c r="A247" s="34" t="n">
        <v>46065</v>
      </c>
      <c r="B247" s="30" t="inlineStr">
        <is>
          <t>SKU-043</t>
        </is>
      </c>
      <c r="C247" s="30" t="inlineStr">
        <is>
          <t>Luma Imports</t>
        </is>
      </c>
      <c r="D247" s="22" t="n">
        <v>4</v>
      </c>
      <c r="E247" s="24" t="n">
        <v>1.04</v>
      </c>
      <c r="F247" s="24" t="n">
        <v>3.56</v>
      </c>
      <c r="G247" s="35">
        <f>D247*E247+F247</f>
        <v/>
      </c>
      <c r="H247" s="30" t="inlineStr">
        <is>
          <t>Restock wave 3</t>
        </is>
      </c>
    </row>
    <row r="248">
      <c r="A248" s="34" t="n">
        <v>46065</v>
      </c>
      <c r="B248" s="30" t="inlineStr">
        <is>
          <t>SKU-044</t>
        </is>
      </c>
      <c r="C248" s="30" t="inlineStr">
        <is>
          <t>Luma Imports</t>
        </is>
      </c>
      <c r="D248" s="22" t="n">
        <v>5</v>
      </c>
      <c r="E248" s="24" t="n">
        <v>1.21</v>
      </c>
      <c r="F248" s="24" t="n">
        <v>3.91</v>
      </c>
      <c r="G248" s="35">
        <f>D248*E248+F248</f>
        <v/>
      </c>
      <c r="H248" s="30" t="inlineStr">
        <is>
          <t>Restock wave 3</t>
        </is>
      </c>
    </row>
    <row r="249">
      <c r="A249" s="34" t="n">
        <v>46065</v>
      </c>
      <c r="B249" s="30" t="inlineStr">
        <is>
          <t>SKU-045</t>
        </is>
      </c>
      <c r="C249" s="30" t="inlineStr">
        <is>
          <t>Luma Imports</t>
        </is>
      </c>
      <c r="D249" s="22" t="n">
        <v>6</v>
      </c>
      <c r="E249" s="24" t="n">
        <v>1.38</v>
      </c>
      <c r="F249" s="24" t="n">
        <v>4.26</v>
      </c>
      <c r="G249" s="35">
        <f>D249*E249+F249</f>
        <v/>
      </c>
      <c r="H249" s="30" t="inlineStr">
        <is>
          <t>Restock wave 3</t>
        </is>
      </c>
    </row>
    <row r="250">
      <c r="A250" s="34" t="n">
        <v>46065</v>
      </c>
      <c r="B250" s="30" t="inlineStr">
        <is>
          <t>SKU-046</t>
        </is>
      </c>
      <c r="C250" s="30" t="inlineStr">
        <is>
          <t>Northstar Wholesale</t>
        </is>
      </c>
      <c r="D250" s="22" t="n">
        <v>2</v>
      </c>
      <c r="E250" s="24" t="n">
        <v>1.78</v>
      </c>
      <c r="F250" s="24" t="n">
        <v>2.16</v>
      </c>
      <c r="G250" s="35">
        <f>D250*E250+F250</f>
        <v/>
      </c>
      <c r="H250" s="30" t="inlineStr">
        <is>
          <t>Restock wave 3</t>
        </is>
      </c>
    </row>
    <row r="251">
      <c r="A251" s="34" t="n">
        <v>46066</v>
      </c>
      <c r="B251" s="30" t="inlineStr">
        <is>
          <t>SKU-047</t>
        </is>
      </c>
      <c r="C251" s="30" t="inlineStr">
        <is>
          <t>Northstar Wholesale</t>
        </is>
      </c>
      <c r="D251" s="22" t="n">
        <v>3</v>
      </c>
      <c r="E251" s="24" t="n">
        <v>1.95</v>
      </c>
      <c r="F251" s="24" t="n">
        <v>2.51</v>
      </c>
      <c r="G251" s="35">
        <f>D251*E251+F251</f>
        <v/>
      </c>
      <c r="H251" s="30" t="inlineStr">
        <is>
          <t>Restock wave 3</t>
        </is>
      </c>
    </row>
    <row r="252">
      <c r="A252" s="34" t="n">
        <v>46066</v>
      </c>
      <c r="B252" s="30" t="inlineStr">
        <is>
          <t>SKU-048</t>
        </is>
      </c>
      <c r="C252" s="30" t="inlineStr">
        <is>
          <t>Northstar Wholesale</t>
        </is>
      </c>
      <c r="D252" s="22" t="n">
        <v>4</v>
      </c>
      <c r="E252" s="24" t="n">
        <v>2.12</v>
      </c>
      <c r="F252" s="24" t="n">
        <v>2.86</v>
      </c>
      <c r="G252" s="35">
        <f>D252*E252+F252</f>
        <v/>
      </c>
      <c r="H252" s="30" t="inlineStr">
        <is>
          <t>Restock wave 3</t>
        </is>
      </c>
    </row>
    <row r="253">
      <c r="A253" s="34" t="n">
        <v>46066</v>
      </c>
      <c r="B253" s="30" t="inlineStr">
        <is>
          <t>SKU-049</t>
        </is>
      </c>
      <c r="C253" s="30" t="inlineStr">
        <is>
          <t>Northstar Wholesale</t>
        </is>
      </c>
      <c r="D253" s="22" t="n">
        <v>5</v>
      </c>
      <c r="E253" s="24" t="n">
        <v>2.29</v>
      </c>
      <c r="F253" s="24" t="n">
        <v>3.21</v>
      </c>
      <c r="G253" s="35">
        <f>D253*E253+F253</f>
        <v/>
      </c>
      <c r="H253" s="30" t="inlineStr">
        <is>
          <t>Restock wave 3</t>
        </is>
      </c>
    </row>
    <row r="254">
      <c r="A254" s="34" t="n">
        <v>46066</v>
      </c>
      <c r="B254" s="30" t="inlineStr">
        <is>
          <t>SKU-050</t>
        </is>
      </c>
      <c r="C254" s="30" t="inlineStr">
        <is>
          <t>Northstar Wholesale</t>
        </is>
      </c>
      <c r="D254" s="22" t="n">
        <v>6</v>
      </c>
      <c r="E254" s="24" t="n">
        <v>2.46</v>
      </c>
      <c r="F254" s="24" t="n">
        <v>3.56</v>
      </c>
      <c r="G254" s="35">
        <f>D254*E254+F254</f>
        <v/>
      </c>
      <c r="H254" s="30" t="inlineStr">
        <is>
          <t>Restock wave 3</t>
        </is>
      </c>
    </row>
    <row r="255">
      <c r="A255" s="34" t="n">
        <v>46066</v>
      </c>
      <c r="B255" s="30" t="inlineStr">
        <is>
          <t>SKU-051</t>
        </is>
      </c>
      <c r="C255" s="30" t="inlineStr">
        <is>
          <t>Paper Trail Co.</t>
        </is>
      </c>
      <c r="D255" s="22" t="n">
        <v>2</v>
      </c>
      <c r="E255" s="24" t="n">
        <v>2.46</v>
      </c>
      <c r="F255" s="24" t="n">
        <v>3.91</v>
      </c>
      <c r="G255" s="35">
        <f>D255*E255+F255</f>
        <v/>
      </c>
      <c r="H255" s="30" t="inlineStr">
        <is>
          <t>Restock wave 3</t>
        </is>
      </c>
    </row>
    <row r="256">
      <c r="A256" s="34" t="n">
        <v>46066</v>
      </c>
      <c r="B256" s="30" t="inlineStr">
        <is>
          <t>SKU-052</t>
        </is>
      </c>
      <c r="C256" s="30" t="inlineStr">
        <is>
          <t>Paper Trail Co.</t>
        </is>
      </c>
      <c r="D256" s="22" t="n">
        <v>3</v>
      </c>
      <c r="E256" s="24" t="n">
        <v>2.63</v>
      </c>
      <c r="F256" s="24" t="n">
        <v>4.26</v>
      </c>
      <c r="G256" s="35">
        <f>D256*E256+F256</f>
        <v/>
      </c>
      <c r="H256" s="30" t="inlineStr">
        <is>
          <t>Restock wave 3</t>
        </is>
      </c>
    </row>
    <row r="257">
      <c r="A257" s="34" t="n">
        <v>46067</v>
      </c>
      <c r="B257" s="30" t="inlineStr">
        <is>
          <t>SKU-053</t>
        </is>
      </c>
      <c r="C257" s="30" t="inlineStr">
        <is>
          <t>Paper Trail Co.</t>
        </is>
      </c>
      <c r="D257" s="22" t="n">
        <v>4</v>
      </c>
      <c r="E257" s="24" t="n">
        <v>2.8</v>
      </c>
      <c r="F257" s="24" t="n">
        <v>2.16</v>
      </c>
      <c r="G257" s="35">
        <f>D257*E257+F257</f>
        <v/>
      </c>
      <c r="H257" s="30" t="inlineStr">
        <is>
          <t>Restock wave 3</t>
        </is>
      </c>
    </row>
    <row r="258">
      <c r="A258" s="34" t="n">
        <v>46067</v>
      </c>
      <c r="B258" s="30" t="inlineStr">
        <is>
          <t>SKU-054</t>
        </is>
      </c>
      <c r="C258" s="30" t="inlineStr">
        <is>
          <t>Paper Trail Co.</t>
        </is>
      </c>
      <c r="D258" s="22" t="n">
        <v>5</v>
      </c>
      <c r="E258" s="24" t="n">
        <v>2.97</v>
      </c>
      <c r="F258" s="24" t="n">
        <v>2.51</v>
      </c>
      <c r="G258" s="35">
        <f>D258*E258+F258</f>
        <v/>
      </c>
      <c r="H258" s="30" t="inlineStr">
        <is>
          <t>Restock wave 3</t>
        </is>
      </c>
    </row>
    <row r="259">
      <c r="A259" s="34" t="n">
        <v>46067</v>
      </c>
      <c r="B259" s="30" t="inlineStr">
        <is>
          <t>SKU-055</t>
        </is>
      </c>
      <c r="C259" s="30" t="inlineStr">
        <is>
          <t>Paper Trail Co.</t>
        </is>
      </c>
      <c r="D259" s="22" t="n">
        <v>6</v>
      </c>
      <c r="E259" s="24" t="n">
        <v>3.14</v>
      </c>
      <c r="F259" s="24" t="n">
        <v>2.86</v>
      </c>
      <c r="G259" s="35">
        <f>D259*E259+F259</f>
        <v/>
      </c>
      <c r="H259" s="30" t="inlineStr">
        <is>
          <t>Restock wave 3</t>
        </is>
      </c>
    </row>
    <row r="260">
      <c r="A260" s="34" t="n">
        <v>46067</v>
      </c>
      <c r="B260" s="30" t="inlineStr">
        <is>
          <t>SKU-056</t>
        </is>
      </c>
      <c r="C260" s="30" t="inlineStr">
        <is>
          <t>Studio Nine</t>
        </is>
      </c>
      <c r="D260" s="22" t="n">
        <v>2</v>
      </c>
      <c r="E260" s="24" t="n">
        <v>1.01</v>
      </c>
      <c r="F260" s="24" t="n">
        <v>3.21</v>
      </c>
      <c r="G260" s="35">
        <f>D260*E260+F260</f>
        <v/>
      </c>
      <c r="H260" s="30" t="inlineStr">
        <is>
          <t>Restock wave 3</t>
        </is>
      </c>
    </row>
    <row r="261">
      <c r="A261" s="34" t="n">
        <v>46067</v>
      </c>
      <c r="B261" s="30" t="inlineStr">
        <is>
          <t>SKU-057</t>
        </is>
      </c>
      <c r="C261" s="30" t="inlineStr">
        <is>
          <t>Studio Nine</t>
        </is>
      </c>
      <c r="D261" s="22" t="n">
        <v>3</v>
      </c>
      <c r="E261" s="24" t="n">
        <v>1.18</v>
      </c>
      <c r="F261" s="24" t="n">
        <v>3.56</v>
      </c>
      <c r="G261" s="35">
        <f>D261*E261+F261</f>
        <v/>
      </c>
      <c r="H261" s="30" t="inlineStr">
        <is>
          <t>Restock wave 3</t>
        </is>
      </c>
    </row>
    <row r="262">
      <c r="A262" s="34" t="n">
        <v>46067</v>
      </c>
      <c r="B262" s="30" t="inlineStr">
        <is>
          <t>SKU-058</t>
        </is>
      </c>
      <c r="C262" s="30" t="inlineStr">
        <is>
          <t>Studio Nine</t>
        </is>
      </c>
      <c r="D262" s="22" t="n">
        <v>4</v>
      </c>
      <c r="E262" s="24" t="n">
        <v>1.35</v>
      </c>
      <c r="F262" s="24" t="n">
        <v>3.91</v>
      </c>
      <c r="G262" s="35">
        <f>D262*E262+F262</f>
        <v/>
      </c>
      <c r="H262" s="30" t="inlineStr">
        <is>
          <t>Restock wave 3</t>
        </is>
      </c>
    </row>
    <row r="263">
      <c r="A263" s="34" t="n">
        <v>46068</v>
      </c>
      <c r="B263" s="30" t="inlineStr">
        <is>
          <t>SKU-059</t>
        </is>
      </c>
      <c r="C263" s="30" t="inlineStr">
        <is>
          <t>Studio Nine</t>
        </is>
      </c>
      <c r="D263" s="22" t="n">
        <v>5</v>
      </c>
      <c r="E263" s="24" t="n">
        <v>1.52</v>
      </c>
      <c r="F263" s="24" t="n">
        <v>4.26</v>
      </c>
      <c r="G263" s="35">
        <f>D263*E263+F263</f>
        <v/>
      </c>
      <c r="H263" s="30" t="inlineStr">
        <is>
          <t>Restock wave 3</t>
        </is>
      </c>
    </row>
    <row r="264">
      <c r="A264" s="34" t="n">
        <v>46068</v>
      </c>
      <c r="B264" s="30" t="inlineStr">
        <is>
          <t>SKU-060</t>
        </is>
      </c>
      <c r="C264" s="30" t="inlineStr">
        <is>
          <t>Studio Nine</t>
        </is>
      </c>
      <c r="D264" s="22" t="n">
        <v>6</v>
      </c>
      <c r="E264" s="24" t="n">
        <v>1.69</v>
      </c>
      <c r="F264" s="24" t="n">
        <v>2.16</v>
      </c>
      <c r="G264" s="35">
        <f>D264*E264+F264</f>
        <v/>
      </c>
      <c r="H264" s="30" t="inlineStr">
        <is>
          <t>Restock wave 3</t>
        </is>
      </c>
    </row>
    <row r="265">
      <c r="A265" s="34" t="n">
        <v>46068</v>
      </c>
      <c r="B265" s="30" t="inlineStr">
        <is>
          <t>SKU-061</t>
        </is>
      </c>
      <c r="C265" s="30" t="inlineStr">
        <is>
          <t>Harbor Supply</t>
        </is>
      </c>
      <c r="D265" s="22" t="n">
        <v>2</v>
      </c>
      <c r="E265" s="24" t="n">
        <v>3.56</v>
      </c>
      <c r="F265" s="24" t="n">
        <v>2.51</v>
      </c>
      <c r="G265" s="35">
        <f>D265*E265+F265</f>
        <v/>
      </c>
      <c r="H265" s="30" t="inlineStr">
        <is>
          <t>Restock wave 3</t>
        </is>
      </c>
    </row>
    <row r="266">
      <c r="A266" s="34" t="n">
        <v>46068</v>
      </c>
      <c r="B266" s="30" t="inlineStr">
        <is>
          <t>SKU-062</t>
        </is>
      </c>
      <c r="C266" s="30" t="inlineStr">
        <is>
          <t>Harbor Supply</t>
        </is>
      </c>
      <c r="D266" s="22" t="n">
        <v>3</v>
      </c>
      <c r="E266" s="24" t="n">
        <v>3.73</v>
      </c>
      <c r="F266" s="24" t="n">
        <v>2.86</v>
      </c>
      <c r="G266" s="35">
        <f>D266*E266+F266</f>
        <v/>
      </c>
      <c r="H266" s="30" t="inlineStr">
        <is>
          <t>Restock wave 3</t>
        </is>
      </c>
    </row>
    <row r="267">
      <c r="A267" s="34" t="n">
        <v>46068</v>
      </c>
      <c r="B267" s="30" t="inlineStr">
        <is>
          <t>SKU-063</t>
        </is>
      </c>
      <c r="C267" s="30" t="inlineStr">
        <is>
          <t>Harbor Supply</t>
        </is>
      </c>
      <c r="D267" s="22" t="n">
        <v>4</v>
      </c>
      <c r="E267" s="24" t="n">
        <v>3.9</v>
      </c>
      <c r="F267" s="24" t="n">
        <v>3.21</v>
      </c>
      <c r="G267" s="35">
        <f>D267*E267+F267</f>
        <v/>
      </c>
      <c r="H267" s="30" t="inlineStr">
        <is>
          <t>Restock wave 3</t>
        </is>
      </c>
    </row>
    <row r="268">
      <c r="A268" s="34" t="n">
        <v>46068</v>
      </c>
      <c r="B268" s="30" t="inlineStr">
        <is>
          <t>SKU-064</t>
        </is>
      </c>
      <c r="C268" s="30" t="inlineStr">
        <is>
          <t>Harbor Supply</t>
        </is>
      </c>
      <c r="D268" s="22" t="n">
        <v>5</v>
      </c>
      <c r="E268" s="24" t="n">
        <v>4.07</v>
      </c>
      <c r="F268" s="24" t="n">
        <v>3.56</v>
      </c>
      <c r="G268" s="35">
        <f>D268*E268+F268</f>
        <v/>
      </c>
      <c r="H268" s="30" t="inlineStr">
        <is>
          <t>Restock wave 3</t>
        </is>
      </c>
    </row>
    <row r="269">
      <c r="A269" s="34" t="n">
        <v>46069</v>
      </c>
      <c r="B269" s="30" t="inlineStr">
        <is>
          <t>SKU-065</t>
        </is>
      </c>
      <c r="C269" s="30" t="inlineStr">
        <is>
          <t>Harbor Supply</t>
        </is>
      </c>
      <c r="D269" s="22" t="n">
        <v>6</v>
      </c>
      <c r="E269" s="24" t="n">
        <v>4.24</v>
      </c>
      <c r="F269" s="24" t="n">
        <v>3.91</v>
      </c>
      <c r="G269" s="35">
        <f>D269*E269+F269</f>
        <v/>
      </c>
      <c r="H269" s="30" t="inlineStr">
        <is>
          <t>Restock wave 3</t>
        </is>
      </c>
    </row>
    <row r="270">
      <c r="A270" s="34" t="n">
        <v>46069</v>
      </c>
      <c r="B270" s="30" t="inlineStr">
        <is>
          <t>SKU-066</t>
        </is>
      </c>
      <c r="C270" s="30" t="inlineStr">
        <is>
          <t>Northstar Wholesale</t>
        </is>
      </c>
      <c r="D270" s="22" t="n">
        <v>2</v>
      </c>
      <c r="E270" s="24" t="n">
        <v>5.36</v>
      </c>
      <c r="F270" s="24" t="n">
        <v>4.26</v>
      </c>
      <c r="G270" s="35">
        <f>D270*E270+F270</f>
        <v/>
      </c>
      <c r="H270" s="30" t="inlineStr">
        <is>
          <t>Restock wave 3</t>
        </is>
      </c>
    </row>
    <row r="271">
      <c r="A271" s="34" t="n">
        <v>46069</v>
      </c>
      <c r="B271" s="30" t="inlineStr">
        <is>
          <t>SKU-067</t>
        </is>
      </c>
      <c r="C271" s="30" t="inlineStr">
        <is>
          <t>Northstar Wholesale</t>
        </is>
      </c>
      <c r="D271" s="22" t="n">
        <v>3</v>
      </c>
      <c r="E271" s="24" t="n">
        <v>5.53</v>
      </c>
      <c r="F271" s="24" t="n">
        <v>2.16</v>
      </c>
      <c r="G271" s="35">
        <f>D271*E271+F271</f>
        <v/>
      </c>
      <c r="H271" s="30" t="inlineStr">
        <is>
          <t>Restock wave 3</t>
        </is>
      </c>
    </row>
    <row r="272">
      <c r="A272" s="34" t="n">
        <v>46069</v>
      </c>
      <c r="B272" s="30" t="inlineStr">
        <is>
          <t>SKU-068</t>
        </is>
      </c>
      <c r="C272" s="30" t="inlineStr">
        <is>
          <t>Northstar Wholesale</t>
        </is>
      </c>
      <c r="D272" s="22" t="n">
        <v>4</v>
      </c>
      <c r="E272" s="24" t="n">
        <v>5.7</v>
      </c>
      <c r="F272" s="24" t="n">
        <v>2.51</v>
      </c>
      <c r="G272" s="35">
        <f>D272*E272+F272</f>
        <v/>
      </c>
      <c r="H272" s="30" t="inlineStr">
        <is>
          <t>Restock wave 3</t>
        </is>
      </c>
    </row>
    <row r="273">
      <c r="A273" s="34" t="n">
        <v>46069</v>
      </c>
      <c r="B273" s="30" t="inlineStr">
        <is>
          <t>SKU-069</t>
        </is>
      </c>
      <c r="C273" s="30" t="inlineStr">
        <is>
          <t>Northstar Wholesale</t>
        </is>
      </c>
      <c r="D273" s="22" t="n">
        <v>5</v>
      </c>
      <c r="E273" s="24" t="n">
        <v>5.87</v>
      </c>
      <c r="F273" s="24" t="n">
        <v>2.86</v>
      </c>
      <c r="G273" s="35">
        <f>D273*E273+F273</f>
        <v/>
      </c>
      <c r="H273" s="30" t="inlineStr">
        <is>
          <t>Restock wave 3</t>
        </is>
      </c>
    </row>
    <row r="274">
      <c r="A274" s="34" t="n">
        <v>46069</v>
      </c>
      <c r="B274" s="30" t="inlineStr">
        <is>
          <t>SKU-070</t>
        </is>
      </c>
      <c r="C274" s="30" t="inlineStr">
        <is>
          <t>Northstar Wholesale</t>
        </is>
      </c>
      <c r="D274" s="22" t="n">
        <v>6</v>
      </c>
      <c r="E274" s="24" t="n">
        <v>6.04</v>
      </c>
      <c r="F274" s="24" t="n">
        <v>3.21</v>
      </c>
      <c r="G274" s="35">
        <f>D274*E274+F274</f>
        <v/>
      </c>
      <c r="H274" s="30" t="inlineStr">
        <is>
          <t>Restock wave 3</t>
        </is>
      </c>
    </row>
    <row r="275">
      <c r="A275" s="34" t="n">
        <v>46070</v>
      </c>
      <c r="B275" s="30" t="inlineStr">
        <is>
          <t>SKU-071</t>
        </is>
      </c>
      <c r="C275" s="30" t="inlineStr">
        <is>
          <t>Paper Trail Co.</t>
        </is>
      </c>
      <c r="D275" s="22" t="n">
        <v>2</v>
      </c>
      <c r="E275" s="24" t="n">
        <v>0.74</v>
      </c>
      <c r="F275" s="24" t="n">
        <v>3.56</v>
      </c>
      <c r="G275" s="35">
        <f>D275*E275+F275</f>
        <v/>
      </c>
      <c r="H275" s="30" t="inlineStr">
        <is>
          <t>Restock wave 3</t>
        </is>
      </c>
    </row>
    <row r="276">
      <c r="A276" s="34" t="n">
        <v>46070</v>
      </c>
      <c r="B276" s="30" t="inlineStr">
        <is>
          <t>SKU-072</t>
        </is>
      </c>
      <c r="C276" s="30" t="inlineStr">
        <is>
          <t>Paper Trail Co.</t>
        </is>
      </c>
      <c r="D276" s="22" t="n">
        <v>3</v>
      </c>
      <c r="E276" s="24" t="n">
        <v>0.91</v>
      </c>
      <c r="F276" s="24" t="n">
        <v>3.91</v>
      </c>
      <c r="G276" s="35">
        <f>D276*E276+F276</f>
        <v/>
      </c>
      <c r="H276" s="30" t="inlineStr">
        <is>
          <t>Restock wave 3</t>
        </is>
      </c>
    </row>
    <row r="277">
      <c r="A277" s="34" t="n">
        <v>46070</v>
      </c>
      <c r="B277" s="30" t="inlineStr">
        <is>
          <t>SKU-073</t>
        </is>
      </c>
      <c r="C277" s="30" t="inlineStr">
        <is>
          <t>Paper Trail Co.</t>
        </is>
      </c>
      <c r="D277" s="22" t="n">
        <v>4</v>
      </c>
      <c r="E277" s="24" t="n">
        <v>1.08</v>
      </c>
      <c r="F277" s="24" t="n">
        <v>4.26</v>
      </c>
      <c r="G277" s="35">
        <f>D277*E277+F277</f>
        <v/>
      </c>
      <c r="H277" s="30" t="inlineStr">
        <is>
          <t>Restock wave 3</t>
        </is>
      </c>
    </row>
    <row r="278">
      <c r="A278" s="34" t="n">
        <v>46070</v>
      </c>
      <c r="B278" s="30" t="inlineStr">
        <is>
          <t>SKU-074</t>
        </is>
      </c>
      <c r="C278" s="30" t="inlineStr">
        <is>
          <t>Paper Trail Co.</t>
        </is>
      </c>
      <c r="D278" s="22" t="n">
        <v>5</v>
      </c>
      <c r="E278" s="24" t="n">
        <v>1.25</v>
      </c>
      <c r="F278" s="24" t="n">
        <v>2.16</v>
      </c>
      <c r="G278" s="35">
        <f>D278*E278+F278</f>
        <v/>
      </c>
      <c r="H278" s="30" t="inlineStr">
        <is>
          <t>Restock wave 3</t>
        </is>
      </c>
    </row>
    <row r="279">
      <c r="A279" s="34" t="n">
        <v>46070</v>
      </c>
      <c r="B279" s="30" t="inlineStr">
        <is>
          <t>SKU-075</t>
        </is>
      </c>
      <c r="C279" s="30" t="inlineStr">
        <is>
          <t>Paper Trail Co.</t>
        </is>
      </c>
      <c r="D279" s="22" t="n">
        <v>6</v>
      </c>
      <c r="E279" s="24" t="n">
        <v>1.42</v>
      </c>
      <c r="F279" s="24" t="n">
        <v>2.51</v>
      </c>
      <c r="G279" s="35">
        <f>D279*E279+F279</f>
        <v/>
      </c>
      <c r="H279" s="30" t="inlineStr">
        <is>
          <t>Restock wave 3</t>
        </is>
      </c>
    </row>
    <row r="280">
      <c r="A280" s="34" t="n">
        <v>46070</v>
      </c>
      <c r="B280" s="30" t="inlineStr">
        <is>
          <t>SKU-076</t>
        </is>
      </c>
      <c r="C280" s="30" t="inlineStr">
        <is>
          <t>Paper Trail Co.</t>
        </is>
      </c>
      <c r="D280" s="22" t="n">
        <v>2</v>
      </c>
      <c r="E280" s="24" t="n">
        <v>0.96</v>
      </c>
      <c r="F280" s="24" t="n">
        <v>2.86</v>
      </c>
      <c r="G280" s="35">
        <f>D280*E280+F280</f>
        <v/>
      </c>
      <c r="H280" s="30" t="inlineStr">
        <is>
          <t>Restock wave 3</t>
        </is>
      </c>
    </row>
    <row r="281">
      <c r="A281" s="34" t="n">
        <v>46071</v>
      </c>
      <c r="B281" s="30" t="inlineStr">
        <is>
          <t>SKU-077</t>
        </is>
      </c>
      <c r="C281" s="30" t="inlineStr">
        <is>
          <t>Paper Trail Co.</t>
        </is>
      </c>
      <c r="D281" s="22" t="n">
        <v>3</v>
      </c>
      <c r="E281" s="24" t="n">
        <v>1.13</v>
      </c>
      <c r="F281" s="24" t="n">
        <v>3.21</v>
      </c>
      <c r="G281" s="35">
        <f>D281*E281+F281</f>
        <v/>
      </c>
      <c r="H281" s="30" t="inlineStr">
        <is>
          <t>Restock wave 3</t>
        </is>
      </c>
    </row>
    <row r="282">
      <c r="A282" s="34" t="n">
        <v>46071</v>
      </c>
      <c r="B282" s="30" t="inlineStr">
        <is>
          <t>SKU-078</t>
        </is>
      </c>
      <c r="C282" s="30" t="inlineStr">
        <is>
          <t>Paper Trail Co.</t>
        </is>
      </c>
      <c r="D282" s="22" t="n">
        <v>4</v>
      </c>
      <c r="E282" s="24" t="n">
        <v>1.3</v>
      </c>
      <c r="F282" s="24" t="n">
        <v>3.56</v>
      </c>
      <c r="G282" s="35">
        <f>D282*E282+F282</f>
        <v/>
      </c>
      <c r="H282" s="30" t="inlineStr">
        <is>
          <t>Restock wave 3</t>
        </is>
      </c>
    </row>
    <row r="283">
      <c r="A283" s="34" t="n">
        <v>46071</v>
      </c>
      <c r="B283" s="30" t="inlineStr">
        <is>
          <t>SKU-079</t>
        </is>
      </c>
      <c r="C283" s="30" t="inlineStr">
        <is>
          <t>Paper Trail Co.</t>
        </is>
      </c>
      <c r="D283" s="22" t="n">
        <v>5</v>
      </c>
      <c r="E283" s="24" t="n">
        <v>1.47</v>
      </c>
      <c r="F283" s="24" t="n">
        <v>3.91</v>
      </c>
      <c r="G283" s="35">
        <f>D283*E283+F283</f>
        <v/>
      </c>
      <c r="H283" s="30" t="inlineStr">
        <is>
          <t>Restock wave 3</t>
        </is>
      </c>
    </row>
    <row r="284">
      <c r="A284" s="34" t="n">
        <v>46071</v>
      </c>
      <c r="B284" s="30" t="inlineStr">
        <is>
          <t>SKU-080</t>
        </is>
      </c>
      <c r="C284" s="30" t="inlineStr">
        <is>
          <t>Paper Trail Co.</t>
        </is>
      </c>
      <c r="D284" s="22" t="n">
        <v>6</v>
      </c>
      <c r="E284" s="24" t="n">
        <v>1.64</v>
      </c>
      <c r="F284" s="24" t="n">
        <v>4.26</v>
      </c>
      <c r="G284" s="35">
        <f>D284*E284+F284</f>
        <v/>
      </c>
      <c r="H284" s="30" t="inlineStr">
        <is>
          <t>Restock wave 3</t>
        </is>
      </c>
    </row>
    <row r="285">
      <c r="A285" s="34" t="n">
        <v>46071</v>
      </c>
      <c r="B285" s="30" t="inlineStr">
        <is>
          <t>SKU-081</t>
        </is>
      </c>
      <c r="C285" s="30" t="inlineStr">
        <is>
          <t>Luma Imports</t>
        </is>
      </c>
      <c r="D285" s="22" t="n">
        <v>2</v>
      </c>
      <c r="E285" s="24" t="n">
        <v>1.34</v>
      </c>
      <c r="F285" s="24" t="n">
        <v>2.16</v>
      </c>
      <c r="G285" s="35">
        <f>D285*E285+F285</f>
        <v/>
      </c>
      <c r="H285" s="30" t="inlineStr">
        <is>
          <t>Restock wave 3</t>
        </is>
      </c>
    </row>
    <row r="286">
      <c r="A286" s="34" t="n">
        <v>46071</v>
      </c>
      <c r="B286" s="30" t="inlineStr">
        <is>
          <t>SKU-082</t>
        </is>
      </c>
      <c r="C286" s="30" t="inlineStr">
        <is>
          <t>Luma Imports</t>
        </is>
      </c>
      <c r="D286" s="22" t="n">
        <v>3</v>
      </c>
      <c r="E286" s="24" t="n">
        <v>1.51</v>
      </c>
      <c r="F286" s="24" t="n">
        <v>2.51</v>
      </c>
      <c r="G286" s="35">
        <f>D286*E286+F286</f>
        <v/>
      </c>
      <c r="H286" s="30" t="inlineStr">
        <is>
          <t>Restock wave 3</t>
        </is>
      </c>
    </row>
    <row r="287">
      <c r="A287" s="34" t="n">
        <v>46072</v>
      </c>
      <c r="B287" s="30" t="inlineStr">
        <is>
          <t>SKU-083</t>
        </is>
      </c>
      <c r="C287" s="30" t="inlineStr">
        <is>
          <t>Luma Imports</t>
        </is>
      </c>
      <c r="D287" s="22" t="n">
        <v>4</v>
      </c>
      <c r="E287" s="24" t="n">
        <v>1.68</v>
      </c>
      <c r="F287" s="24" t="n">
        <v>2.86</v>
      </c>
      <c r="G287" s="35">
        <f>D287*E287+F287</f>
        <v/>
      </c>
      <c r="H287" s="30" t="inlineStr">
        <is>
          <t>Restock wave 3</t>
        </is>
      </c>
    </row>
    <row r="288">
      <c r="A288" s="34" t="n">
        <v>46072</v>
      </c>
      <c r="B288" s="30" t="inlineStr">
        <is>
          <t>SKU-084</t>
        </is>
      </c>
      <c r="C288" s="30" t="inlineStr">
        <is>
          <t>Luma Imports</t>
        </is>
      </c>
      <c r="D288" s="22" t="n">
        <v>5</v>
      </c>
      <c r="E288" s="24" t="n">
        <v>1.85</v>
      </c>
      <c r="F288" s="24" t="n">
        <v>3.21</v>
      </c>
      <c r="G288" s="35">
        <f>D288*E288+F288</f>
        <v/>
      </c>
      <c r="H288" s="30" t="inlineStr">
        <is>
          <t>Restock wave 3</t>
        </is>
      </c>
    </row>
    <row r="289">
      <c r="A289" s="34" t="n">
        <v>46072</v>
      </c>
      <c r="B289" s="30" t="inlineStr">
        <is>
          <t>SKU-085</t>
        </is>
      </c>
      <c r="C289" s="30" t="inlineStr">
        <is>
          <t>Luma Imports</t>
        </is>
      </c>
      <c r="D289" s="22" t="n">
        <v>6</v>
      </c>
      <c r="E289" s="24" t="n">
        <v>2.02</v>
      </c>
      <c r="F289" s="24" t="n">
        <v>3.56</v>
      </c>
      <c r="G289" s="35">
        <f>D289*E289+F289</f>
        <v/>
      </c>
      <c r="H289" s="30" t="inlineStr">
        <is>
          <t>Restock wave 3</t>
        </is>
      </c>
    </row>
    <row r="290">
      <c r="A290" s="34" t="n">
        <v>46072</v>
      </c>
      <c r="B290" s="30" t="inlineStr">
        <is>
          <t>SKU-086</t>
        </is>
      </c>
      <c r="C290" s="30" t="inlineStr">
        <is>
          <t>Studio Nine</t>
        </is>
      </c>
      <c r="D290" s="22" t="n">
        <v>2</v>
      </c>
      <c r="E290" s="24" t="n">
        <v>0.64</v>
      </c>
      <c r="F290" s="24" t="n">
        <v>3.91</v>
      </c>
      <c r="G290" s="35">
        <f>D290*E290+F290</f>
        <v/>
      </c>
      <c r="H290" s="30" t="inlineStr">
        <is>
          <t>Restock wave 3</t>
        </is>
      </c>
    </row>
    <row r="291">
      <c r="A291" s="34" t="n">
        <v>46072</v>
      </c>
      <c r="B291" s="30" t="inlineStr">
        <is>
          <t>SKU-087</t>
        </is>
      </c>
      <c r="C291" s="30" t="inlineStr">
        <is>
          <t>Studio Nine</t>
        </is>
      </c>
      <c r="D291" s="22" t="n">
        <v>3</v>
      </c>
      <c r="E291" s="24" t="n">
        <v>0.8100000000000001</v>
      </c>
      <c r="F291" s="24" t="n">
        <v>4.26</v>
      </c>
      <c r="G291" s="35">
        <f>D291*E291+F291</f>
        <v/>
      </c>
      <c r="H291" s="30" t="inlineStr">
        <is>
          <t>Restock wave 3</t>
        </is>
      </c>
    </row>
    <row r="292">
      <c r="A292" s="34" t="n">
        <v>46072</v>
      </c>
      <c r="B292" s="30" t="inlineStr">
        <is>
          <t>SKU-088</t>
        </is>
      </c>
      <c r="C292" s="30" t="inlineStr">
        <is>
          <t>Studio Nine</t>
        </is>
      </c>
      <c r="D292" s="22" t="n">
        <v>4</v>
      </c>
      <c r="E292" s="24" t="n">
        <v>0.98</v>
      </c>
      <c r="F292" s="24" t="n">
        <v>2.16</v>
      </c>
      <c r="G292" s="35">
        <f>D292*E292+F292</f>
        <v/>
      </c>
      <c r="H292" s="30" t="inlineStr">
        <is>
          <t>Restock wave 3</t>
        </is>
      </c>
    </row>
    <row r="293">
      <c r="A293" s="34" t="n">
        <v>46073</v>
      </c>
      <c r="B293" s="30" t="inlineStr">
        <is>
          <t>SKU-089</t>
        </is>
      </c>
      <c r="C293" s="30" t="inlineStr">
        <is>
          <t>Studio Nine</t>
        </is>
      </c>
      <c r="D293" s="22" t="n">
        <v>5</v>
      </c>
      <c r="E293" s="24" t="n">
        <v>1.15</v>
      </c>
      <c r="F293" s="24" t="n">
        <v>2.51</v>
      </c>
      <c r="G293" s="35">
        <f>D293*E293+F293</f>
        <v/>
      </c>
      <c r="H293" s="30" t="inlineStr">
        <is>
          <t>Restock wave 3</t>
        </is>
      </c>
    </row>
    <row r="294">
      <c r="A294" s="34" t="n">
        <v>46073</v>
      </c>
      <c r="B294" s="30" t="inlineStr">
        <is>
          <t>SKU-090</t>
        </is>
      </c>
      <c r="C294" s="30" t="inlineStr">
        <is>
          <t>Studio Nine</t>
        </is>
      </c>
      <c r="D294" s="22" t="n">
        <v>6</v>
      </c>
      <c r="E294" s="24" t="n">
        <v>1.32</v>
      </c>
      <c r="F294" s="24" t="n">
        <v>2.86</v>
      </c>
      <c r="G294" s="35">
        <f>D294*E294+F294</f>
        <v/>
      </c>
      <c r="H294" s="30" t="inlineStr">
        <is>
          <t>Restock wave 3</t>
        </is>
      </c>
    </row>
    <row r="295">
      <c r="A295" s="34" t="n">
        <v>46073</v>
      </c>
      <c r="B295" s="30" t="inlineStr">
        <is>
          <t>SKU-091</t>
        </is>
      </c>
      <c r="C295" s="30" t="inlineStr">
        <is>
          <t>Studio Nine</t>
        </is>
      </c>
      <c r="D295" s="22" t="n">
        <v>2</v>
      </c>
      <c r="E295" s="24" t="n">
        <v>3.14</v>
      </c>
      <c r="F295" s="24" t="n">
        <v>3.21</v>
      </c>
      <c r="G295" s="35">
        <f>D295*E295+F295</f>
        <v/>
      </c>
      <c r="H295" s="30" t="inlineStr">
        <is>
          <t>Restock wave 3</t>
        </is>
      </c>
    </row>
    <row r="296">
      <c r="A296" s="34" t="n">
        <v>46073</v>
      </c>
      <c r="B296" s="30" t="inlineStr">
        <is>
          <t>SKU-092</t>
        </is>
      </c>
      <c r="C296" s="30" t="inlineStr">
        <is>
          <t>Studio Nine</t>
        </is>
      </c>
      <c r="D296" s="22" t="n">
        <v>3</v>
      </c>
      <c r="E296" s="24" t="n">
        <v>3.31</v>
      </c>
      <c r="F296" s="24" t="n">
        <v>3.56</v>
      </c>
      <c r="G296" s="35">
        <f>D296*E296+F296</f>
        <v/>
      </c>
      <c r="H296" s="30" t="inlineStr">
        <is>
          <t>Restock wave 3</t>
        </is>
      </c>
    </row>
    <row r="297">
      <c r="A297" s="34" t="n">
        <v>46073</v>
      </c>
      <c r="B297" s="30" t="inlineStr">
        <is>
          <t>SKU-093</t>
        </is>
      </c>
      <c r="C297" s="30" t="inlineStr">
        <is>
          <t>Studio Nine</t>
        </is>
      </c>
      <c r="D297" s="22" t="n">
        <v>4</v>
      </c>
      <c r="E297" s="24" t="n">
        <v>3.48</v>
      </c>
      <c r="F297" s="24" t="n">
        <v>3.91</v>
      </c>
      <c r="G297" s="35">
        <f>D297*E297+F297</f>
        <v/>
      </c>
      <c r="H297" s="30" t="inlineStr">
        <is>
          <t>Restock wave 3</t>
        </is>
      </c>
    </row>
    <row r="298">
      <c r="A298" s="34" t="n">
        <v>46073</v>
      </c>
      <c r="B298" s="30" t="inlineStr">
        <is>
          <t>SKU-094</t>
        </is>
      </c>
      <c r="C298" s="30" t="inlineStr">
        <is>
          <t>Studio Nine</t>
        </is>
      </c>
      <c r="D298" s="22" t="n">
        <v>5</v>
      </c>
      <c r="E298" s="24" t="n">
        <v>3.65</v>
      </c>
      <c r="F298" s="24" t="n">
        <v>4.26</v>
      </c>
      <c r="G298" s="35">
        <f>D298*E298+F298</f>
        <v/>
      </c>
      <c r="H298" s="30" t="inlineStr">
        <is>
          <t>Restock wave 3</t>
        </is>
      </c>
    </row>
    <row r="299">
      <c r="A299" s="34" t="n">
        <v>46074</v>
      </c>
      <c r="B299" s="30" t="inlineStr">
        <is>
          <t>SKU-095</t>
        </is>
      </c>
      <c r="C299" s="30" t="inlineStr">
        <is>
          <t>Studio Nine</t>
        </is>
      </c>
      <c r="D299" s="22" t="n">
        <v>6</v>
      </c>
      <c r="E299" s="24" t="n">
        <v>3.82</v>
      </c>
      <c r="F299" s="24" t="n">
        <v>2.16</v>
      </c>
      <c r="G299" s="35">
        <f>D299*E299+F299</f>
        <v/>
      </c>
      <c r="H299" s="30" t="inlineStr">
        <is>
          <t>Restock wave 3</t>
        </is>
      </c>
    </row>
    <row r="300">
      <c r="A300" s="34" t="n">
        <v>46074</v>
      </c>
      <c r="B300" s="30" t="inlineStr">
        <is>
          <t>SKU-096</t>
        </is>
      </c>
      <c r="C300" s="30" t="inlineStr">
        <is>
          <t>Harbor Supply</t>
        </is>
      </c>
      <c r="D300" s="22" t="n">
        <v>2</v>
      </c>
      <c r="E300" s="24" t="n">
        <v>2.19</v>
      </c>
      <c r="F300" s="24" t="n">
        <v>2.51</v>
      </c>
      <c r="G300" s="35">
        <f>D300*E300+F300</f>
        <v/>
      </c>
      <c r="H300" s="30" t="inlineStr">
        <is>
          <t>Restock wave 3</t>
        </is>
      </c>
    </row>
    <row r="301">
      <c r="A301" s="34" t="n">
        <v>46074</v>
      </c>
      <c r="B301" s="30" t="inlineStr">
        <is>
          <t>SKU-097</t>
        </is>
      </c>
      <c r="C301" s="30" t="inlineStr">
        <is>
          <t>Harbor Supply</t>
        </is>
      </c>
      <c r="D301" s="22" t="n">
        <v>3</v>
      </c>
      <c r="E301" s="24" t="n">
        <v>2.36</v>
      </c>
      <c r="F301" s="24" t="n">
        <v>2.86</v>
      </c>
      <c r="G301" s="35">
        <f>D301*E301+F301</f>
        <v/>
      </c>
      <c r="H301" s="30" t="inlineStr">
        <is>
          <t>Restock wave 3</t>
        </is>
      </c>
    </row>
    <row r="302">
      <c r="A302" s="34" t="n">
        <v>46074</v>
      </c>
      <c r="B302" s="30" t="inlineStr">
        <is>
          <t>SKU-098</t>
        </is>
      </c>
      <c r="C302" s="30" t="inlineStr">
        <is>
          <t>Harbor Supply</t>
        </is>
      </c>
      <c r="D302" s="22" t="n">
        <v>4</v>
      </c>
      <c r="E302" s="24" t="n">
        <v>2.53</v>
      </c>
      <c r="F302" s="24" t="n">
        <v>3.21</v>
      </c>
      <c r="G302" s="35">
        <f>D302*E302+F302</f>
        <v/>
      </c>
      <c r="H302" s="30" t="inlineStr">
        <is>
          <t>Restock wave 3</t>
        </is>
      </c>
    </row>
    <row r="303">
      <c r="A303" s="34" t="n">
        <v>46074</v>
      </c>
      <c r="B303" s="30" t="inlineStr">
        <is>
          <t>SKU-099</t>
        </is>
      </c>
      <c r="C303" s="30" t="inlineStr">
        <is>
          <t>Harbor Supply</t>
        </is>
      </c>
      <c r="D303" s="22" t="n">
        <v>5</v>
      </c>
      <c r="E303" s="24" t="n">
        <v>2.7</v>
      </c>
      <c r="F303" s="24" t="n">
        <v>3.56</v>
      </c>
      <c r="G303" s="35">
        <f>D303*E303+F303</f>
        <v/>
      </c>
      <c r="H303" s="30" t="inlineStr">
        <is>
          <t>Restock wave 3</t>
        </is>
      </c>
    </row>
    <row r="304">
      <c r="A304" s="34" t="n">
        <v>46074</v>
      </c>
      <c r="B304" s="30" t="inlineStr">
        <is>
          <t>SKU-100</t>
        </is>
      </c>
      <c r="C304" s="30" t="inlineStr">
        <is>
          <t>Harbor Supply</t>
        </is>
      </c>
      <c r="D304" s="22" t="n">
        <v>6</v>
      </c>
      <c r="E304" s="24" t="n">
        <v>2.87</v>
      </c>
      <c r="F304" s="24" t="n">
        <v>3.91</v>
      </c>
      <c r="G304" s="35">
        <f>D304*E304+F304</f>
        <v/>
      </c>
      <c r="H304" s="30" t="inlineStr">
        <is>
          <t>Restock wave 3</t>
        </is>
      </c>
    </row>
    <row r="305">
      <c r="A305" s="31" t="inlineStr">
        <is>
          <t>Totals</t>
        </is>
      </c>
      <c r="B305" s="31" t="n"/>
      <c r="C305" s="31" t="n"/>
      <c r="D305" s="32">
        <f>SUM(D5:D304)</f>
        <v/>
      </c>
      <c r="E305" s="31" t="n"/>
      <c r="F305" s="31" t="n"/>
      <c r="G305" s="33">
        <f>SUM(G5:G304)</f>
        <v/>
      </c>
      <c r="H3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J1"/>
    <mergeCell ref="A2:J2"/>
  </mergeCells>
  <dataValidations count="1">
    <dataValidation sqref="B5:B3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24" customWidth="1" min="10" max="10"/>
  </cols>
  <sheetData>
    <row r="1" ht="28" customHeight="1">
      <c r="A1" s="1" t="inlineStr">
        <is>
          <t>Sales</t>
        </is>
      </c>
    </row>
    <row r="2" ht="22" customHeight="1">
      <c r="A2" s="2" t="inlineStr">
        <is>
          <t>Log sales orders and see revenue, fees, cost of goods sold, and gross profit.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Channel</t>
        </is>
      </c>
      <c r="D4" s="14" t="inlineStr">
        <is>
          <t>Qty</t>
        </is>
      </c>
      <c r="E4" s="14" t="inlineStr">
        <is>
          <t>Unit Price</t>
        </is>
      </c>
      <c r="F4" s="14" t="inlineStr">
        <is>
          <t>Fees</t>
        </is>
      </c>
      <c r="G4" s="14" t="inlineStr">
        <is>
          <t>Revenue</t>
        </is>
      </c>
      <c r="H4" s="14" t="inlineStr">
        <is>
          <t>COGS</t>
        </is>
      </c>
      <c r="I4" s="14" t="inlineStr">
        <is>
          <t>Gross Profit</t>
        </is>
      </c>
      <c r="J4" s="14" t="inlineStr">
        <is>
          <t>Notes</t>
        </is>
      </c>
    </row>
    <row r="5">
      <c r="A5" s="34" t="n">
        <v>46026</v>
      </c>
      <c r="B5" s="30" t="inlineStr">
        <is>
          <t>SKU-001</t>
        </is>
      </c>
      <c r="C5" s="30" t="inlineStr">
        <is>
          <t>Etsy</t>
        </is>
      </c>
      <c r="D5" s="22" t="n">
        <v>4</v>
      </c>
      <c r="E5" s="24" t="n">
        <v>2.66</v>
      </c>
      <c r="F5" s="24" t="n">
        <v>0.35</v>
      </c>
      <c r="G5" s="35">
        <f>D5*E5</f>
        <v/>
      </c>
      <c r="H5" s="35">
        <f>D5*VLOOKUP(B5,Inventory!$A$5:$J$104,10,FALSE)</f>
        <v/>
      </c>
      <c r="I5" s="35">
        <f>G5-F5-H5</f>
        <v/>
      </c>
      <c r="J5" s="30" t="inlineStr">
        <is>
          <t>Order batch 1</t>
        </is>
      </c>
    </row>
    <row r="6">
      <c r="A6" s="34" t="n">
        <v>46026</v>
      </c>
      <c r="B6" s="30" t="inlineStr">
        <is>
          <t>SKU-002</t>
        </is>
      </c>
      <c r="C6" s="30" t="inlineStr">
        <is>
          <t>Shop</t>
        </is>
      </c>
      <c r="D6" s="22" t="n">
        <v>5</v>
      </c>
      <c r="E6" s="24" t="n">
        <v>3.23</v>
      </c>
      <c r="F6" s="24" t="n">
        <v>0.42</v>
      </c>
      <c r="G6" s="35">
        <f>D6*E6</f>
        <v/>
      </c>
      <c r="H6" s="35">
        <f>D6*VLOOKUP(B6,Inventory!$A$5:$J$104,10,FALSE)</f>
        <v/>
      </c>
      <c r="I6" s="35">
        <f>G6-F6-H6</f>
        <v/>
      </c>
      <c r="J6" s="30" t="inlineStr">
        <is>
          <t>Order batch 1</t>
        </is>
      </c>
    </row>
    <row r="7">
      <c r="A7" s="34" t="n">
        <v>46026</v>
      </c>
      <c r="B7" s="30" t="inlineStr">
        <is>
          <t>SKU-003</t>
        </is>
      </c>
      <c r="C7" s="30" t="inlineStr">
        <is>
          <t>Market</t>
        </is>
      </c>
      <c r="D7" s="22" t="n">
        <v>4</v>
      </c>
      <c r="E7" s="24" t="n">
        <v>3.82</v>
      </c>
      <c r="F7" s="24" t="n">
        <v>0.5</v>
      </c>
      <c r="G7" s="35">
        <f>D7*E7</f>
        <v/>
      </c>
      <c r="H7" s="35">
        <f>D7*VLOOKUP(B7,Inventory!$A$5:$J$104,10,FALSE)</f>
        <v/>
      </c>
      <c r="I7" s="35">
        <f>G7-F7-H7</f>
        <v/>
      </c>
      <c r="J7" s="30" t="inlineStr">
        <is>
          <t>Order batch 1</t>
        </is>
      </c>
    </row>
    <row r="8">
      <c r="A8" s="34" t="n">
        <v>46026</v>
      </c>
      <c r="B8" s="30" t="inlineStr">
        <is>
          <t>SKU-004</t>
        </is>
      </c>
      <c r="C8" s="30" t="inlineStr">
        <is>
          <t>Retail</t>
        </is>
      </c>
      <c r="D8" s="22" t="n">
        <v>5</v>
      </c>
      <c r="E8" s="24" t="n">
        <v>4.44</v>
      </c>
      <c r="F8" s="24" t="n">
        <v>0.58</v>
      </c>
      <c r="G8" s="35">
        <f>D8*E8</f>
        <v/>
      </c>
      <c r="H8" s="35">
        <f>D8*VLOOKUP(B8,Inventory!$A$5:$J$104,10,FALSE)</f>
        <v/>
      </c>
      <c r="I8" s="35">
        <f>G8-F8-H8</f>
        <v/>
      </c>
      <c r="J8" s="30" t="inlineStr">
        <is>
          <t>Order batch 1</t>
        </is>
      </c>
    </row>
    <row r="9">
      <c r="A9" s="34" t="n">
        <v>46026</v>
      </c>
      <c r="B9" s="30" t="inlineStr">
        <is>
          <t>SKU-005</t>
        </is>
      </c>
      <c r="C9" s="30" t="inlineStr">
        <is>
          <t>Wholesale</t>
        </is>
      </c>
      <c r="D9" s="22" t="n">
        <v>3</v>
      </c>
      <c r="E9" s="24" t="n">
        <v>5.09</v>
      </c>
      <c r="F9" s="24" t="n">
        <v>0.66</v>
      </c>
      <c r="G9" s="35">
        <f>D9*E9</f>
        <v/>
      </c>
      <c r="H9" s="35">
        <f>D9*VLOOKUP(B9,Inventory!$A$5:$J$104,10,FALSE)</f>
        <v/>
      </c>
      <c r="I9" s="35">
        <f>G9-F9-H9</f>
        <v/>
      </c>
      <c r="J9" s="30" t="inlineStr">
        <is>
          <t>Order batch 1</t>
        </is>
      </c>
    </row>
    <row r="10">
      <c r="A10" s="34" t="n">
        <v>46027</v>
      </c>
      <c r="B10" s="30" t="inlineStr">
        <is>
          <t>SKU-006</t>
        </is>
      </c>
      <c r="C10" s="30" t="inlineStr">
        <is>
          <t>Etsy</t>
        </is>
      </c>
      <c r="D10" s="22" t="n">
        <v>4</v>
      </c>
      <c r="E10" s="24" t="n">
        <v>6.72</v>
      </c>
      <c r="F10" s="24" t="n">
        <v>0.87</v>
      </c>
      <c r="G10" s="35">
        <f>D10*E10</f>
        <v/>
      </c>
      <c r="H10" s="35">
        <f>D10*VLOOKUP(B10,Inventory!$A$5:$J$104,10,FALSE)</f>
        <v/>
      </c>
      <c r="I10" s="35">
        <f>G10-F10-H10</f>
        <v/>
      </c>
      <c r="J10" s="30" t="inlineStr">
        <is>
          <t>Order batch 1</t>
        </is>
      </c>
    </row>
    <row r="11">
      <c r="A11" s="34" t="n">
        <v>46027</v>
      </c>
      <c r="B11" s="30" t="inlineStr">
        <is>
          <t>SKU-007</t>
        </is>
      </c>
      <c r="C11" s="30" t="inlineStr">
        <is>
          <t>Shop</t>
        </is>
      </c>
      <c r="D11" s="22" t="n">
        <v>3</v>
      </c>
      <c r="E11" s="24" t="n">
        <v>6.36</v>
      </c>
      <c r="F11" s="24" t="n">
        <v>0.83</v>
      </c>
      <c r="G11" s="35">
        <f>D11*E11</f>
        <v/>
      </c>
      <c r="H11" s="35">
        <f>D11*VLOOKUP(B11,Inventory!$A$5:$J$104,10,FALSE)</f>
        <v/>
      </c>
      <c r="I11" s="35">
        <f>G11-F11-H11</f>
        <v/>
      </c>
      <c r="J11" s="30" t="inlineStr">
        <is>
          <t>Order batch 1</t>
        </is>
      </c>
    </row>
    <row r="12">
      <c r="A12" s="34" t="n">
        <v>46027</v>
      </c>
      <c r="B12" s="30" t="inlineStr">
        <is>
          <t>SKU-008</t>
        </is>
      </c>
      <c r="C12" s="30" t="inlineStr">
        <is>
          <t>Market</t>
        </is>
      </c>
      <c r="D12" s="22" t="n">
        <v>4</v>
      </c>
      <c r="E12" s="24" t="n">
        <v>7.03</v>
      </c>
      <c r="F12" s="24" t="n">
        <v>0.91</v>
      </c>
      <c r="G12" s="35">
        <f>D12*E12</f>
        <v/>
      </c>
      <c r="H12" s="35">
        <f>D12*VLOOKUP(B12,Inventory!$A$5:$J$104,10,FALSE)</f>
        <v/>
      </c>
      <c r="I12" s="35">
        <f>G12-F12-H12</f>
        <v/>
      </c>
      <c r="J12" s="30" t="inlineStr">
        <is>
          <t>Order batch 1</t>
        </is>
      </c>
    </row>
    <row r="13">
      <c r="A13" s="34" t="n">
        <v>46027</v>
      </c>
      <c r="B13" s="30" t="inlineStr">
        <is>
          <t>SKU-009</t>
        </is>
      </c>
      <c r="C13" s="30" t="inlineStr">
        <is>
          <t>Retail</t>
        </is>
      </c>
      <c r="D13" s="22" t="n">
        <v>3</v>
      </c>
      <c r="E13" s="24" t="n">
        <v>7.73</v>
      </c>
      <c r="F13" s="24" t="n">
        <v>1</v>
      </c>
      <c r="G13" s="35">
        <f>D13*E13</f>
        <v/>
      </c>
      <c r="H13" s="35">
        <f>D13*VLOOKUP(B13,Inventory!$A$5:$J$104,10,FALSE)</f>
        <v/>
      </c>
      <c r="I13" s="35">
        <f>G13-F13-H13</f>
        <v/>
      </c>
      <c r="J13" s="30" t="inlineStr">
        <is>
          <t>Order batch 1</t>
        </is>
      </c>
    </row>
    <row r="14">
      <c r="A14" s="34" t="n">
        <v>46027</v>
      </c>
      <c r="B14" s="30" t="inlineStr">
        <is>
          <t>SKU-010</t>
        </is>
      </c>
      <c r="C14" s="30" t="inlineStr">
        <is>
          <t>Wholesale</t>
        </is>
      </c>
      <c r="D14" s="22" t="n">
        <v>4</v>
      </c>
      <c r="E14" s="24" t="n">
        <v>8.449999999999999</v>
      </c>
      <c r="F14" s="24" t="n">
        <v>1.1</v>
      </c>
      <c r="G14" s="35">
        <f>D14*E14</f>
        <v/>
      </c>
      <c r="H14" s="35">
        <f>D14*VLOOKUP(B14,Inventory!$A$5:$J$104,10,FALSE)</f>
        <v/>
      </c>
      <c r="I14" s="35">
        <f>G14-F14-H14</f>
        <v/>
      </c>
      <c r="J14" s="30" t="inlineStr">
        <is>
          <t>Order batch 1</t>
        </is>
      </c>
    </row>
    <row r="15">
      <c r="A15" s="34" t="n">
        <v>46028</v>
      </c>
      <c r="B15" s="30" t="inlineStr">
        <is>
          <t>SKU-011</t>
        </is>
      </c>
      <c r="C15" s="30" t="inlineStr">
        <is>
          <t>Etsy</t>
        </is>
      </c>
      <c r="D15" s="22" t="n">
        <v>2</v>
      </c>
      <c r="E15" s="24" t="n">
        <v>3.9</v>
      </c>
      <c r="F15" s="24" t="n">
        <v>0.51</v>
      </c>
      <c r="G15" s="35">
        <f>D15*E15</f>
        <v/>
      </c>
      <c r="H15" s="35">
        <f>D15*VLOOKUP(B15,Inventory!$A$5:$J$104,10,FALSE)</f>
        <v/>
      </c>
      <c r="I15" s="35">
        <f>G15-F15-H15</f>
        <v/>
      </c>
      <c r="J15" s="30" t="inlineStr">
        <is>
          <t>Order batch 1</t>
        </is>
      </c>
    </row>
    <row r="16">
      <c r="A16" s="34" t="n">
        <v>46028</v>
      </c>
      <c r="B16" s="30" t="inlineStr">
        <is>
          <t>SKU-012</t>
        </is>
      </c>
      <c r="C16" s="30" t="inlineStr">
        <is>
          <t>Shop</t>
        </is>
      </c>
      <c r="D16" s="22" t="n">
        <v>3</v>
      </c>
      <c r="E16" s="24" t="n">
        <v>4.54</v>
      </c>
      <c r="F16" s="24" t="n">
        <v>0.59</v>
      </c>
      <c r="G16" s="35">
        <f>D16*E16</f>
        <v/>
      </c>
      <c r="H16" s="35">
        <f>D16*VLOOKUP(B16,Inventory!$A$5:$J$104,10,FALSE)</f>
        <v/>
      </c>
      <c r="I16" s="35">
        <f>G16-F16-H16</f>
        <v/>
      </c>
      <c r="J16" s="30" t="inlineStr">
        <is>
          <t>Order batch 1</t>
        </is>
      </c>
    </row>
    <row r="17">
      <c r="A17" s="34" t="n">
        <v>46028</v>
      </c>
      <c r="B17" s="30" t="inlineStr">
        <is>
          <t>SKU-013</t>
        </is>
      </c>
      <c r="C17" s="30" t="inlineStr">
        <is>
          <t>Market</t>
        </is>
      </c>
      <c r="D17" s="22" t="n">
        <v>1</v>
      </c>
      <c r="E17" s="24" t="n">
        <v>4.45</v>
      </c>
      <c r="F17" s="24" t="n">
        <v>0.58</v>
      </c>
      <c r="G17" s="35">
        <f>D17*E17</f>
        <v/>
      </c>
      <c r="H17" s="35">
        <f>D17*VLOOKUP(B17,Inventory!$A$5:$J$104,10,FALSE)</f>
        <v/>
      </c>
      <c r="I17" s="35">
        <f>G17-F17-H17</f>
        <v/>
      </c>
      <c r="J17" s="30" t="inlineStr">
        <is>
          <t>Order batch 1</t>
        </is>
      </c>
    </row>
    <row r="18">
      <c r="A18" s="34" t="n">
        <v>46028</v>
      </c>
      <c r="B18" s="30" t="inlineStr">
        <is>
          <t>SKU-014</t>
        </is>
      </c>
      <c r="C18" s="30" t="inlineStr">
        <is>
          <t>Retail</t>
        </is>
      </c>
      <c r="D18" s="22" t="n">
        <v>2</v>
      </c>
      <c r="E18" s="24" t="n">
        <v>5.07</v>
      </c>
      <c r="F18" s="24" t="n">
        <v>0.66</v>
      </c>
      <c r="G18" s="35">
        <f>D18*E18</f>
        <v/>
      </c>
      <c r="H18" s="35">
        <f>D18*VLOOKUP(B18,Inventory!$A$5:$J$104,10,FALSE)</f>
        <v/>
      </c>
      <c r="I18" s="35">
        <f>G18-F18-H18</f>
        <v/>
      </c>
      <c r="J18" s="30" t="inlineStr">
        <is>
          <t>Order batch 1</t>
        </is>
      </c>
    </row>
    <row r="19">
      <c r="A19" s="34" t="n">
        <v>46028</v>
      </c>
      <c r="B19" s="30" t="inlineStr">
        <is>
          <t>SKU-015</t>
        </is>
      </c>
      <c r="C19" s="30" t="inlineStr">
        <is>
          <t>Wholesale</t>
        </is>
      </c>
      <c r="D19" s="22" t="n">
        <v>3</v>
      </c>
      <c r="E19" s="24" t="n">
        <v>5.71</v>
      </c>
      <c r="F19" s="24" t="n">
        <v>0.74</v>
      </c>
      <c r="G19" s="35">
        <f>D19*E19</f>
        <v/>
      </c>
      <c r="H19" s="35">
        <f>D19*VLOOKUP(B19,Inventory!$A$5:$J$104,10,FALSE)</f>
        <v/>
      </c>
      <c r="I19" s="35">
        <f>G19-F19-H19</f>
        <v/>
      </c>
      <c r="J19" s="30" t="inlineStr">
        <is>
          <t>Order batch 1</t>
        </is>
      </c>
    </row>
    <row r="20">
      <c r="A20" s="34" t="n">
        <v>46029</v>
      </c>
      <c r="B20" s="30" t="inlineStr">
        <is>
          <t>SKU-016</t>
        </is>
      </c>
      <c r="C20" s="30" t="inlineStr">
        <is>
          <t>Etsy</t>
        </is>
      </c>
      <c r="D20" s="22" t="n">
        <v>1</v>
      </c>
      <c r="E20" s="24" t="n">
        <v>0.67</v>
      </c>
      <c r="F20" s="24" t="n">
        <v>0.09</v>
      </c>
      <c r="G20" s="35">
        <f>D20*E20</f>
        <v/>
      </c>
      <c r="H20" s="35">
        <f>D20*VLOOKUP(B20,Inventory!$A$5:$J$104,10,FALSE)</f>
        <v/>
      </c>
      <c r="I20" s="35">
        <f>G20-F20-H20</f>
        <v/>
      </c>
      <c r="J20" s="30" t="inlineStr">
        <is>
          <t>Order batch 1</t>
        </is>
      </c>
    </row>
    <row r="21">
      <c r="A21" s="34" t="n">
        <v>46029</v>
      </c>
      <c r="B21" s="30" t="inlineStr">
        <is>
          <t>SKU-017</t>
        </is>
      </c>
      <c r="C21" s="30" t="inlineStr">
        <is>
          <t>Shop</t>
        </is>
      </c>
      <c r="D21" s="22" t="n">
        <v>2</v>
      </c>
      <c r="E21" s="24" t="n">
        <v>1.22</v>
      </c>
      <c r="F21" s="24" t="n">
        <v>0.16</v>
      </c>
      <c r="G21" s="35">
        <f>D21*E21</f>
        <v/>
      </c>
      <c r="H21" s="35">
        <f>D21*VLOOKUP(B21,Inventory!$A$5:$J$104,10,FALSE)</f>
        <v/>
      </c>
      <c r="I21" s="35">
        <f>G21-F21-H21</f>
        <v/>
      </c>
      <c r="J21" s="30" t="inlineStr">
        <is>
          <t>Order batch 1</t>
        </is>
      </c>
    </row>
    <row r="22">
      <c r="A22" s="34" t="n">
        <v>46029</v>
      </c>
      <c r="B22" s="30" t="inlineStr">
        <is>
          <t>SKU-018</t>
        </is>
      </c>
      <c r="C22" s="30" t="inlineStr">
        <is>
          <t>Market</t>
        </is>
      </c>
      <c r="D22" s="22" t="n">
        <v>3</v>
      </c>
      <c r="E22" s="24" t="n">
        <v>1.79</v>
      </c>
      <c r="F22" s="24" t="n">
        <v>0.23</v>
      </c>
      <c r="G22" s="35">
        <f>D22*E22</f>
        <v/>
      </c>
      <c r="H22" s="35">
        <f>D22*VLOOKUP(B22,Inventory!$A$5:$J$104,10,FALSE)</f>
        <v/>
      </c>
      <c r="I22" s="35">
        <f>G22-F22-H22</f>
        <v/>
      </c>
      <c r="J22" s="30" t="inlineStr">
        <is>
          <t>Order batch 1</t>
        </is>
      </c>
    </row>
    <row r="23">
      <c r="A23" s="34" t="n">
        <v>46029</v>
      </c>
      <c r="B23" s="30" t="inlineStr">
        <is>
          <t>SKU-019</t>
        </is>
      </c>
      <c r="C23" s="30" t="inlineStr">
        <is>
          <t>Retail</t>
        </is>
      </c>
      <c r="D23" s="22" t="n">
        <v>1</v>
      </c>
      <c r="E23" s="24" t="n">
        <v>2.04</v>
      </c>
      <c r="F23" s="24" t="n">
        <v>0.27</v>
      </c>
      <c r="G23" s="35">
        <f>D23*E23</f>
        <v/>
      </c>
      <c r="H23" s="35">
        <f>D23*VLOOKUP(B23,Inventory!$A$5:$J$104,10,FALSE)</f>
        <v/>
      </c>
      <c r="I23" s="35">
        <f>G23-F23-H23</f>
        <v/>
      </c>
      <c r="J23" s="30" t="inlineStr">
        <is>
          <t>Order batch 1</t>
        </is>
      </c>
    </row>
    <row r="24">
      <c r="A24" s="34" t="n">
        <v>46029</v>
      </c>
      <c r="B24" s="30" t="inlineStr">
        <is>
          <t>SKU-020</t>
        </is>
      </c>
      <c r="C24" s="30" t="inlineStr">
        <is>
          <t>Wholesale</t>
        </is>
      </c>
      <c r="D24" s="22" t="n">
        <v>2</v>
      </c>
      <c r="E24" s="24" t="n">
        <v>2.59</v>
      </c>
      <c r="F24" s="24" t="n">
        <v>0.34</v>
      </c>
      <c r="G24" s="35">
        <f>D24*E24</f>
        <v/>
      </c>
      <c r="H24" s="35">
        <f>D24*VLOOKUP(B24,Inventory!$A$5:$J$104,10,FALSE)</f>
        <v/>
      </c>
      <c r="I24" s="35">
        <f>G24-F24-H24</f>
        <v/>
      </c>
      <c r="J24" s="30" t="inlineStr">
        <is>
          <t>Order batch 1</t>
        </is>
      </c>
    </row>
    <row r="25">
      <c r="A25" s="34" t="n">
        <v>46030</v>
      </c>
      <c r="B25" s="30" t="inlineStr">
        <is>
          <t>SKU-021</t>
        </is>
      </c>
      <c r="C25" s="30" t="inlineStr">
        <is>
          <t>Etsy</t>
        </is>
      </c>
      <c r="D25" s="22" t="n">
        <v>3</v>
      </c>
      <c r="E25" s="24" t="n">
        <v>9.18</v>
      </c>
      <c r="F25" s="24" t="n">
        <v>1.19</v>
      </c>
      <c r="G25" s="35">
        <f>D25*E25</f>
        <v/>
      </c>
      <c r="H25" s="35">
        <f>D25*VLOOKUP(B25,Inventory!$A$5:$J$104,10,FALSE)</f>
        <v/>
      </c>
      <c r="I25" s="35">
        <f>G25-F25-H25</f>
        <v/>
      </c>
      <c r="J25" s="30" t="inlineStr">
        <is>
          <t>Order batch 1</t>
        </is>
      </c>
    </row>
    <row r="26">
      <c r="A26" s="34" t="n">
        <v>46030</v>
      </c>
      <c r="B26" s="30" t="inlineStr">
        <is>
          <t>SKU-022</t>
        </is>
      </c>
      <c r="C26" s="30" t="inlineStr">
        <is>
          <t>Shop</t>
        </is>
      </c>
      <c r="D26" s="22" t="n">
        <v>1</v>
      </c>
      <c r="E26" s="24" t="n">
        <v>9.94</v>
      </c>
      <c r="F26" s="24" t="n">
        <v>1.29</v>
      </c>
      <c r="G26" s="35">
        <f>D26*E26</f>
        <v/>
      </c>
      <c r="H26" s="35">
        <f>D26*VLOOKUP(B26,Inventory!$A$5:$J$104,10,FALSE)</f>
        <v/>
      </c>
      <c r="I26" s="35">
        <f>G26-F26-H26</f>
        <v/>
      </c>
      <c r="J26" s="30" t="inlineStr">
        <is>
          <t>Order batch 1</t>
        </is>
      </c>
    </row>
    <row r="27">
      <c r="A27" s="34" t="n">
        <v>46030</v>
      </c>
      <c r="B27" s="30" t="inlineStr">
        <is>
          <t>SKU-023</t>
        </is>
      </c>
      <c r="C27" s="30" t="inlineStr">
        <is>
          <t>Market</t>
        </is>
      </c>
      <c r="D27" s="22" t="n">
        <v>2</v>
      </c>
      <c r="E27" s="24" t="n">
        <v>10.73</v>
      </c>
      <c r="F27" s="24" t="n">
        <v>1.39</v>
      </c>
      <c r="G27" s="35">
        <f>D27*E27</f>
        <v/>
      </c>
      <c r="H27" s="35">
        <f>D27*VLOOKUP(B27,Inventory!$A$5:$J$104,10,FALSE)</f>
        <v/>
      </c>
      <c r="I27" s="35">
        <f>G27-F27-H27</f>
        <v/>
      </c>
      <c r="J27" s="30" t="inlineStr">
        <is>
          <t>Order batch 1</t>
        </is>
      </c>
    </row>
    <row r="28">
      <c r="A28" s="34" t="n">
        <v>46030</v>
      </c>
      <c r="B28" s="30" t="inlineStr">
        <is>
          <t>SKU-024</t>
        </is>
      </c>
      <c r="C28" s="30" t="inlineStr">
        <is>
          <t>Retail</t>
        </is>
      </c>
      <c r="D28" s="22" t="n">
        <v>3</v>
      </c>
      <c r="E28" s="24" t="n">
        <v>11.55</v>
      </c>
      <c r="F28" s="24" t="n">
        <v>1.5</v>
      </c>
      <c r="G28" s="35">
        <f>D28*E28</f>
        <v/>
      </c>
      <c r="H28" s="35">
        <f>D28*VLOOKUP(B28,Inventory!$A$5:$J$104,10,FALSE)</f>
        <v/>
      </c>
      <c r="I28" s="35">
        <f>G28-F28-H28</f>
        <v/>
      </c>
      <c r="J28" s="30" t="inlineStr">
        <is>
          <t>Order batch 1</t>
        </is>
      </c>
    </row>
    <row r="29">
      <c r="A29" s="34" t="n">
        <v>46030</v>
      </c>
      <c r="B29" s="30" t="inlineStr">
        <is>
          <t>SKU-025</t>
        </is>
      </c>
      <c r="C29" s="30" t="inlineStr">
        <is>
          <t>Wholesale</t>
        </is>
      </c>
      <c r="D29" s="22" t="n">
        <v>1</v>
      </c>
      <c r="E29" s="24" t="n">
        <v>10.58</v>
      </c>
      <c r="F29" s="24" t="n">
        <v>1.38</v>
      </c>
      <c r="G29" s="35">
        <f>D29*E29</f>
        <v/>
      </c>
      <c r="H29" s="35">
        <f>D29*VLOOKUP(B29,Inventory!$A$5:$J$104,10,FALSE)</f>
        <v/>
      </c>
      <c r="I29" s="35">
        <f>G29-F29-H29</f>
        <v/>
      </c>
      <c r="J29" s="30" t="inlineStr">
        <is>
          <t>Order batch 1</t>
        </is>
      </c>
    </row>
    <row r="30">
      <c r="A30" s="34" t="n">
        <v>46031</v>
      </c>
      <c r="B30" s="30" t="inlineStr">
        <is>
          <t>SKU-026</t>
        </is>
      </c>
      <c r="C30" s="30" t="inlineStr">
        <is>
          <t>Etsy</t>
        </is>
      </c>
      <c r="D30" s="22" t="n">
        <v>2</v>
      </c>
      <c r="E30" s="24" t="n">
        <v>1.61</v>
      </c>
      <c r="F30" s="24" t="n">
        <v>0.21</v>
      </c>
      <c r="G30" s="35">
        <f>D30*E30</f>
        <v/>
      </c>
      <c r="H30" s="35">
        <f>D30*VLOOKUP(B30,Inventory!$A$5:$J$104,10,FALSE)</f>
        <v/>
      </c>
      <c r="I30" s="35">
        <f>G30-F30-H30</f>
        <v/>
      </c>
      <c r="J30" s="30" t="inlineStr">
        <is>
          <t>Order batch 1</t>
        </is>
      </c>
    </row>
    <row r="31">
      <c r="A31" s="34" t="n">
        <v>46031</v>
      </c>
      <c r="B31" s="30" t="inlineStr">
        <is>
          <t>SKU-027</t>
        </is>
      </c>
      <c r="C31" s="30" t="inlineStr">
        <is>
          <t>Shop</t>
        </is>
      </c>
      <c r="D31" s="22" t="n">
        <v>3</v>
      </c>
      <c r="E31" s="24" t="n">
        <v>2.16</v>
      </c>
      <c r="F31" s="24" t="n">
        <v>0.28</v>
      </c>
      <c r="G31" s="35">
        <f>D31*E31</f>
        <v/>
      </c>
      <c r="H31" s="35">
        <f>D31*VLOOKUP(B31,Inventory!$A$5:$J$104,10,FALSE)</f>
        <v/>
      </c>
      <c r="I31" s="35">
        <f>G31-F31-H31</f>
        <v/>
      </c>
      <c r="J31" s="30" t="inlineStr">
        <is>
          <t>Order batch 1</t>
        </is>
      </c>
    </row>
    <row r="32">
      <c r="A32" s="34" t="n">
        <v>46031</v>
      </c>
      <c r="B32" s="30" t="inlineStr">
        <is>
          <t>SKU-028</t>
        </is>
      </c>
      <c r="C32" s="30" t="inlineStr">
        <is>
          <t>Market</t>
        </is>
      </c>
      <c r="D32" s="22" t="n">
        <v>1</v>
      </c>
      <c r="E32" s="24" t="n">
        <v>2.74</v>
      </c>
      <c r="F32" s="24" t="n">
        <v>0.36</v>
      </c>
      <c r="G32" s="35">
        <f>D32*E32</f>
        <v/>
      </c>
      <c r="H32" s="35">
        <f>D32*VLOOKUP(B32,Inventory!$A$5:$J$104,10,FALSE)</f>
        <v/>
      </c>
      <c r="I32" s="35">
        <f>G32-F32-H32</f>
        <v/>
      </c>
      <c r="J32" s="30" t="inlineStr">
        <is>
          <t>Order batch 1</t>
        </is>
      </c>
    </row>
    <row r="33">
      <c r="A33" s="34" t="n">
        <v>46031</v>
      </c>
      <c r="B33" s="30" t="inlineStr">
        <is>
          <t>SKU-029</t>
        </is>
      </c>
      <c r="C33" s="30" t="inlineStr">
        <is>
          <t>Retail</t>
        </is>
      </c>
      <c r="D33" s="22" t="n">
        <v>2</v>
      </c>
      <c r="E33" s="24" t="n">
        <v>3.34</v>
      </c>
      <c r="F33" s="24" t="n">
        <v>0.43</v>
      </c>
      <c r="G33" s="35">
        <f>D33*E33</f>
        <v/>
      </c>
      <c r="H33" s="35">
        <f>D33*VLOOKUP(B33,Inventory!$A$5:$J$104,10,FALSE)</f>
        <v/>
      </c>
      <c r="I33" s="35">
        <f>G33-F33-H33</f>
        <v/>
      </c>
      <c r="J33" s="30" t="inlineStr">
        <is>
          <t>Order batch 1</t>
        </is>
      </c>
    </row>
    <row r="34">
      <c r="A34" s="34" t="n">
        <v>46031</v>
      </c>
      <c r="B34" s="30" t="inlineStr">
        <is>
          <t>SKU-030</t>
        </is>
      </c>
      <c r="C34" s="30" t="inlineStr">
        <is>
          <t>Wholesale</t>
        </is>
      </c>
      <c r="D34" s="22" t="n">
        <v>3</v>
      </c>
      <c r="E34" s="24" t="n">
        <v>3.97</v>
      </c>
      <c r="F34" s="24" t="n">
        <v>0.52</v>
      </c>
      <c r="G34" s="35">
        <f>D34*E34</f>
        <v/>
      </c>
      <c r="H34" s="35">
        <f>D34*VLOOKUP(B34,Inventory!$A$5:$J$104,10,FALSE)</f>
        <v/>
      </c>
      <c r="I34" s="35">
        <f>G34-F34-H34</f>
        <v/>
      </c>
      <c r="J34" s="30" t="inlineStr">
        <is>
          <t>Order batch 1</t>
        </is>
      </c>
    </row>
    <row r="35">
      <c r="A35" s="34" t="n">
        <v>46032</v>
      </c>
      <c r="B35" s="30" t="inlineStr">
        <is>
          <t>SKU-031</t>
        </is>
      </c>
      <c r="C35" s="30" t="inlineStr">
        <is>
          <t>Etsy</t>
        </is>
      </c>
      <c r="D35" s="22" t="n">
        <v>1</v>
      </c>
      <c r="E35" s="24" t="n">
        <v>12.12</v>
      </c>
      <c r="F35" s="24" t="n">
        <v>1.58</v>
      </c>
      <c r="G35" s="35">
        <f>D35*E35</f>
        <v/>
      </c>
      <c r="H35" s="35">
        <f>D35*VLOOKUP(B35,Inventory!$A$5:$J$104,10,FALSE)</f>
        <v/>
      </c>
      <c r="I35" s="35">
        <f>G35-F35-H35</f>
        <v/>
      </c>
      <c r="J35" s="30" t="inlineStr">
        <is>
          <t>Order batch 1</t>
        </is>
      </c>
    </row>
    <row r="36">
      <c r="A36" s="34" t="n">
        <v>46032</v>
      </c>
      <c r="B36" s="30" t="inlineStr">
        <is>
          <t>SKU-032</t>
        </is>
      </c>
      <c r="C36" s="30" t="inlineStr">
        <is>
          <t>Shop</t>
        </is>
      </c>
      <c r="D36" s="22" t="n">
        <v>2</v>
      </c>
      <c r="E36" s="24" t="n">
        <v>12.96</v>
      </c>
      <c r="F36" s="24" t="n">
        <v>1.68</v>
      </c>
      <c r="G36" s="35">
        <f>D36*E36</f>
        <v/>
      </c>
      <c r="H36" s="35">
        <f>D36*VLOOKUP(B36,Inventory!$A$5:$J$104,10,FALSE)</f>
        <v/>
      </c>
      <c r="I36" s="35">
        <f>G36-F36-H36</f>
        <v/>
      </c>
      <c r="J36" s="30" t="inlineStr">
        <is>
          <t>Order batch 1</t>
        </is>
      </c>
    </row>
    <row r="37">
      <c r="A37" s="34" t="n">
        <v>46032</v>
      </c>
      <c r="B37" s="30" t="inlineStr">
        <is>
          <t>SKU-033</t>
        </is>
      </c>
      <c r="C37" s="30" t="inlineStr">
        <is>
          <t>Market</t>
        </is>
      </c>
      <c r="D37" s="22" t="n">
        <v>3</v>
      </c>
      <c r="E37" s="24" t="n">
        <v>13.82</v>
      </c>
      <c r="F37" s="24" t="n">
        <v>1.8</v>
      </c>
      <c r="G37" s="35">
        <f>D37*E37</f>
        <v/>
      </c>
      <c r="H37" s="35">
        <f>D37*VLOOKUP(B37,Inventory!$A$5:$J$104,10,FALSE)</f>
        <v/>
      </c>
      <c r="I37" s="35">
        <f>G37-F37-H37</f>
        <v/>
      </c>
      <c r="J37" s="30" t="inlineStr">
        <is>
          <t>Order batch 1</t>
        </is>
      </c>
    </row>
    <row r="38">
      <c r="A38" s="34" t="n">
        <v>46032</v>
      </c>
      <c r="B38" s="30" t="inlineStr">
        <is>
          <t>SKU-034</t>
        </is>
      </c>
      <c r="C38" s="30" t="inlineStr">
        <is>
          <t>Retail</t>
        </is>
      </c>
      <c r="D38" s="22" t="n">
        <v>1</v>
      </c>
      <c r="E38" s="24" t="n">
        <v>14.71</v>
      </c>
      <c r="F38" s="24" t="n">
        <v>1.91</v>
      </c>
      <c r="G38" s="35">
        <f>D38*E38</f>
        <v/>
      </c>
      <c r="H38" s="35">
        <f>D38*VLOOKUP(B38,Inventory!$A$5:$J$104,10,FALSE)</f>
        <v/>
      </c>
      <c r="I38" s="35">
        <f>G38-F38-H38</f>
        <v/>
      </c>
      <c r="J38" s="30" t="inlineStr">
        <is>
          <t>Order batch 1</t>
        </is>
      </c>
    </row>
    <row r="39">
      <c r="A39" s="34" t="n">
        <v>46032</v>
      </c>
      <c r="B39" s="30" t="inlineStr">
        <is>
          <t>SKU-035</t>
        </is>
      </c>
      <c r="C39" s="30" t="inlineStr">
        <is>
          <t>Wholesale</t>
        </is>
      </c>
      <c r="D39" s="22" t="n">
        <v>2</v>
      </c>
      <c r="E39" s="24" t="n">
        <v>15.63</v>
      </c>
      <c r="F39" s="24" t="n">
        <v>2.03</v>
      </c>
      <c r="G39" s="35">
        <f>D39*E39</f>
        <v/>
      </c>
      <c r="H39" s="35">
        <f>D39*VLOOKUP(B39,Inventory!$A$5:$J$104,10,FALSE)</f>
        <v/>
      </c>
      <c r="I39" s="35">
        <f>G39-F39-H39</f>
        <v/>
      </c>
      <c r="J39" s="30" t="inlineStr">
        <is>
          <t>Order batch 1</t>
        </is>
      </c>
    </row>
    <row r="40">
      <c r="A40" s="34" t="n">
        <v>46033</v>
      </c>
      <c r="B40" s="30" t="inlineStr">
        <is>
          <t>SKU-036</t>
        </is>
      </c>
      <c r="C40" s="30" t="inlineStr">
        <is>
          <t>Etsy</t>
        </is>
      </c>
      <c r="D40" s="22" t="n">
        <v>3</v>
      </c>
      <c r="E40" s="24" t="n">
        <v>6.02</v>
      </c>
      <c r="F40" s="24" t="n">
        <v>0.78</v>
      </c>
      <c r="G40" s="35">
        <f>D40*E40</f>
        <v/>
      </c>
      <c r="H40" s="35">
        <f>D40*VLOOKUP(B40,Inventory!$A$5:$J$104,10,FALSE)</f>
        <v/>
      </c>
      <c r="I40" s="35">
        <f>G40-F40-H40</f>
        <v/>
      </c>
      <c r="J40" s="30" t="inlineStr">
        <is>
          <t>Order batch 1</t>
        </is>
      </c>
    </row>
    <row r="41">
      <c r="A41" s="34" t="n">
        <v>46033</v>
      </c>
      <c r="B41" s="30" t="inlineStr">
        <is>
          <t>SKU-037</t>
        </is>
      </c>
      <c r="C41" s="30" t="inlineStr">
        <is>
          <t>Shop</t>
        </is>
      </c>
      <c r="D41" s="22" t="n">
        <v>1</v>
      </c>
      <c r="E41" s="24" t="n">
        <v>5.74</v>
      </c>
      <c r="F41" s="24" t="n">
        <v>0.75</v>
      </c>
      <c r="G41" s="35">
        <f>D41*E41</f>
        <v/>
      </c>
      <c r="H41" s="35">
        <f>D41*VLOOKUP(B41,Inventory!$A$5:$J$104,10,FALSE)</f>
        <v/>
      </c>
      <c r="I41" s="35">
        <f>G41-F41-H41</f>
        <v/>
      </c>
      <c r="J41" s="30" t="inlineStr">
        <is>
          <t>Order batch 1</t>
        </is>
      </c>
    </row>
    <row r="42">
      <c r="A42" s="34" t="n">
        <v>46033</v>
      </c>
      <c r="B42" s="30" t="inlineStr">
        <is>
          <t>SKU-038</t>
        </is>
      </c>
      <c r="C42" s="30" t="inlineStr">
        <is>
          <t>Market</t>
        </is>
      </c>
      <c r="D42" s="22" t="n">
        <v>2</v>
      </c>
      <c r="E42" s="24" t="n">
        <v>6.39</v>
      </c>
      <c r="F42" s="24" t="n">
        <v>0.83</v>
      </c>
      <c r="G42" s="35">
        <f>D42*E42</f>
        <v/>
      </c>
      <c r="H42" s="35">
        <f>D42*VLOOKUP(B42,Inventory!$A$5:$J$104,10,FALSE)</f>
        <v/>
      </c>
      <c r="I42" s="35">
        <f>G42-F42-H42</f>
        <v/>
      </c>
      <c r="J42" s="30" t="inlineStr">
        <is>
          <t>Order batch 1</t>
        </is>
      </c>
    </row>
    <row r="43">
      <c r="A43" s="34" t="n">
        <v>46033</v>
      </c>
      <c r="B43" s="30" t="inlineStr">
        <is>
          <t>SKU-039</t>
        </is>
      </c>
      <c r="C43" s="30" t="inlineStr">
        <is>
          <t>Retail</t>
        </is>
      </c>
      <c r="D43" s="22" t="n">
        <v>3</v>
      </c>
      <c r="E43" s="24" t="n">
        <v>7.07</v>
      </c>
      <c r="F43" s="24" t="n">
        <v>0.92</v>
      </c>
      <c r="G43" s="35">
        <f>D43*E43</f>
        <v/>
      </c>
      <c r="H43" s="35">
        <f>D43*VLOOKUP(B43,Inventory!$A$5:$J$104,10,FALSE)</f>
        <v/>
      </c>
      <c r="I43" s="35">
        <f>G43-F43-H43</f>
        <v/>
      </c>
      <c r="J43" s="30" t="inlineStr">
        <is>
          <t>Order batch 1</t>
        </is>
      </c>
    </row>
    <row r="44">
      <c r="A44" s="34" t="n">
        <v>46033</v>
      </c>
      <c r="B44" s="30" t="inlineStr">
        <is>
          <t>SKU-040</t>
        </is>
      </c>
      <c r="C44" s="30" t="inlineStr">
        <is>
          <t>Wholesale</t>
        </is>
      </c>
      <c r="D44" s="22" t="n">
        <v>1</v>
      </c>
      <c r="E44" s="24" t="n">
        <v>7.78</v>
      </c>
      <c r="F44" s="24" t="n">
        <v>1.01</v>
      </c>
      <c r="G44" s="35">
        <f>D44*E44</f>
        <v/>
      </c>
      <c r="H44" s="35">
        <f>D44*VLOOKUP(B44,Inventory!$A$5:$J$104,10,FALSE)</f>
        <v/>
      </c>
      <c r="I44" s="35">
        <f>G44-F44-H44</f>
        <v/>
      </c>
      <c r="J44" s="30" t="inlineStr">
        <is>
          <t>Order batch 1</t>
        </is>
      </c>
    </row>
    <row r="45">
      <c r="A45" s="34" t="n">
        <v>46034</v>
      </c>
      <c r="B45" s="30" t="inlineStr">
        <is>
          <t>SKU-041</t>
        </is>
      </c>
      <c r="C45" s="30" t="inlineStr">
        <is>
          <t>Etsy</t>
        </is>
      </c>
      <c r="D45" s="22" t="n">
        <v>2</v>
      </c>
      <c r="E45" s="24" t="n">
        <v>2.18</v>
      </c>
      <c r="F45" s="24" t="n">
        <v>0.28</v>
      </c>
      <c r="G45" s="35">
        <f>D45*E45</f>
        <v/>
      </c>
      <c r="H45" s="35">
        <f>D45*VLOOKUP(B45,Inventory!$A$5:$J$104,10,FALSE)</f>
        <v/>
      </c>
      <c r="I45" s="35">
        <f>G45-F45-H45</f>
        <v/>
      </c>
      <c r="J45" s="30" t="inlineStr">
        <is>
          <t>Order batch 1</t>
        </is>
      </c>
    </row>
    <row r="46">
      <c r="A46" s="34" t="n">
        <v>46034</v>
      </c>
      <c r="B46" s="30" t="inlineStr">
        <is>
          <t>SKU-042</t>
        </is>
      </c>
      <c r="C46" s="30" t="inlineStr">
        <is>
          <t>Shop</t>
        </is>
      </c>
      <c r="D46" s="22" t="n">
        <v>3</v>
      </c>
      <c r="E46" s="24" t="n">
        <v>2.78</v>
      </c>
      <c r="F46" s="24" t="n">
        <v>0.36</v>
      </c>
      <c r="G46" s="35">
        <f>D46*E46</f>
        <v/>
      </c>
      <c r="H46" s="35">
        <f>D46*VLOOKUP(B46,Inventory!$A$5:$J$104,10,FALSE)</f>
        <v/>
      </c>
      <c r="I46" s="35">
        <f>G46-F46-H46</f>
        <v/>
      </c>
      <c r="J46" s="30" t="inlineStr">
        <is>
          <t>Order batch 1</t>
        </is>
      </c>
    </row>
    <row r="47">
      <c r="A47" s="34" t="n">
        <v>46034</v>
      </c>
      <c r="B47" s="30" t="inlineStr">
        <is>
          <t>SKU-043</t>
        </is>
      </c>
      <c r="C47" s="30" t="inlineStr">
        <is>
          <t>Market</t>
        </is>
      </c>
      <c r="D47" s="22" t="n">
        <v>1</v>
      </c>
      <c r="E47" s="24" t="n">
        <v>2.91</v>
      </c>
      <c r="F47" s="24" t="n">
        <v>0.38</v>
      </c>
      <c r="G47" s="35">
        <f>D47*E47</f>
        <v/>
      </c>
      <c r="H47" s="35">
        <f>D47*VLOOKUP(B47,Inventory!$A$5:$J$104,10,FALSE)</f>
        <v/>
      </c>
      <c r="I47" s="35">
        <f>G47-F47-H47</f>
        <v/>
      </c>
      <c r="J47" s="30" t="inlineStr">
        <is>
          <t>Order batch 1</t>
        </is>
      </c>
    </row>
    <row r="48">
      <c r="A48" s="34" t="n">
        <v>46034</v>
      </c>
      <c r="B48" s="30" t="inlineStr">
        <is>
          <t>SKU-044</t>
        </is>
      </c>
      <c r="C48" s="30" t="inlineStr">
        <is>
          <t>Retail</t>
        </is>
      </c>
      <c r="D48" s="22" t="n">
        <v>2</v>
      </c>
      <c r="E48" s="24" t="n">
        <v>3.48</v>
      </c>
      <c r="F48" s="24" t="n">
        <v>0.45</v>
      </c>
      <c r="G48" s="35">
        <f>D48*E48</f>
        <v/>
      </c>
      <c r="H48" s="35">
        <f>D48*VLOOKUP(B48,Inventory!$A$5:$J$104,10,FALSE)</f>
        <v/>
      </c>
      <c r="I48" s="35">
        <f>G48-F48-H48</f>
        <v/>
      </c>
      <c r="J48" s="30" t="inlineStr">
        <is>
          <t>Order batch 1</t>
        </is>
      </c>
    </row>
    <row r="49">
      <c r="A49" s="34" t="n">
        <v>46034</v>
      </c>
      <c r="B49" s="30" t="inlineStr">
        <is>
          <t>SKU-045</t>
        </is>
      </c>
      <c r="C49" s="30" t="inlineStr">
        <is>
          <t>Wholesale</t>
        </is>
      </c>
      <c r="D49" s="22" t="n">
        <v>3</v>
      </c>
      <c r="E49" s="24" t="n">
        <v>4.08</v>
      </c>
      <c r="F49" s="24" t="n">
        <v>0.53</v>
      </c>
      <c r="G49" s="35">
        <f>D49*E49</f>
        <v/>
      </c>
      <c r="H49" s="35">
        <f>D49*VLOOKUP(B49,Inventory!$A$5:$J$104,10,FALSE)</f>
        <v/>
      </c>
      <c r="I49" s="35">
        <f>G49-F49-H49</f>
        <v/>
      </c>
      <c r="J49" s="30" t="inlineStr">
        <is>
          <t>Order batch 1</t>
        </is>
      </c>
    </row>
    <row r="50">
      <c r="A50" s="34" t="n">
        <v>46035</v>
      </c>
      <c r="B50" s="30" t="inlineStr">
        <is>
          <t>SKU-046</t>
        </is>
      </c>
      <c r="C50" s="30" t="inlineStr">
        <is>
          <t>Etsy</t>
        </is>
      </c>
      <c r="D50" s="22" t="n">
        <v>1</v>
      </c>
      <c r="E50" s="24" t="n">
        <v>5.41</v>
      </c>
      <c r="F50" s="24" t="n">
        <v>0.7</v>
      </c>
      <c r="G50" s="35">
        <f>D50*E50</f>
        <v/>
      </c>
      <c r="H50" s="35">
        <f>D50*VLOOKUP(B50,Inventory!$A$5:$J$104,10,FALSE)</f>
        <v/>
      </c>
      <c r="I50" s="35">
        <f>G50-F50-H50</f>
        <v/>
      </c>
      <c r="J50" s="30" t="inlineStr">
        <is>
          <t>Order batch 1</t>
        </is>
      </c>
    </row>
    <row r="51">
      <c r="A51" s="34" t="n">
        <v>46035</v>
      </c>
      <c r="B51" s="30" t="inlineStr">
        <is>
          <t>SKU-047</t>
        </is>
      </c>
      <c r="C51" s="30" t="inlineStr">
        <is>
          <t>Shop</t>
        </is>
      </c>
      <c r="D51" s="22" t="n">
        <v>2</v>
      </c>
      <c r="E51" s="24" t="n">
        <v>6.08</v>
      </c>
      <c r="F51" s="24" t="n">
        <v>0.79</v>
      </c>
      <c r="G51" s="35">
        <f>D51*E51</f>
        <v/>
      </c>
      <c r="H51" s="35">
        <f>D51*VLOOKUP(B51,Inventory!$A$5:$J$104,10,FALSE)</f>
        <v/>
      </c>
      <c r="I51" s="35">
        <f>G51-F51-H51</f>
        <v/>
      </c>
      <c r="J51" s="30" t="inlineStr">
        <is>
          <t>Order batch 1</t>
        </is>
      </c>
    </row>
    <row r="52">
      <c r="A52" s="34" t="n">
        <v>46035</v>
      </c>
      <c r="B52" s="30" t="inlineStr">
        <is>
          <t>SKU-048</t>
        </is>
      </c>
      <c r="C52" s="30" t="inlineStr">
        <is>
          <t>Market</t>
        </is>
      </c>
      <c r="D52" s="22" t="n">
        <v>3</v>
      </c>
      <c r="E52" s="24" t="n">
        <v>6.78</v>
      </c>
      <c r="F52" s="24" t="n">
        <v>0.88</v>
      </c>
      <c r="G52" s="35">
        <f>D52*E52</f>
        <v/>
      </c>
      <c r="H52" s="35">
        <f>D52*VLOOKUP(B52,Inventory!$A$5:$J$104,10,FALSE)</f>
        <v/>
      </c>
      <c r="I52" s="35">
        <f>G52-F52-H52</f>
        <v/>
      </c>
      <c r="J52" s="30" t="inlineStr">
        <is>
          <t>Order batch 1</t>
        </is>
      </c>
    </row>
    <row r="53">
      <c r="A53" s="34" t="n">
        <v>46035</v>
      </c>
      <c r="B53" s="30" t="inlineStr">
        <is>
          <t>SKU-049</t>
        </is>
      </c>
      <c r="C53" s="30" t="inlineStr">
        <is>
          <t>Retail</t>
        </is>
      </c>
      <c r="D53" s="22" t="n">
        <v>1</v>
      </c>
      <c r="E53" s="24" t="n">
        <v>6.41</v>
      </c>
      <c r="F53" s="24" t="n">
        <v>0.83</v>
      </c>
      <c r="G53" s="35">
        <f>D53*E53</f>
        <v/>
      </c>
      <c r="H53" s="35">
        <f>D53*VLOOKUP(B53,Inventory!$A$5:$J$104,10,FALSE)</f>
        <v/>
      </c>
      <c r="I53" s="35">
        <f>G53-F53-H53</f>
        <v/>
      </c>
      <c r="J53" s="30" t="inlineStr">
        <is>
          <t>Order batch 1</t>
        </is>
      </c>
    </row>
    <row r="54">
      <c r="A54" s="34" t="n">
        <v>46035</v>
      </c>
      <c r="B54" s="30" t="inlineStr">
        <is>
          <t>SKU-050</t>
        </is>
      </c>
      <c r="C54" s="30" t="inlineStr">
        <is>
          <t>Wholesale</t>
        </is>
      </c>
      <c r="D54" s="22" t="n">
        <v>2</v>
      </c>
      <c r="E54" s="24" t="n">
        <v>7.08</v>
      </c>
      <c r="F54" s="24" t="n">
        <v>0.92</v>
      </c>
      <c r="G54" s="35">
        <f>D54*E54</f>
        <v/>
      </c>
      <c r="H54" s="35">
        <f>D54*VLOOKUP(B54,Inventory!$A$5:$J$104,10,FALSE)</f>
        <v/>
      </c>
      <c r="I54" s="35">
        <f>G54-F54-H54</f>
        <v/>
      </c>
      <c r="J54" s="30" t="inlineStr">
        <is>
          <t>Order batch 1</t>
        </is>
      </c>
    </row>
    <row r="55">
      <c r="A55" s="34" t="n">
        <v>46036</v>
      </c>
      <c r="B55" s="30" t="inlineStr">
        <is>
          <t>SKU-051</t>
        </is>
      </c>
      <c r="C55" s="30" t="inlineStr">
        <is>
          <t>Etsy</t>
        </is>
      </c>
      <c r="D55" s="22" t="n">
        <v>3</v>
      </c>
      <c r="E55" s="24" t="n">
        <v>7.28</v>
      </c>
      <c r="F55" s="24" t="n">
        <v>0.95</v>
      </c>
      <c r="G55" s="35">
        <f>D55*E55</f>
        <v/>
      </c>
      <c r="H55" s="35">
        <f>D55*VLOOKUP(B55,Inventory!$A$5:$J$104,10,FALSE)</f>
        <v/>
      </c>
      <c r="I55" s="35">
        <f>G55-F55-H55</f>
        <v/>
      </c>
      <c r="J55" s="30" t="inlineStr">
        <is>
          <t>Order batch 1</t>
        </is>
      </c>
    </row>
    <row r="56">
      <c r="A56" s="34" t="n">
        <v>46036</v>
      </c>
      <c r="B56" s="30" t="inlineStr">
        <is>
          <t>SKU-052</t>
        </is>
      </c>
      <c r="C56" s="30" t="inlineStr">
        <is>
          <t>Shop</t>
        </is>
      </c>
      <c r="D56" s="22" t="n">
        <v>1</v>
      </c>
      <c r="E56" s="24" t="n">
        <v>8</v>
      </c>
      <c r="F56" s="24" t="n">
        <v>1.04</v>
      </c>
      <c r="G56" s="35">
        <f>D56*E56</f>
        <v/>
      </c>
      <c r="H56" s="35">
        <f>D56*VLOOKUP(B56,Inventory!$A$5:$J$104,10,FALSE)</f>
        <v/>
      </c>
      <c r="I56" s="35">
        <f>G56-F56-H56</f>
        <v/>
      </c>
      <c r="J56" s="30" t="inlineStr">
        <is>
          <t>Order batch 1</t>
        </is>
      </c>
    </row>
    <row r="57">
      <c r="A57" s="34" t="n">
        <v>46036</v>
      </c>
      <c r="B57" s="30" t="inlineStr">
        <is>
          <t>SKU-053</t>
        </is>
      </c>
      <c r="C57" s="30" t="inlineStr">
        <is>
          <t>Market</t>
        </is>
      </c>
      <c r="D57" s="22" t="n">
        <v>2</v>
      </c>
      <c r="E57" s="24" t="n">
        <v>8.74</v>
      </c>
      <c r="F57" s="24" t="n">
        <v>1.14</v>
      </c>
      <c r="G57" s="35">
        <f>D57*E57</f>
        <v/>
      </c>
      <c r="H57" s="35">
        <f>D57*VLOOKUP(B57,Inventory!$A$5:$J$104,10,FALSE)</f>
        <v/>
      </c>
      <c r="I57" s="35">
        <f>G57-F57-H57</f>
        <v/>
      </c>
      <c r="J57" s="30" t="inlineStr">
        <is>
          <t>Order batch 1</t>
        </is>
      </c>
    </row>
    <row r="58">
      <c r="A58" s="34" t="n">
        <v>46036</v>
      </c>
      <c r="B58" s="30" t="inlineStr">
        <is>
          <t>SKU-054</t>
        </is>
      </c>
      <c r="C58" s="30" t="inlineStr">
        <is>
          <t>Retail</t>
        </is>
      </c>
      <c r="D58" s="22" t="n">
        <v>3</v>
      </c>
      <c r="E58" s="24" t="n">
        <v>9.5</v>
      </c>
      <c r="F58" s="24" t="n">
        <v>1.24</v>
      </c>
      <c r="G58" s="35">
        <f>D58*E58</f>
        <v/>
      </c>
      <c r="H58" s="35">
        <f>D58*VLOOKUP(B58,Inventory!$A$5:$J$104,10,FALSE)</f>
        <v/>
      </c>
      <c r="I58" s="35">
        <f>G58-F58-H58</f>
        <v/>
      </c>
      <c r="J58" s="30" t="inlineStr">
        <is>
          <t>Order batch 1</t>
        </is>
      </c>
    </row>
    <row r="59">
      <c r="A59" s="34" t="n">
        <v>46036</v>
      </c>
      <c r="B59" s="30" t="inlineStr">
        <is>
          <t>SKU-055</t>
        </is>
      </c>
      <c r="C59" s="30" t="inlineStr">
        <is>
          <t>Wholesale</t>
        </is>
      </c>
      <c r="D59" s="22" t="n">
        <v>1</v>
      </c>
      <c r="E59" s="24" t="n">
        <v>8.789999999999999</v>
      </c>
      <c r="F59" s="24" t="n">
        <v>1.14</v>
      </c>
      <c r="G59" s="35">
        <f>D59*E59</f>
        <v/>
      </c>
      <c r="H59" s="35">
        <f>D59*VLOOKUP(B59,Inventory!$A$5:$J$104,10,FALSE)</f>
        <v/>
      </c>
      <c r="I59" s="35">
        <f>G59-F59-H59</f>
        <v/>
      </c>
      <c r="J59" s="30" t="inlineStr">
        <is>
          <t>Order batch 1</t>
        </is>
      </c>
    </row>
    <row r="60">
      <c r="A60" s="34" t="n">
        <v>46037</v>
      </c>
      <c r="B60" s="30" t="inlineStr">
        <is>
          <t>SKU-056</t>
        </is>
      </c>
      <c r="C60" s="30" t="inlineStr">
        <is>
          <t>Etsy</t>
        </is>
      </c>
      <c r="D60" s="22" t="n">
        <v>2</v>
      </c>
      <c r="E60" s="24" t="n">
        <v>2.91</v>
      </c>
      <c r="F60" s="24" t="n">
        <v>0.38</v>
      </c>
      <c r="G60" s="35">
        <f>D60*E60</f>
        <v/>
      </c>
      <c r="H60" s="35">
        <f>D60*VLOOKUP(B60,Inventory!$A$5:$J$104,10,FALSE)</f>
        <v/>
      </c>
      <c r="I60" s="35">
        <f>G60-F60-H60</f>
        <v/>
      </c>
      <c r="J60" s="30" t="inlineStr">
        <is>
          <t>Order batch 1</t>
        </is>
      </c>
    </row>
    <row r="61">
      <c r="A61" s="34" t="n">
        <v>46037</v>
      </c>
      <c r="B61" s="30" t="inlineStr">
        <is>
          <t>SKU-057</t>
        </is>
      </c>
      <c r="C61" s="30" t="inlineStr">
        <is>
          <t>Shop</t>
        </is>
      </c>
      <c r="D61" s="22" t="n">
        <v>3</v>
      </c>
      <c r="E61" s="24" t="n">
        <v>3.49</v>
      </c>
      <c r="F61" s="24" t="n">
        <v>0.45</v>
      </c>
      <c r="G61" s="35">
        <f>D61*E61</f>
        <v/>
      </c>
      <c r="H61" s="35">
        <f>D61*VLOOKUP(B61,Inventory!$A$5:$J$104,10,FALSE)</f>
        <v/>
      </c>
      <c r="I61" s="35">
        <f>G61-F61-H61</f>
        <v/>
      </c>
      <c r="J61" s="30" t="inlineStr">
        <is>
          <t>Order batch 1</t>
        </is>
      </c>
    </row>
    <row r="62">
      <c r="A62" s="34" t="n">
        <v>46037</v>
      </c>
      <c r="B62" s="30" t="inlineStr">
        <is>
          <t>SKU-058</t>
        </is>
      </c>
      <c r="C62" s="30" t="inlineStr">
        <is>
          <t>Market</t>
        </is>
      </c>
      <c r="D62" s="22" t="n">
        <v>1</v>
      </c>
      <c r="E62" s="24" t="n">
        <v>4.1</v>
      </c>
      <c r="F62" s="24" t="n">
        <v>0.53</v>
      </c>
      <c r="G62" s="35">
        <f>D62*E62</f>
        <v/>
      </c>
      <c r="H62" s="35">
        <f>D62*VLOOKUP(B62,Inventory!$A$5:$J$104,10,FALSE)</f>
        <v/>
      </c>
      <c r="I62" s="35">
        <f>G62-F62-H62</f>
        <v/>
      </c>
      <c r="J62" s="30" t="inlineStr">
        <is>
          <t>Order batch 1</t>
        </is>
      </c>
    </row>
    <row r="63">
      <c r="A63" s="34" t="n">
        <v>46037</v>
      </c>
      <c r="B63" s="30" t="inlineStr">
        <is>
          <t>SKU-059</t>
        </is>
      </c>
      <c r="C63" s="30" t="inlineStr">
        <is>
          <t>Retail</t>
        </is>
      </c>
      <c r="D63" s="22" t="n">
        <v>2</v>
      </c>
      <c r="E63" s="24" t="n">
        <v>4.74</v>
      </c>
      <c r="F63" s="24" t="n">
        <v>0.62</v>
      </c>
      <c r="G63" s="35">
        <f>D63*E63</f>
        <v/>
      </c>
      <c r="H63" s="35">
        <f>D63*VLOOKUP(B63,Inventory!$A$5:$J$104,10,FALSE)</f>
        <v/>
      </c>
      <c r="I63" s="35">
        <f>G63-F63-H63</f>
        <v/>
      </c>
      <c r="J63" s="30" t="inlineStr">
        <is>
          <t>Order batch 1</t>
        </is>
      </c>
    </row>
    <row r="64">
      <c r="A64" s="34" t="n">
        <v>46037</v>
      </c>
      <c r="B64" s="30" t="inlineStr">
        <is>
          <t>SKU-060</t>
        </is>
      </c>
      <c r="C64" s="30" t="inlineStr">
        <is>
          <t>Wholesale</t>
        </is>
      </c>
      <c r="D64" s="22" t="n">
        <v>3</v>
      </c>
      <c r="E64" s="24" t="n">
        <v>5.41</v>
      </c>
      <c r="F64" s="24" t="n">
        <v>0.7</v>
      </c>
      <c r="G64" s="35">
        <f>D64*E64</f>
        <v/>
      </c>
      <c r="H64" s="35">
        <f>D64*VLOOKUP(B64,Inventory!$A$5:$J$104,10,FALSE)</f>
        <v/>
      </c>
      <c r="I64" s="35">
        <f>G64-F64-H64</f>
        <v/>
      </c>
      <c r="J64" s="30" t="inlineStr">
        <is>
          <t>Order batch 1</t>
        </is>
      </c>
    </row>
    <row r="65">
      <c r="A65" s="34" t="n">
        <v>46038</v>
      </c>
      <c r="B65" s="30" t="inlineStr">
        <is>
          <t>SKU-061</t>
        </is>
      </c>
      <c r="C65" s="30" t="inlineStr">
        <is>
          <t>Etsy</t>
        </is>
      </c>
      <c r="D65" s="22" t="n">
        <v>1</v>
      </c>
      <c r="E65" s="24" t="n">
        <v>9.970000000000001</v>
      </c>
      <c r="F65" s="24" t="n">
        <v>1.3</v>
      </c>
      <c r="G65" s="35">
        <f>D65*E65</f>
        <v/>
      </c>
      <c r="H65" s="35">
        <f>D65*VLOOKUP(B65,Inventory!$A$5:$J$104,10,FALSE)</f>
        <v/>
      </c>
      <c r="I65" s="35">
        <f>G65-F65-H65</f>
        <v/>
      </c>
      <c r="J65" s="30" t="inlineStr">
        <is>
          <t>Order batch 1</t>
        </is>
      </c>
    </row>
    <row r="66">
      <c r="A66" s="34" t="n">
        <v>46038</v>
      </c>
      <c r="B66" s="30" t="inlineStr">
        <is>
          <t>SKU-062</t>
        </is>
      </c>
      <c r="C66" s="30" t="inlineStr">
        <is>
          <t>Shop</t>
        </is>
      </c>
      <c r="D66" s="22" t="n">
        <v>2</v>
      </c>
      <c r="E66" s="24" t="n">
        <v>10.74</v>
      </c>
      <c r="F66" s="24" t="n">
        <v>1.4</v>
      </c>
      <c r="G66" s="35">
        <f>D66*E66</f>
        <v/>
      </c>
      <c r="H66" s="35">
        <f>D66*VLOOKUP(B66,Inventory!$A$5:$J$104,10,FALSE)</f>
        <v/>
      </c>
      <c r="I66" s="35">
        <f>G66-F66-H66</f>
        <v/>
      </c>
      <c r="J66" s="30" t="inlineStr">
        <is>
          <t>Order batch 1</t>
        </is>
      </c>
    </row>
    <row r="67">
      <c r="A67" s="34" t="n">
        <v>46038</v>
      </c>
      <c r="B67" s="30" t="inlineStr">
        <is>
          <t>SKU-063</t>
        </is>
      </c>
      <c r="C67" s="30" t="inlineStr">
        <is>
          <t>Market</t>
        </is>
      </c>
      <c r="D67" s="22" t="n">
        <v>3</v>
      </c>
      <c r="E67" s="24" t="n">
        <v>11.54</v>
      </c>
      <c r="F67" s="24" t="n">
        <v>1.5</v>
      </c>
      <c r="G67" s="35">
        <f>D67*E67</f>
        <v/>
      </c>
      <c r="H67" s="35">
        <f>D67*VLOOKUP(B67,Inventory!$A$5:$J$104,10,FALSE)</f>
        <v/>
      </c>
      <c r="I67" s="35">
        <f>G67-F67-H67</f>
        <v/>
      </c>
      <c r="J67" s="30" t="inlineStr">
        <is>
          <t>Order batch 1</t>
        </is>
      </c>
    </row>
    <row r="68">
      <c r="A68" s="34" t="n">
        <v>46038</v>
      </c>
      <c r="B68" s="30" t="inlineStr">
        <is>
          <t>SKU-064</t>
        </is>
      </c>
      <c r="C68" s="30" t="inlineStr">
        <is>
          <t>Retail</t>
        </is>
      </c>
      <c r="D68" s="22" t="n">
        <v>1</v>
      </c>
      <c r="E68" s="24" t="n">
        <v>12.37</v>
      </c>
      <c r="F68" s="24" t="n">
        <v>1.61</v>
      </c>
      <c r="G68" s="35">
        <f>D68*E68</f>
        <v/>
      </c>
      <c r="H68" s="35">
        <f>D68*VLOOKUP(B68,Inventory!$A$5:$J$104,10,FALSE)</f>
        <v/>
      </c>
      <c r="I68" s="35">
        <f>G68-F68-H68</f>
        <v/>
      </c>
      <c r="J68" s="30" t="inlineStr">
        <is>
          <t>Order batch 1</t>
        </is>
      </c>
    </row>
    <row r="69">
      <c r="A69" s="34" t="n">
        <v>46038</v>
      </c>
      <c r="B69" s="30" t="inlineStr">
        <is>
          <t>SKU-065</t>
        </is>
      </c>
      <c r="C69" s="30" t="inlineStr">
        <is>
          <t>Wholesale</t>
        </is>
      </c>
      <c r="D69" s="22" t="n">
        <v>2</v>
      </c>
      <c r="E69" s="24" t="n">
        <v>13.23</v>
      </c>
      <c r="F69" s="24" t="n">
        <v>1.72</v>
      </c>
      <c r="G69" s="35">
        <f>D69*E69</f>
        <v/>
      </c>
      <c r="H69" s="35">
        <f>D69*VLOOKUP(B69,Inventory!$A$5:$J$104,10,FALSE)</f>
        <v/>
      </c>
      <c r="I69" s="35">
        <f>G69-F69-H69</f>
        <v/>
      </c>
      <c r="J69" s="30" t="inlineStr">
        <is>
          <t>Order batch 1</t>
        </is>
      </c>
    </row>
    <row r="70">
      <c r="A70" s="34" t="n">
        <v>46039</v>
      </c>
      <c r="B70" s="30" t="inlineStr">
        <is>
          <t>SKU-066</t>
        </is>
      </c>
      <c r="C70" s="30" t="inlineStr">
        <is>
          <t>Etsy</t>
        </is>
      </c>
      <c r="D70" s="22" t="n">
        <v>3</v>
      </c>
      <c r="E70" s="24" t="n">
        <v>17.15</v>
      </c>
      <c r="F70" s="24" t="n">
        <v>2.23</v>
      </c>
      <c r="G70" s="35">
        <f>D70*E70</f>
        <v/>
      </c>
      <c r="H70" s="35">
        <f>D70*VLOOKUP(B70,Inventory!$A$5:$J$104,10,FALSE)</f>
        <v/>
      </c>
      <c r="I70" s="35">
        <f>G70-F70-H70</f>
        <v/>
      </c>
      <c r="J70" s="30" t="inlineStr">
        <is>
          <t>Order batch 1</t>
        </is>
      </c>
    </row>
    <row r="71">
      <c r="A71" s="34" t="n">
        <v>46039</v>
      </c>
      <c r="B71" s="30" t="inlineStr">
        <is>
          <t>SKU-067</t>
        </is>
      </c>
      <c r="C71" s="30" t="inlineStr">
        <is>
          <t>Shop</t>
        </is>
      </c>
      <c r="D71" s="22" t="n">
        <v>1</v>
      </c>
      <c r="E71" s="24" t="n">
        <v>15.48</v>
      </c>
      <c r="F71" s="24" t="n">
        <v>2.01</v>
      </c>
      <c r="G71" s="35">
        <f>D71*E71</f>
        <v/>
      </c>
      <c r="H71" s="35">
        <f>D71*VLOOKUP(B71,Inventory!$A$5:$J$104,10,FALSE)</f>
        <v/>
      </c>
      <c r="I71" s="35">
        <f>G71-F71-H71</f>
        <v/>
      </c>
      <c r="J71" s="30" t="inlineStr">
        <is>
          <t>Order batch 1</t>
        </is>
      </c>
    </row>
    <row r="72">
      <c r="A72" s="34" t="n">
        <v>46039</v>
      </c>
      <c r="B72" s="30" t="inlineStr">
        <is>
          <t>SKU-068</t>
        </is>
      </c>
      <c r="C72" s="30" t="inlineStr">
        <is>
          <t>Market</t>
        </is>
      </c>
      <c r="D72" s="22" t="n">
        <v>2</v>
      </c>
      <c r="E72" s="24" t="n">
        <v>16.42</v>
      </c>
      <c r="F72" s="24" t="n">
        <v>2.13</v>
      </c>
      <c r="G72" s="35">
        <f>D72*E72</f>
        <v/>
      </c>
      <c r="H72" s="35">
        <f>D72*VLOOKUP(B72,Inventory!$A$5:$J$104,10,FALSE)</f>
        <v/>
      </c>
      <c r="I72" s="35">
        <f>G72-F72-H72</f>
        <v/>
      </c>
      <c r="J72" s="30" t="inlineStr">
        <is>
          <t>Order batch 1</t>
        </is>
      </c>
    </row>
    <row r="73">
      <c r="A73" s="34" t="n">
        <v>46039</v>
      </c>
      <c r="B73" s="30" t="inlineStr">
        <is>
          <t>SKU-069</t>
        </is>
      </c>
      <c r="C73" s="30" t="inlineStr">
        <is>
          <t>Retail</t>
        </is>
      </c>
      <c r="D73" s="22" t="n">
        <v>3</v>
      </c>
      <c r="E73" s="24" t="n">
        <v>17.38</v>
      </c>
      <c r="F73" s="24" t="n">
        <v>2.26</v>
      </c>
      <c r="G73" s="35">
        <f>D73*E73</f>
        <v/>
      </c>
      <c r="H73" s="35">
        <f>D73*VLOOKUP(B73,Inventory!$A$5:$J$104,10,FALSE)</f>
        <v/>
      </c>
      <c r="I73" s="35">
        <f>G73-F73-H73</f>
        <v/>
      </c>
      <c r="J73" s="30" t="inlineStr">
        <is>
          <t>Order batch 1</t>
        </is>
      </c>
    </row>
    <row r="74">
      <c r="A74" s="34" t="n">
        <v>46039</v>
      </c>
      <c r="B74" s="30" t="inlineStr">
        <is>
          <t>SKU-070</t>
        </is>
      </c>
      <c r="C74" s="30" t="inlineStr">
        <is>
          <t>Wholesale</t>
        </is>
      </c>
      <c r="D74" s="22" t="n">
        <v>1</v>
      </c>
      <c r="E74" s="24" t="n">
        <v>18.36</v>
      </c>
      <c r="F74" s="24" t="n">
        <v>2.39</v>
      </c>
      <c r="G74" s="35">
        <f>D74*E74</f>
        <v/>
      </c>
      <c r="H74" s="35">
        <f>D74*VLOOKUP(B74,Inventory!$A$5:$J$104,10,FALSE)</f>
        <v/>
      </c>
      <c r="I74" s="35">
        <f>G74-F74-H74</f>
        <v/>
      </c>
      <c r="J74" s="30" t="inlineStr">
        <is>
          <t>Order batch 1</t>
        </is>
      </c>
    </row>
    <row r="75">
      <c r="A75" s="34" t="n">
        <v>46040</v>
      </c>
      <c r="B75" s="30" t="inlineStr">
        <is>
          <t>SKU-071</t>
        </is>
      </c>
      <c r="C75" s="30" t="inlineStr">
        <is>
          <t>Etsy</t>
        </is>
      </c>
      <c r="D75" s="22" t="n">
        <v>2</v>
      </c>
      <c r="E75" s="24" t="n">
        <v>2.31</v>
      </c>
      <c r="F75" s="24" t="n">
        <v>0.3</v>
      </c>
      <c r="G75" s="35">
        <f>D75*E75</f>
        <v/>
      </c>
      <c r="H75" s="35">
        <f>D75*VLOOKUP(B75,Inventory!$A$5:$J$104,10,FALSE)</f>
        <v/>
      </c>
      <c r="I75" s="35">
        <f>G75-F75-H75</f>
        <v/>
      </c>
      <c r="J75" s="30" t="inlineStr">
        <is>
          <t>Order batch 1</t>
        </is>
      </c>
    </row>
    <row r="76">
      <c r="A76" s="34" t="n">
        <v>46040</v>
      </c>
      <c r="B76" s="30" t="inlineStr">
        <is>
          <t>SKU-072</t>
        </is>
      </c>
      <c r="C76" s="30" t="inlineStr">
        <is>
          <t>Shop</t>
        </is>
      </c>
      <c r="D76" s="22" t="n">
        <v>3</v>
      </c>
      <c r="E76" s="24" t="n">
        <v>2.91</v>
      </c>
      <c r="F76" s="24" t="n">
        <v>0.38</v>
      </c>
      <c r="G76" s="35">
        <f>D76*E76</f>
        <v/>
      </c>
      <c r="H76" s="35">
        <f>D76*VLOOKUP(B76,Inventory!$A$5:$J$104,10,FALSE)</f>
        <v/>
      </c>
      <c r="I76" s="35">
        <f>G76-F76-H76</f>
        <v/>
      </c>
      <c r="J76" s="30" t="inlineStr">
        <is>
          <t>Order batch 1</t>
        </is>
      </c>
    </row>
    <row r="77">
      <c r="A77" s="34" t="n">
        <v>46040</v>
      </c>
      <c r="B77" s="30" t="inlineStr">
        <is>
          <t>SKU-073</t>
        </is>
      </c>
      <c r="C77" s="30" t="inlineStr">
        <is>
          <t>Market</t>
        </is>
      </c>
      <c r="D77" s="22" t="n">
        <v>1</v>
      </c>
      <c r="E77" s="24" t="n">
        <v>3.02</v>
      </c>
      <c r="F77" s="24" t="n">
        <v>0.39</v>
      </c>
      <c r="G77" s="35">
        <f>D77*E77</f>
        <v/>
      </c>
      <c r="H77" s="35">
        <f>D77*VLOOKUP(B77,Inventory!$A$5:$J$104,10,FALSE)</f>
        <v/>
      </c>
      <c r="I77" s="35">
        <f>G77-F77-H77</f>
        <v/>
      </c>
      <c r="J77" s="30" t="inlineStr">
        <is>
          <t>Order batch 1</t>
        </is>
      </c>
    </row>
    <row r="78">
      <c r="A78" s="34" t="n">
        <v>46040</v>
      </c>
      <c r="B78" s="30" t="inlineStr">
        <is>
          <t>SKU-074</t>
        </is>
      </c>
      <c r="C78" s="30" t="inlineStr">
        <is>
          <t>Retail</t>
        </is>
      </c>
      <c r="D78" s="22" t="n">
        <v>2</v>
      </c>
      <c r="E78" s="24" t="n">
        <v>3.6</v>
      </c>
      <c r="F78" s="24" t="n">
        <v>0.47</v>
      </c>
      <c r="G78" s="35">
        <f>D78*E78</f>
        <v/>
      </c>
      <c r="H78" s="35">
        <f>D78*VLOOKUP(B78,Inventory!$A$5:$J$104,10,FALSE)</f>
        <v/>
      </c>
      <c r="I78" s="35">
        <f>G78-F78-H78</f>
        <v/>
      </c>
      <c r="J78" s="30" t="inlineStr">
        <is>
          <t>Order batch 1</t>
        </is>
      </c>
    </row>
    <row r="79">
      <c r="A79" s="34" t="n">
        <v>46040</v>
      </c>
      <c r="B79" s="30" t="inlineStr">
        <is>
          <t>SKU-075</t>
        </is>
      </c>
      <c r="C79" s="30" t="inlineStr">
        <is>
          <t>Wholesale</t>
        </is>
      </c>
      <c r="D79" s="22" t="n">
        <v>3</v>
      </c>
      <c r="E79" s="24" t="n">
        <v>4.2</v>
      </c>
      <c r="F79" s="24" t="n">
        <v>0.55</v>
      </c>
      <c r="G79" s="35">
        <f>D79*E79</f>
        <v/>
      </c>
      <c r="H79" s="35">
        <f>D79*VLOOKUP(B79,Inventory!$A$5:$J$104,10,FALSE)</f>
        <v/>
      </c>
      <c r="I79" s="35">
        <f>G79-F79-H79</f>
        <v/>
      </c>
      <c r="J79" s="30" t="inlineStr">
        <is>
          <t>Order batch 1</t>
        </is>
      </c>
    </row>
    <row r="80">
      <c r="A80" s="34" t="n">
        <v>46041</v>
      </c>
      <c r="B80" s="30" t="inlineStr">
        <is>
          <t>SKU-076</t>
        </is>
      </c>
      <c r="C80" s="30" t="inlineStr">
        <is>
          <t>Etsy</t>
        </is>
      </c>
      <c r="D80" s="22" t="n">
        <v>1</v>
      </c>
      <c r="E80" s="24" t="n">
        <v>2.92</v>
      </c>
      <c r="F80" s="24" t="n">
        <v>0.38</v>
      </c>
      <c r="G80" s="35">
        <f>D80*E80</f>
        <v/>
      </c>
      <c r="H80" s="35">
        <f>D80*VLOOKUP(B80,Inventory!$A$5:$J$104,10,FALSE)</f>
        <v/>
      </c>
      <c r="I80" s="35">
        <f>G80-F80-H80</f>
        <v/>
      </c>
      <c r="J80" s="30" t="inlineStr">
        <is>
          <t>Order batch 1</t>
        </is>
      </c>
    </row>
    <row r="81">
      <c r="A81" s="34" t="n">
        <v>46041</v>
      </c>
      <c r="B81" s="30" t="inlineStr">
        <is>
          <t>SKU-077</t>
        </is>
      </c>
      <c r="C81" s="30" t="inlineStr">
        <is>
          <t>Shop</t>
        </is>
      </c>
      <c r="D81" s="22" t="n">
        <v>2</v>
      </c>
      <c r="E81" s="24" t="n">
        <v>3.53</v>
      </c>
      <c r="F81" s="24" t="n">
        <v>0.46</v>
      </c>
      <c r="G81" s="35">
        <f>D81*E81</f>
        <v/>
      </c>
      <c r="H81" s="35">
        <f>D81*VLOOKUP(B81,Inventory!$A$5:$J$104,10,FALSE)</f>
        <v/>
      </c>
      <c r="I81" s="35">
        <f>G81-F81-H81</f>
        <v/>
      </c>
      <c r="J81" s="30" t="inlineStr">
        <is>
          <t>Order batch 1</t>
        </is>
      </c>
    </row>
    <row r="82">
      <c r="A82" s="34" t="n">
        <v>46041</v>
      </c>
      <c r="B82" s="30" t="inlineStr">
        <is>
          <t>SKU-078</t>
        </is>
      </c>
      <c r="C82" s="30" t="inlineStr">
        <is>
          <t>Market</t>
        </is>
      </c>
      <c r="D82" s="22" t="n">
        <v>3</v>
      </c>
      <c r="E82" s="24" t="n">
        <v>4.16</v>
      </c>
      <c r="F82" s="24" t="n">
        <v>0.54</v>
      </c>
      <c r="G82" s="35">
        <f>D82*E82</f>
        <v/>
      </c>
      <c r="H82" s="35">
        <f>D82*VLOOKUP(B82,Inventory!$A$5:$J$104,10,FALSE)</f>
        <v/>
      </c>
      <c r="I82" s="35">
        <f>G82-F82-H82</f>
        <v/>
      </c>
      <c r="J82" s="30" t="inlineStr">
        <is>
          <t>Order batch 1</t>
        </is>
      </c>
    </row>
    <row r="83">
      <c r="A83" s="34" t="n">
        <v>46041</v>
      </c>
      <c r="B83" s="30" t="inlineStr">
        <is>
          <t>SKU-079</t>
        </is>
      </c>
      <c r="C83" s="30" t="inlineStr">
        <is>
          <t>Retail</t>
        </is>
      </c>
      <c r="D83" s="22" t="n">
        <v>1</v>
      </c>
      <c r="E83" s="24" t="n">
        <v>4.12</v>
      </c>
      <c r="F83" s="24" t="n">
        <v>0.54</v>
      </c>
      <c r="G83" s="35">
        <f>D83*E83</f>
        <v/>
      </c>
      <c r="H83" s="35">
        <f>D83*VLOOKUP(B83,Inventory!$A$5:$J$104,10,FALSE)</f>
        <v/>
      </c>
      <c r="I83" s="35">
        <f>G83-F83-H83</f>
        <v/>
      </c>
      <c r="J83" s="30" t="inlineStr">
        <is>
          <t>Order batch 1</t>
        </is>
      </c>
    </row>
    <row r="84">
      <c r="A84" s="34" t="n">
        <v>46041</v>
      </c>
      <c r="B84" s="30" t="inlineStr">
        <is>
          <t>SKU-080</t>
        </is>
      </c>
      <c r="C84" s="30" t="inlineStr">
        <is>
          <t>Wholesale</t>
        </is>
      </c>
      <c r="D84" s="22" t="n">
        <v>2</v>
      </c>
      <c r="E84" s="24" t="n">
        <v>4.72</v>
      </c>
      <c r="F84" s="24" t="n">
        <v>0.61</v>
      </c>
      <c r="G84" s="35">
        <f>D84*E84</f>
        <v/>
      </c>
      <c r="H84" s="35">
        <f>D84*VLOOKUP(B84,Inventory!$A$5:$J$104,10,FALSE)</f>
        <v/>
      </c>
      <c r="I84" s="35">
        <f>G84-F84-H84</f>
        <v/>
      </c>
      <c r="J84" s="30" t="inlineStr">
        <is>
          <t>Order batch 1</t>
        </is>
      </c>
    </row>
    <row r="85">
      <c r="A85" s="34" t="n">
        <v>46042</v>
      </c>
      <c r="B85" s="30" t="inlineStr">
        <is>
          <t>SKU-081</t>
        </is>
      </c>
      <c r="C85" s="30" t="inlineStr">
        <is>
          <t>Etsy</t>
        </is>
      </c>
      <c r="D85" s="22" t="n">
        <v>3</v>
      </c>
      <c r="E85" s="24" t="n">
        <v>3.97</v>
      </c>
      <c r="F85" s="24" t="n">
        <v>0.52</v>
      </c>
      <c r="G85" s="35">
        <f>D85*E85</f>
        <v/>
      </c>
      <c r="H85" s="35">
        <f>D85*VLOOKUP(B85,Inventory!$A$5:$J$104,10,FALSE)</f>
        <v/>
      </c>
      <c r="I85" s="35">
        <f>G85-F85-H85</f>
        <v/>
      </c>
      <c r="J85" s="30" t="inlineStr">
        <is>
          <t>Order batch 1</t>
        </is>
      </c>
    </row>
    <row r="86">
      <c r="A86" s="34" t="n">
        <v>46042</v>
      </c>
      <c r="B86" s="30" t="inlineStr">
        <is>
          <t>SKU-082</t>
        </is>
      </c>
      <c r="C86" s="30" t="inlineStr">
        <is>
          <t>Shop</t>
        </is>
      </c>
      <c r="D86" s="22" t="n">
        <v>1</v>
      </c>
      <c r="E86" s="24" t="n">
        <v>4.59</v>
      </c>
      <c r="F86" s="24" t="n">
        <v>0.6</v>
      </c>
      <c r="G86" s="35">
        <f>D86*E86</f>
        <v/>
      </c>
      <c r="H86" s="35">
        <f>D86*VLOOKUP(B86,Inventory!$A$5:$J$104,10,FALSE)</f>
        <v/>
      </c>
      <c r="I86" s="35">
        <f>G86-F86-H86</f>
        <v/>
      </c>
      <c r="J86" s="30" t="inlineStr">
        <is>
          <t>Order batch 1</t>
        </is>
      </c>
    </row>
    <row r="87">
      <c r="A87" s="34" t="n">
        <v>46042</v>
      </c>
      <c r="B87" s="30" t="inlineStr">
        <is>
          <t>SKU-083</t>
        </is>
      </c>
      <c r="C87" s="30" t="inlineStr">
        <is>
          <t>Market</t>
        </is>
      </c>
      <c r="D87" s="22" t="n">
        <v>2</v>
      </c>
      <c r="E87" s="24" t="n">
        <v>5.24</v>
      </c>
      <c r="F87" s="24" t="n">
        <v>0.68</v>
      </c>
      <c r="G87" s="35">
        <f>D87*E87</f>
        <v/>
      </c>
      <c r="H87" s="35">
        <f>D87*VLOOKUP(B87,Inventory!$A$5:$J$104,10,FALSE)</f>
        <v/>
      </c>
      <c r="I87" s="35">
        <f>G87-F87-H87</f>
        <v/>
      </c>
      <c r="J87" s="30" t="inlineStr">
        <is>
          <t>Order batch 1</t>
        </is>
      </c>
    </row>
    <row r="88">
      <c r="A88" s="34" t="n">
        <v>46042</v>
      </c>
      <c r="B88" s="30" t="inlineStr">
        <is>
          <t>SKU-084</t>
        </is>
      </c>
      <c r="C88" s="30" t="inlineStr">
        <is>
          <t>Retail</t>
        </is>
      </c>
      <c r="D88" s="22" t="n">
        <v>3</v>
      </c>
      <c r="E88" s="24" t="n">
        <v>5.92</v>
      </c>
      <c r="F88" s="24" t="n">
        <v>0.77</v>
      </c>
      <c r="G88" s="35">
        <f>D88*E88</f>
        <v/>
      </c>
      <c r="H88" s="35">
        <f>D88*VLOOKUP(B88,Inventory!$A$5:$J$104,10,FALSE)</f>
        <v/>
      </c>
      <c r="I88" s="35">
        <f>G88-F88-H88</f>
        <v/>
      </c>
      <c r="J88" s="30" t="inlineStr">
        <is>
          <t>Order batch 1</t>
        </is>
      </c>
    </row>
    <row r="89">
      <c r="A89" s="34" t="n">
        <v>46042</v>
      </c>
      <c r="B89" s="30" t="inlineStr">
        <is>
          <t>SKU-085</t>
        </is>
      </c>
      <c r="C89" s="30" t="inlineStr">
        <is>
          <t>Wholesale</t>
        </is>
      </c>
      <c r="D89" s="22" t="n">
        <v>1</v>
      </c>
      <c r="E89" s="24" t="n">
        <v>5.66</v>
      </c>
      <c r="F89" s="24" t="n">
        <v>0.74</v>
      </c>
      <c r="G89" s="35">
        <f>D89*E89</f>
        <v/>
      </c>
      <c r="H89" s="35">
        <f>D89*VLOOKUP(B89,Inventory!$A$5:$J$104,10,FALSE)</f>
        <v/>
      </c>
      <c r="I89" s="35">
        <f>G89-F89-H89</f>
        <v/>
      </c>
      <c r="J89" s="30" t="inlineStr">
        <is>
          <t>Order batch 1</t>
        </is>
      </c>
    </row>
    <row r="90">
      <c r="A90" s="34" t="n">
        <v>46043</v>
      </c>
      <c r="B90" s="30" t="inlineStr">
        <is>
          <t>SKU-086</t>
        </is>
      </c>
      <c r="C90" s="30" t="inlineStr">
        <is>
          <t>Etsy</t>
        </is>
      </c>
      <c r="D90" s="22" t="n">
        <v>2</v>
      </c>
      <c r="E90" s="24" t="n">
        <v>1.84</v>
      </c>
      <c r="F90" s="24" t="n">
        <v>0.24</v>
      </c>
      <c r="G90" s="35">
        <f>D90*E90</f>
        <v/>
      </c>
      <c r="H90" s="35">
        <f>D90*VLOOKUP(B90,Inventory!$A$5:$J$104,10,FALSE)</f>
        <v/>
      </c>
      <c r="I90" s="35">
        <f>G90-F90-H90</f>
        <v/>
      </c>
      <c r="J90" s="30" t="inlineStr">
        <is>
          <t>Order batch 1</t>
        </is>
      </c>
    </row>
    <row r="91">
      <c r="A91" s="34" t="n">
        <v>46043</v>
      </c>
      <c r="B91" s="30" t="inlineStr">
        <is>
          <t>SKU-087</t>
        </is>
      </c>
      <c r="C91" s="30" t="inlineStr">
        <is>
          <t>Shop</t>
        </is>
      </c>
      <c r="D91" s="22" t="n">
        <v>3</v>
      </c>
      <c r="E91" s="24" t="n">
        <v>2.4</v>
      </c>
      <c r="F91" s="24" t="n">
        <v>0.31</v>
      </c>
      <c r="G91" s="35">
        <f>D91*E91</f>
        <v/>
      </c>
      <c r="H91" s="35">
        <f>D91*VLOOKUP(B91,Inventory!$A$5:$J$104,10,FALSE)</f>
        <v/>
      </c>
      <c r="I91" s="35">
        <f>G91-F91-H91</f>
        <v/>
      </c>
      <c r="J91" s="30" t="inlineStr">
        <is>
          <t>Order batch 1</t>
        </is>
      </c>
    </row>
    <row r="92">
      <c r="A92" s="34" t="n">
        <v>46043</v>
      </c>
      <c r="B92" s="30" t="inlineStr">
        <is>
          <t>SKU-088</t>
        </is>
      </c>
      <c r="C92" s="30" t="inlineStr">
        <is>
          <t>Market</t>
        </is>
      </c>
      <c r="D92" s="22" t="n">
        <v>1</v>
      </c>
      <c r="E92" s="24" t="n">
        <v>2.98</v>
      </c>
      <c r="F92" s="24" t="n">
        <v>0.39</v>
      </c>
      <c r="G92" s="35">
        <f>D92*E92</f>
        <v/>
      </c>
      <c r="H92" s="35">
        <f>D92*VLOOKUP(B92,Inventory!$A$5:$J$104,10,FALSE)</f>
        <v/>
      </c>
      <c r="I92" s="35">
        <f>G92-F92-H92</f>
        <v/>
      </c>
      <c r="J92" s="30" t="inlineStr">
        <is>
          <t>Order batch 1</t>
        </is>
      </c>
    </row>
    <row r="93">
      <c r="A93" s="34" t="n">
        <v>46043</v>
      </c>
      <c r="B93" s="30" t="inlineStr">
        <is>
          <t>SKU-089</t>
        </is>
      </c>
      <c r="C93" s="30" t="inlineStr">
        <is>
          <t>Retail</t>
        </is>
      </c>
      <c r="D93" s="22" t="n">
        <v>2</v>
      </c>
      <c r="E93" s="24" t="n">
        <v>3.59</v>
      </c>
      <c r="F93" s="24" t="n">
        <v>0.47</v>
      </c>
      <c r="G93" s="35">
        <f>D93*E93</f>
        <v/>
      </c>
      <c r="H93" s="35">
        <f>D93*VLOOKUP(B93,Inventory!$A$5:$J$104,10,FALSE)</f>
        <v/>
      </c>
      <c r="I93" s="35">
        <f>G93-F93-H93</f>
        <v/>
      </c>
      <c r="J93" s="30" t="inlineStr">
        <is>
          <t>Order batch 1</t>
        </is>
      </c>
    </row>
    <row r="94">
      <c r="A94" s="34" t="n">
        <v>46043</v>
      </c>
      <c r="B94" s="30" t="inlineStr">
        <is>
          <t>SKU-090</t>
        </is>
      </c>
      <c r="C94" s="30" t="inlineStr">
        <is>
          <t>Wholesale</t>
        </is>
      </c>
      <c r="D94" s="22" t="n">
        <v>3</v>
      </c>
      <c r="E94" s="24" t="n">
        <v>4.22</v>
      </c>
      <c r="F94" s="24" t="n">
        <v>0.55</v>
      </c>
      <c r="G94" s="35">
        <f>D94*E94</f>
        <v/>
      </c>
      <c r="H94" s="35">
        <f>D94*VLOOKUP(B94,Inventory!$A$5:$J$104,10,FALSE)</f>
        <v/>
      </c>
      <c r="I94" s="35">
        <f>G94-F94-H94</f>
        <v/>
      </c>
      <c r="J94" s="30" t="inlineStr">
        <is>
          <t>Order batch 1</t>
        </is>
      </c>
    </row>
    <row r="95">
      <c r="A95" s="34" t="n">
        <v>46044</v>
      </c>
      <c r="B95" s="30" t="inlineStr">
        <is>
          <t>SKU-091</t>
        </is>
      </c>
      <c r="C95" s="30" t="inlineStr">
        <is>
          <t>Etsy</t>
        </is>
      </c>
      <c r="D95" s="22" t="n">
        <v>1</v>
      </c>
      <c r="E95" s="24" t="n">
        <v>8.789999999999999</v>
      </c>
      <c r="F95" s="24" t="n">
        <v>1.14</v>
      </c>
      <c r="G95" s="35">
        <f>D95*E95</f>
        <v/>
      </c>
      <c r="H95" s="35">
        <f>D95*VLOOKUP(B95,Inventory!$A$5:$J$104,10,FALSE)</f>
        <v/>
      </c>
      <c r="I95" s="35">
        <f>G95-F95-H95</f>
        <v/>
      </c>
      <c r="J95" s="30" t="inlineStr">
        <is>
          <t>Order batch 1</t>
        </is>
      </c>
    </row>
    <row r="96">
      <c r="A96" s="34" t="n">
        <v>46044</v>
      </c>
      <c r="B96" s="30" t="inlineStr">
        <is>
          <t>SKU-092</t>
        </is>
      </c>
      <c r="C96" s="30" t="inlineStr">
        <is>
          <t>Shop</t>
        </is>
      </c>
      <c r="D96" s="22" t="n">
        <v>2</v>
      </c>
      <c r="E96" s="24" t="n">
        <v>9.529999999999999</v>
      </c>
      <c r="F96" s="24" t="n">
        <v>1.24</v>
      </c>
      <c r="G96" s="35">
        <f>D96*E96</f>
        <v/>
      </c>
      <c r="H96" s="35">
        <f>D96*VLOOKUP(B96,Inventory!$A$5:$J$104,10,FALSE)</f>
        <v/>
      </c>
      <c r="I96" s="35">
        <f>G96-F96-H96</f>
        <v/>
      </c>
      <c r="J96" s="30" t="inlineStr">
        <is>
          <t>Order batch 1</t>
        </is>
      </c>
    </row>
    <row r="97">
      <c r="A97" s="34" t="n">
        <v>46044</v>
      </c>
      <c r="B97" s="30" t="inlineStr">
        <is>
          <t>SKU-093</t>
        </is>
      </c>
      <c r="C97" s="30" t="inlineStr">
        <is>
          <t>Market</t>
        </is>
      </c>
      <c r="D97" s="22" t="n">
        <v>3</v>
      </c>
      <c r="E97" s="24" t="n">
        <v>10.3</v>
      </c>
      <c r="F97" s="24" t="n">
        <v>1.34</v>
      </c>
      <c r="G97" s="35">
        <f>D97*E97</f>
        <v/>
      </c>
      <c r="H97" s="35">
        <f>D97*VLOOKUP(B97,Inventory!$A$5:$J$104,10,FALSE)</f>
        <v/>
      </c>
      <c r="I97" s="35">
        <f>G97-F97-H97</f>
        <v/>
      </c>
      <c r="J97" s="30" t="inlineStr">
        <is>
          <t>Order batch 1</t>
        </is>
      </c>
    </row>
    <row r="98">
      <c r="A98" s="34" t="n">
        <v>46044</v>
      </c>
      <c r="B98" s="30" t="inlineStr">
        <is>
          <t>SKU-094</t>
        </is>
      </c>
      <c r="C98" s="30" t="inlineStr">
        <is>
          <t>Retail</t>
        </is>
      </c>
      <c r="D98" s="22" t="n">
        <v>1</v>
      </c>
      <c r="E98" s="24" t="n">
        <v>11.1</v>
      </c>
      <c r="F98" s="24" t="n">
        <v>1.44</v>
      </c>
      <c r="G98" s="35">
        <f>D98*E98</f>
        <v/>
      </c>
      <c r="H98" s="35">
        <f>D98*VLOOKUP(B98,Inventory!$A$5:$J$104,10,FALSE)</f>
        <v/>
      </c>
      <c r="I98" s="35">
        <f>G98-F98-H98</f>
        <v/>
      </c>
      <c r="J98" s="30" t="inlineStr">
        <is>
          <t>Order batch 1</t>
        </is>
      </c>
    </row>
    <row r="99">
      <c r="A99" s="34" t="n">
        <v>46044</v>
      </c>
      <c r="B99" s="30" t="inlineStr">
        <is>
          <t>SKU-095</t>
        </is>
      </c>
      <c r="C99" s="30" t="inlineStr">
        <is>
          <t>Wholesale</t>
        </is>
      </c>
      <c r="D99" s="22" t="n">
        <v>2</v>
      </c>
      <c r="E99" s="24" t="n">
        <v>11.92</v>
      </c>
      <c r="F99" s="24" t="n">
        <v>1.55</v>
      </c>
      <c r="G99" s="35">
        <f>D99*E99</f>
        <v/>
      </c>
      <c r="H99" s="35">
        <f>D99*VLOOKUP(B99,Inventory!$A$5:$J$104,10,FALSE)</f>
        <v/>
      </c>
      <c r="I99" s="35">
        <f>G99-F99-H99</f>
        <v/>
      </c>
      <c r="J99" s="30" t="inlineStr">
        <is>
          <t>Order batch 1</t>
        </is>
      </c>
    </row>
    <row r="100">
      <c r="A100" s="34" t="n">
        <v>46045</v>
      </c>
      <c r="B100" s="30" t="inlineStr">
        <is>
          <t>SKU-096</t>
        </is>
      </c>
      <c r="C100" s="30" t="inlineStr">
        <is>
          <t>Etsy</t>
        </is>
      </c>
      <c r="D100" s="22" t="n">
        <v>3</v>
      </c>
      <c r="E100" s="24" t="n">
        <v>7.01</v>
      </c>
      <c r="F100" s="24" t="n">
        <v>0.91</v>
      </c>
      <c r="G100" s="35">
        <f>D100*E100</f>
        <v/>
      </c>
      <c r="H100" s="35">
        <f>D100*VLOOKUP(B100,Inventory!$A$5:$J$104,10,FALSE)</f>
        <v/>
      </c>
      <c r="I100" s="35">
        <f>G100-F100-H100</f>
        <v/>
      </c>
      <c r="J100" s="30" t="inlineStr">
        <is>
          <t>Order batch 1</t>
        </is>
      </c>
    </row>
    <row r="101">
      <c r="A101" s="34" t="n">
        <v>46045</v>
      </c>
      <c r="B101" s="30" t="inlineStr">
        <is>
          <t>SKU-097</t>
        </is>
      </c>
      <c r="C101" s="30" t="inlineStr">
        <is>
          <t>Shop</t>
        </is>
      </c>
      <c r="D101" s="22" t="n">
        <v>1</v>
      </c>
      <c r="E101" s="24" t="n">
        <v>6.61</v>
      </c>
      <c r="F101" s="24" t="n">
        <v>0.86</v>
      </c>
      <c r="G101" s="35">
        <f>D101*E101</f>
        <v/>
      </c>
      <c r="H101" s="35">
        <f>D101*VLOOKUP(B101,Inventory!$A$5:$J$104,10,FALSE)</f>
        <v/>
      </c>
      <c r="I101" s="35">
        <f>G101-F101-H101</f>
        <v/>
      </c>
      <c r="J101" s="30" t="inlineStr">
        <is>
          <t>Order batch 1</t>
        </is>
      </c>
    </row>
    <row r="102">
      <c r="A102" s="34" t="n">
        <v>46045</v>
      </c>
      <c r="B102" s="30" t="inlineStr">
        <is>
          <t>SKU-098</t>
        </is>
      </c>
      <c r="C102" s="30" t="inlineStr">
        <is>
          <t>Market</t>
        </is>
      </c>
      <c r="D102" s="22" t="n">
        <v>2</v>
      </c>
      <c r="E102" s="24" t="n">
        <v>7.29</v>
      </c>
      <c r="F102" s="24" t="n">
        <v>0.95</v>
      </c>
      <c r="G102" s="35">
        <f>D102*E102</f>
        <v/>
      </c>
      <c r="H102" s="35">
        <f>D102*VLOOKUP(B102,Inventory!$A$5:$J$104,10,FALSE)</f>
        <v/>
      </c>
      <c r="I102" s="35">
        <f>G102-F102-H102</f>
        <v/>
      </c>
      <c r="J102" s="30" t="inlineStr">
        <is>
          <t>Order batch 1</t>
        </is>
      </c>
    </row>
    <row r="103">
      <c r="A103" s="34" t="n">
        <v>46045</v>
      </c>
      <c r="B103" s="30" t="inlineStr">
        <is>
          <t>SKU-099</t>
        </is>
      </c>
      <c r="C103" s="30" t="inlineStr">
        <is>
          <t>Retail</t>
        </is>
      </c>
      <c r="D103" s="22" t="n">
        <v>3</v>
      </c>
      <c r="E103" s="24" t="n">
        <v>7.99</v>
      </c>
      <c r="F103" s="24" t="n">
        <v>1.04</v>
      </c>
      <c r="G103" s="35">
        <f>D103*E103</f>
        <v/>
      </c>
      <c r="H103" s="35">
        <f>D103*VLOOKUP(B103,Inventory!$A$5:$J$104,10,FALSE)</f>
        <v/>
      </c>
      <c r="I103" s="35">
        <f>G103-F103-H103</f>
        <v/>
      </c>
      <c r="J103" s="30" t="inlineStr">
        <is>
          <t>Order batch 1</t>
        </is>
      </c>
    </row>
    <row r="104">
      <c r="A104" s="34" t="n">
        <v>46045</v>
      </c>
      <c r="B104" s="30" t="inlineStr">
        <is>
          <t>SKU-100</t>
        </is>
      </c>
      <c r="C104" s="30" t="inlineStr">
        <is>
          <t>Wholesale</t>
        </is>
      </c>
      <c r="D104" s="22" t="n">
        <v>1</v>
      </c>
      <c r="E104" s="24" t="n">
        <v>8.720000000000001</v>
      </c>
      <c r="F104" s="24" t="n">
        <v>1.13</v>
      </c>
      <c r="G104" s="35">
        <f>D104*E104</f>
        <v/>
      </c>
      <c r="H104" s="35">
        <f>D104*VLOOKUP(B104,Inventory!$A$5:$J$104,10,FALSE)</f>
        <v/>
      </c>
      <c r="I104" s="35">
        <f>G104-F104-H104</f>
        <v/>
      </c>
      <c r="J104" s="30" t="inlineStr">
        <is>
          <t>Order batch 1</t>
        </is>
      </c>
    </row>
    <row r="105">
      <c r="A105" s="34" t="n">
        <v>46046</v>
      </c>
      <c r="B105" s="30" t="inlineStr">
        <is>
          <t>SKU-001</t>
        </is>
      </c>
      <c r="C105" s="30" t="inlineStr">
        <is>
          <t>Etsy</t>
        </is>
      </c>
      <c r="D105" s="22" t="n">
        <v>4</v>
      </c>
      <c r="E105" s="24" t="n">
        <v>2.96</v>
      </c>
      <c r="F105" s="24" t="n">
        <v>0.38</v>
      </c>
      <c r="G105" s="35">
        <f>D105*E105</f>
        <v/>
      </c>
      <c r="H105" s="35">
        <f>D105*VLOOKUP(B105,Inventory!$A$5:$J$104,10,FALSE)</f>
        <v/>
      </c>
      <c r="I105" s="35">
        <f>G105-F105-H105</f>
        <v/>
      </c>
      <c r="J105" s="30" t="inlineStr">
        <is>
          <t>Order batch 2</t>
        </is>
      </c>
    </row>
    <row r="106">
      <c r="A106" s="34" t="n">
        <v>46046</v>
      </c>
      <c r="B106" s="30" t="inlineStr">
        <is>
          <t>SKU-002</t>
        </is>
      </c>
      <c r="C106" s="30" t="inlineStr">
        <is>
          <t>Shop</t>
        </is>
      </c>
      <c r="D106" s="22" t="n">
        <v>5</v>
      </c>
      <c r="E106" s="24" t="n">
        <v>3.58</v>
      </c>
      <c r="F106" s="24" t="n">
        <v>0.47</v>
      </c>
      <c r="G106" s="35">
        <f>D106*E106</f>
        <v/>
      </c>
      <c r="H106" s="35">
        <f>D106*VLOOKUP(B106,Inventory!$A$5:$J$104,10,FALSE)</f>
        <v/>
      </c>
      <c r="I106" s="35">
        <f>G106-F106-H106</f>
        <v/>
      </c>
      <c r="J106" s="30" t="inlineStr">
        <is>
          <t>Order batch 2</t>
        </is>
      </c>
    </row>
    <row r="107">
      <c r="A107" s="34" t="n">
        <v>46046</v>
      </c>
      <c r="B107" s="30" t="inlineStr">
        <is>
          <t>SKU-003</t>
        </is>
      </c>
      <c r="C107" s="30" t="inlineStr">
        <is>
          <t>Market</t>
        </is>
      </c>
      <c r="D107" s="22" t="n">
        <v>4</v>
      </c>
      <c r="E107" s="24" t="n">
        <v>3.61</v>
      </c>
      <c r="F107" s="24" t="n">
        <v>0.47</v>
      </c>
      <c r="G107" s="35">
        <f>D107*E107</f>
        <v/>
      </c>
      <c r="H107" s="35">
        <f>D107*VLOOKUP(B107,Inventory!$A$5:$J$104,10,FALSE)</f>
        <v/>
      </c>
      <c r="I107" s="35">
        <f>G107-F107-H107</f>
        <v/>
      </c>
      <c r="J107" s="30" t="inlineStr">
        <is>
          <t>Order batch 2</t>
        </is>
      </c>
    </row>
    <row r="108">
      <c r="A108" s="34" t="n">
        <v>46046</v>
      </c>
      <c r="B108" s="30" t="inlineStr">
        <is>
          <t>SKU-004</t>
        </is>
      </c>
      <c r="C108" s="30" t="inlineStr">
        <is>
          <t>Retail</t>
        </is>
      </c>
      <c r="D108" s="22" t="n">
        <v>5</v>
      </c>
      <c r="E108" s="24" t="n">
        <v>4.2</v>
      </c>
      <c r="F108" s="24" t="n">
        <v>0.55</v>
      </c>
      <c r="G108" s="35">
        <f>D108*E108</f>
        <v/>
      </c>
      <c r="H108" s="35">
        <f>D108*VLOOKUP(B108,Inventory!$A$5:$J$104,10,FALSE)</f>
        <v/>
      </c>
      <c r="I108" s="35">
        <f>G108-F108-H108</f>
        <v/>
      </c>
      <c r="J108" s="30" t="inlineStr">
        <is>
          <t>Order batch 2</t>
        </is>
      </c>
    </row>
    <row r="109">
      <c r="A109" s="34" t="n">
        <v>46046</v>
      </c>
      <c r="B109" s="30" t="inlineStr">
        <is>
          <t>SKU-005</t>
        </is>
      </c>
      <c r="C109" s="30" t="inlineStr">
        <is>
          <t>Wholesale</t>
        </is>
      </c>
      <c r="D109" s="22" t="n">
        <v>3</v>
      </c>
      <c r="E109" s="24" t="n">
        <v>4.82</v>
      </c>
      <c r="F109" s="24" t="n">
        <v>0.63</v>
      </c>
      <c r="G109" s="35">
        <f>D109*E109</f>
        <v/>
      </c>
      <c r="H109" s="35">
        <f>D109*VLOOKUP(B109,Inventory!$A$5:$J$104,10,FALSE)</f>
        <v/>
      </c>
      <c r="I109" s="35">
        <f>G109-F109-H109</f>
        <v/>
      </c>
      <c r="J109" s="30" t="inlineStr">
        <is>
          <t>Order batch 2</t>
        </is>
      </c>
    </row>
    <row r="110">
      <c r="A110" s="34" t="n">
        <v>46047</v>
      </c>
      <c r="B110" s="30" t="inlineStr">
        <is>
          <t>SKU-006</t>
        </is>
      </c>
      <c r="C110" s="30" t="inlineStr">
        <is>
          <t>Etsy</t>
        </is>
      </c>
      <c r="D110" s="22" t="n">
        <v>4</v>
      </c>
      <c r="E110" s="24" t="n">
        <v>6.38</v>
      </c>
      <c r="F110" s="24" t="n">
        <v>0.83</v>
      </c>
      <c r="G110" s="35">
        <f>D110*E110</f>
        <v/>
      </c>
      <c r="H110" s="35">
        <f>D110*VLOOKUP(B110,Inventory!$A$5:$J$104,10,FALSE)</f>
        <v/>
      </c>
      <c r="I110" s="35">
        <f>G110-F110-H110</f>
        <v/>
      </c>
      <c r="J110" s="30" t="inlineStr">
        <is>
          <t>Order batch 2</t>
        </is>
      </c>
    </row>
    <row r="111">
      <c r="A111" s="34" t="n">
        <v>46047</v>
      </c>
      <c r="B111" s="30" t="inlineStr">
        <is>
          <t>SKU-007</t>
        </is>
      </c>
      <c r="C111" s="30" t="inlineStr">
        <is>
          <t>Shop</t>
        </is>
      </c>
      <c r="D111" s="22" t="n">
        <v>3</v>
      </c>
      <c r="E111" s="24" t="n">
        <v>7.08</v>
      </c>
      <c r="F111" s="24" t="n">
        <v>0.92</v>
      </c>
      <c r="G111" s="35">
        <f>D111*E111</f>
        <v/>
      </c>
      <c r="H111" s="35">
        <f>D111*VLOOKUP(B111,Inventory!$A$5:$J$104,10,FALSE)</f>
        <v/>
      </c>
      <c r="I111" s="35">
        <f>G111-F111-H111</f>
        <v/>
      </c>
      <c r="J111" s="30" t="inlineStr">
        <is>
          <t>Order batch 2</t>
        </is>
      </c>
    </row>
    <row r="112">
      <c r="A112" s="34" t="n">
        <v>46047</v>
      </c>
      <c r="B112" s="30" t="inlineStr">
        <is>
          <t>SKU-008</t>
        </is>
      </c>
      <c r="C112" s="30" t="inlineStr">
        <is>
          <t>Market</t>
        </is>
      </c>
      <c r="D112" s="22" t="n">
        <v>4</v>
      </c>
      <c r="E112" s="24" t="n">
        <v>7.81</v>
      </c>
      <c r="F112" s="24" t="n">
        <v>1.02</v>
      </c>
      <c r="G112" s="35">
        <f>D112*E112</f>
        <v/>
      </c>
      <c r="H112" s="35">
        <f>D112*VLOOKUP(B112,Inventory!$A$5:$J$104,10,FALSE)</f>
        <v/>
      </c>
      <c r="I112" s="35">
        <f>G112-F112-H112</f>
        <v/>
      </c>
      <c r="J112" s="30" t="inlineStr">
        <is>
          <t>Order batch 2</t>
        </is>
      </c>
    </row>
    <row r="113">
      <c r="A113" s="34" t="n">
        <v>46047</v>
      </c>
      <c r="B113" s="30" t="inlineStr">
        <is>
          <t>SKU-009</t>
        </is>
      </c>
      <c r="C113" s="30" t="inlineStr">
        <is>
          <t>Retail</t>
        </is>
      </c>
      <c r="D113" s="22" t="n">
        <v>3</v>
      </c>
      <c r="E113" s="24" t="n">
        <v>7.31</v>
      </c>
      <c r="F113" s="24" t="n">
        <v>0.95</v>
      </c>
      <c r="G113" s="35">
        <f>D113*E113</f>
        <v/>
      </c>
      <c r="H113" s="35">
        <f>D113*VLOOKUP(B113,Inventory!$A$5:$J$104,10,FALSE)</f>
        <v/>
      </c>
      <c r="I113" s="35">
        <f>G113-F113-H113</f>
        <v/>
      </c>
      <c r="J113" s="30" t="inlineStr">
        <is>
          <t>Order batch 2</t>
        </is>
      </c>
    </row>
    <row r="114">
      <c r="A114" s="34" t="n">
        <v>46047</v>
      </c>
      <c r="B114" s="30" t="inlineStr">
        <is>
          <t>SKU-010</t>
        </is>
      </c>
      <c r="C114" s="30" t="inlineStr">
        <is>
          <t>Wholesale</t>
        </is>
      </c>
      <c r="D114" s="22" t="n">
        <v>4</v>
      </c>
      <c r="E114" s="24" t="n">
        <v>8.01</v>
      </c>
      <c r="F114" s="24" t="n">
        <v>1.04</v>
      </c>
      <c r="G114" s="35">
        <f>D114*E114</f>
        <v/>
      </c>
      <c r="H114" s="35">
        <f>D114*VLOOKUP(B114,Inventory!$A$5:$J$104,10,FALSE)</f>
        <v/>
      </c>
      <c r="I114" s="35">
        <f>G114-F114-H114</f>
        <v/>
      </c>
      <c r="J114" s="30" t="inlineStr">
        <is>
          <t>Order batch 2</t>
        </is>
      </c>
    </row>
    <row r="115">
      <c r="A115" s="34" t="n">
        <v>46048</v>
      </c>
      <c r="B115" s="30" t="inlineStr">
        <is>
          <t>SKU-011</t>
        </is>
      </c>
      <c r="C115" s="30" t="inlineStr">
        <is>
          <t>Etsy</t>
        </is>
      </c>
      <c r="D115" s="22" t="n">
        <v>3</v>
      </c>
      <c r="E115" s="24" t="n">
        <v>3.7</v>
      </c>
      <c r="F115" s="24" t="n">
        <v>0.48</v>
      </c>
      <c r="G115" s="35">
        <f>D115*E115</f>
        <v/>
      </c>
      <c r="H115" s="35">
        <f>D115*VLOOKUP(B115,Inventory!$A$5:$J$104,10,FALSE)</f>
        <v/>
      </c>
      <c r="I115" s="35">
        <f>G115-F115-H115</f>
        <v/>
      </c>
      <c r="J115" s="30" t="inlineStr">
        <is>
          <t>Order batch 2</t>
        </is>
      </c>
    </row>
    <row r="116">
      <c r="A116" s="34" t="n">
        <v>46048</v>
      </c>
      <c r="B116" s="30" t="inlineStr">
        <is>
          <t>SKU-012</t>
        </is>
      </c>
      <c r="C116" s="30" t="inlineStr">
        <is>
          <t>Shop</t>
        </is>
      </c>
      <c r="D116" s="22" t="n">
        <v>1</v>
      </c>
      <c r="E116" s="24" t="n">
        <v>4.32</v>
      </c>
      <c r="F116" s="24" t="n">
        <v>0.5600000000000001</v>
      </c>
      <c r="G116" s="35">
        <f>D116*E116</f>
        <v/>
      </c>
      <c r="H116" s="35">
        <f>D116*VLOOKUP(B116,Inventory!$A$5:$J$104,10,FALSE)</f>
        <v/>
      </c>
      <c r="I116" s="35">
        <f>G116-F116-H116</f>
        <v/>
      </c>
      <c r="J116" s="30" t="inlineStr">
        <is>
          <t>Order batch 2</t>
        </is>
      </c>
    </row>
    <row r="117">
      <c r="A117" s="34" t="n">
        <v>46048</v>
      </c>
      <c r="B117" s="30" t="inlineStr">
        <is>
          <t>SKU-013</t>
        </is>
      </c>
      <c r="C117" s="30" t="inlineStr">
        <is>
          <t>Market</t>
        </is>
      </c>
      <c r="D117" s="22" t="n">
        <v>2</v>
      </c>
      <c r="E117" s="24" t="n">
        <v>4.96</v>
      </c>
      <c r="F117" s="24" t="n">
        <v>0.64</v>
      </c>
      <c r="G117" s="35">
        <f>D117*E117</f>
        <v/>
      </c>
      <c r="H117" s="35">
        <f>D117*VLOOKUP(B117,Inventory!$A$5:$J$104,10,FALSE)</f>
        <v/>
      </c>
      <c r="I117" s="35">
        <f>G117-F117-H117</f>
        <v/>
      </c>
      <c r="J117" s="30" t="inlineStr">
        <is>
          <t>Order batch 2</t>
        </is>
      </c>
    </row>
    <row r="118">
      <c r="A118" s="34" t="n">
        <v>46048</v>
      </c>
      <c r="B118" s="30" t="inlineStr">
        <is>
          <t>SKU-014</t>
        </is>
      </c>
      <c r="C118" s="30" t="inlineStr">
        <is>
          <t>Retail</t>
        </is>
      </c>
      <c r="D118" s="22" t="n">
        <v>3</v>
      </c>
      <c r="E118" s="24" t="n">
        <v>5.63</v>
      </c>
      <c r="F118" s="24" t="n">
        <v>0.73</v>
      </c>
      <c r="G118" s="35">
        <f>D118*E118</f>
        <v/>
      </c>
      <c r="H118" s="35">
        <f>D118*VLOOKUP(B118,Inventory!$A$5:$J$104,10,FALSE)</f>
        <v/>
      </c>
      <c r="I118" s="35">
        <f>G118-F118-H118</f>
        <v/>
      </c>
      <c r="J118" s="30" t="inlineStr">
        <is>
          <t>Order batch 2</t>
        </is>
      </c>
    </row>
    <row r="119">
      <c r="A119" s="34" t="n">
        <v>46048</v>
      </c>
      <c r="B119" s="30" t="inlineStr">
        <is>
          <t>SKU-015</t>
        </is>
      </c>
      <c r="C119" s="30" t="inlineStr">
        <is>
          <t>Wholesale</t>
        </is>
      </c>
      <c r="D119" s="22" t="n">
        <v>1</v>
      </c>
      <c r="E119" s="24" t="n">
        <v>5.4</v>
      </c>
      <c r="F119" s="24" t="n">
        <v>0.7</v>
      </c>
      <c r="G119" s="35">
        <f>D119*E119</f>
        <v/>
      </c>
      <c r="H119" s="35">
        <f>D119*VLOOKUP(B119,Inventory!$A$5:$J$104,10,FALSE)</f>
        <v/>
      </c>
      <c r="I119" s="35">
        <f>G119-F119-H119</f>
        <v/>
      </c>
      <c r="J119" s="30" t="inlineStr">
        <is>
          <t>Order batch 2</t>
        </is>
      </c>
    </row>
    <row r="120">
      <c r="A120" s="34" t="n">
        <v>46049</v>
      </c>
      <c r="B120" s="30" t="inlineStr">
        <is>
          <t>SKU-016</t>
        </is>
      </c>
      <c r="C120" s="30" t="inlineStr">
        <is>
          <t>Etsy</t>
        </is>
      </c>
      <c r="D120" s="22" t="n">
        <v>2</v>
      </c>
      <c r="E120" s="24" t="n">
        <v>0.63</v>
      </c>
      <c r="F120" s="24" t="n">
        <v>0.08</v>
      </c>
      <c r="G120" s="35">
        <f>D120*E120</f>
        <v/>
      </c>
      <c r="H120" s="35">
        <f>D120*VLOOKUP(B120,Inventory!$A$5:$J$104,10,FALSE)</f>
        <v/>
      </c>
      <c r="I120" s="35">
        <f>G120-F120-H120</f>
        <v/>
      </c>
      <c r="J120" s="30" t="inlineStr">
        <is>
          <t>Order batch 2</t>
        </is>
      </c>
    </row>
    <row r="121">
      <c r="A121" s="34" t="n">
        <v>46049</v>
      </c>
      <c r="B121" s="30" t="inlineStr">
        <is>
          <t>SKU-017</t>
        </is>
      </c>
      <c r="C121" s="30" t="inlineStr">
        <is>
          <t>Shop</t>
        </is>
      </c>
      <c r="D121" s="22" t="n">
        <v>3</v>
      </c>
      <c r="E121" s="24" t="n">
        <v>1.15</v>
      </c>
      <c r="F121" s="24" t="n">
        <v>0.15</v>
      </c>
      <c r="G121" s="35">
        <f>D121*E121</f>
        <v/>
      </c>
      <c r="H121" s="35">
        <f>D121*VLOOKUP(B121,Inventory!$A$5:$J$104,10,FALSE)</f>
        <v/>
      </c>
      <c r="I121" s="35">
        <f>G121-F121-H121</f>
        <v/>
      </c>
      <c r="J121" s="30" t="inlineStr">
        <is>
          <t>Order batch 2</t>
        </is>
      </c>
    </row>
    <row r="122">
      <c r="A122" s="34" t="n">
        <v>46049</v>
      </c>
      <c r="B122" s="30" t="inlineStr">
        <is>
          <t>SKU-018</t>
        </is>
      </c>
      <c r="C122" s="30" t="inlineStr">
        <is>
          <t>Market</t>
        </is>
      </c>
      <c r="D122" s="22" t="n">
        <v>1</v>
      </c>
      <c r="E122" s="24" t="n">
        <v>1.7</v>
      </c>
      <c r="F122" s="24" t="n">
        <v>0.22</v>
      </c>
      <c r="G122" s="35">
        <f>D122*E122</f>
        <v/>
      </c>
      <c r="H122" s="35">
        <f>D122*VLOOKUP(B122,Inventory!$A$5:$J$104,10,FALSE)</f>
        <v/>
      </c>
      <c r="I122" s="35">
        <f>G122-F122-H122</f>
        <v/>
      </c>
      <c r="J122" s="30" t="inlineStr">
        <is>
          <t>Order batch 2</t>
        </is>
      </c>
    </row>
    <row r="123">
      <c r="A123" s="34" t="n">
        <v>46049</v>
      </c>
      <c r="B123" s="30" t="inlineStr">
        <is>
          <t>SKU-019</t>
        </is>
      </c>
      <c r="C123" s="30" t="inlineStr">
        <is>
          <t>Retail</t>
        </is>
      </c>
      <c r="D123" s="22" t="n">
        <v>2</v>
      </c>
      <c r="E123" s="24" t="n">
        <v>2.28</v>
      </c>
      <c r="F123" s="24" t="n">
        <v>0.3</v>
      </c>
      <c r="G123" s="35">
        <f>D123*E123</f>
        <v/>
      </c>
      <c r="H123" s="35">
        <f>D123*VLOOKUP(B123,Inventory!$A$5:$J$104,10,FALSE)</f>
        <v/>
      </c>
      <c r="I123" s="35">
        <f>G123-F123-H123</f>
        <v/>
      </c>
      <c r="J123" s="30" t="inlineStr">
        <is>
          <t>Order batch 2</t>
        </is>
      </c>
    </row>
    <row r="124">
      <c r="A124" s="34" t="n">
        <v>46049</v>
      </c>
      <c r="B124" s="30" t="inlineStr">
        <is>
          <t>SKU-020</t>
        </is>
      </c>
      <c r="C124" s="30" t="inlineStr">
        <is>
          <t>Wholesale</t>
        </is>
      </c>
      <c r="D124" s="22" t="n">
        <v>3</v>
      </c>
      <c r="E124" s="24" t="n">
        <v>2.88</v>
      </c>
      <c r="F124" s="24" t="n">
        <v>0.37</v>
      </c>
      <c r="G124" s="35">
        <f>D124*E124</f>
        <v/>
      </c>
      <c r="H124" s="35">
        <f>D124*VLOOKUP(B124,Inventory!$A$5:$J$104,10,FALSE)</f>
        <v/>
      </c>
      <c r="I124" s="35">
        <f>G124-F124-H124</f>
        <v/>
      </c>
      <c r="J124" s="30" t="inlineStr">
        <is>
          <t>Order batch 2</t>
        </is>
      </c>
    </row>
    <row r="125">
      <c r="A125" s="34" t="n">
        <v>46050</v>
      </c>
      <c r="B125" s="30" t="inlineStr">
        <is>
          <t>SKU-021</t>
        </is>
      </c>
      <c r="C125" s="30" t="inlineStr">
        <is>
          <t>Etsy</t>
        </is>
      </c>
      <c r="D125" s="22" t="n">
        <v>1</v>
      </c>
      <c r="E125" s="24" t="n">
        <v>8.68</v>
      </c>
      <c r="F125" s="24" t="n">
        <v>1.13</v>
      </c>
      <c r="G125" s="35">
        <f>D125*E125</f>
        <v/>
      </c>
      <c r="H125" s="35">
        <f>D125*VLOOKUP(B125,Inventory!$A$5:$J$104,10,FALSE)</f>
        <v/>
      </c>
      <c r="I125" s="35">
        <f>G125-F125-H125</f>
        <v/>
      </c>
      <c r="J125" s="30" t="inlineStr">
        <is>
          <t>Order batch 2</t>
        </is>
      </c>
    </row>
    <row r="126">
      <c r="A126" s="34" t="n">
        <v>46050</v>
      </c>
      <c r="B126" s="30" t="inlineStr">
        <is>
          <t>SKU-022</t>
        </is>
      </c>
      <c r="C126" s="30" t="inlineStr">
        <is>
          <t>Shop</t>
        </is>
      </c>
      <c r="D126" s="22" t="n">
        <v>2</v>
      </c>
      <c r="E126" s="24" t="n">
        <v>9.42</v>
      </c>
      <c r="F126" s="24" t="n">
        <v>1.22</v>
      </c>
      <c r="G126" s="35">
        <f>D126*E126</f>
        <v/>
      </c>
      <c r="H126" s="35">
        <f>D126*VLOOKUP(B126,Inventory!$A$5:$J$104,10,FALSE)</f>
        <v/>
      </c>
      <c r="I126" s="35">
        <f>G126-F126-H126</f>
        <v/>
      </c>
      <c r="J126" s="30" t="inlineStr">
        <is>
          <t>Order batch 2</t>
        </is>
      </c>
    </row>
    <row r="127">
      <c r="A127" s="34" t="n">
        <v>46050</v>
      </c>
      <c r="B127" s="30" t="inlineStr">
        <is>
          <t>SKU-023</t>
        </is>
      </c>
      <c r="C127" s="30" t="inlineStr">
        <is>
          <t>Market</t>
        </is>
      </c>
      <c r="D127" s="22" t="n">
        <v>3</v>
      </c>
      <c r="E127" s="24" t="n">
        <v>10.18</v>
      </c>
      <c r="F127" s="24" t="n">
        <v>1.32</v>
      </c>
      <c r="G127" s="35">
        <f>D127*E127</f>
        <v/>
      </c>
      <c r="H127" s="35">
        <f>D127*VLOOKUP(B127,Inventory!$A$5:$J$104,10,FALSE)</f>
        <v/>
      </c>
      <c r="I127" s="35">
        <f>G127-F127-H127</f>
        <v/>
      </c>
      <c r="J127" s="30" t="inlineStr">
        <is>
          <t>Order batch 2</t>
        </is>
      </c>
    </row>
    <row r="128">
      <c r="A128" s="34" t="n">
        <v>46050</v>
      </c>
      <c r="B128" s="30" t="inlineStr">
        <is>
          <t>SKU-024</t>
        </is>
      </c>
      <c r="C128" s="30" t="inlineStr">
        <is>
          <t>Retail</t>
        </is>
      </c>
      <c r="D128" s="22" t="n">
        <v>1</v>
      </c>
      <c r="E128" s="24" t="n">
        <v>10.97</v>
      </c>
      <c r="F128" s="24" t="n">
        <v>1.43</v>
      </c>
      <c r="G128" s="35">
        <f>D128*E128</f>
        <v/>
      </c>
      <c r="H128" s="35">
        <f>D128*VLOOKUP(B128,Inventory!$A$5:$J$104,10,FALSE)</f>
        <v/>
      </c>
      <c r="I128" s="35">
        <f>G128-F128-H128</f>
        <v/>
      </c>
      <c r="J128" s="30" t="inlineStr">
        <is>
          <t>Order batch 2</t>
        </is>
      </c>
    </row>
    <row r="129">
      <c r="A129" s="34" t="n">
        <v>46050</v>
      </c>
      <c r="B129" s="30" t="inlineStr">
        <is>
          <t>SKU-025</t>
        </is>
      </c>
      <c r="C129" s="30" t="inlineStr">
        <is>
          <t>Wholesale</t>
        </is>
      </c>
      <c r="D129" s="22" t="n">
        <v>2</v>
      </c>
      <c r="E129" s="24" t="n">
        <v>11.79</v>
      </c>
      <c r="F129" s="24" t="n">
        <v>1.53</v>
      </c>
      <c r="G129" s="35">
        <f>D129*E129</f>
        <v/>
      </c>
      <c r="H129" s="35">
        <f>D129*VLOOKUP(B129,Inventory!$A$5:$J$104,10,FALSE)</f>
        <v/>
      </c>
      <c r="I129" s="35">
        <f>G129-F129-H129</f>
        <v/>
      </c>
      <c r="J129" s="30" t="inlineStr">
        <is>
          <t>Order batch 2</t>
        </is>
      </c>
    </row>
    <row r="130">
      <c r="A130" s="34" t="n">
        <v>46051</v>
      </c>
      <c r="B130" s="30" t="inlineStr">
        <is>
          <t>SKU-026</t>
        </is>
      </c>
      <c r="C130" s="30" t="inlineStr">
        <is>
          <t>Etsy</t>
        </is>
      </c>
      <c r="D130" s="22" t="n">
        <v>3</v>
      </c>
      <c r="E130" s="24" t="n">
        <v>1.79</v>
      </c>
      <c r="F130" s="24" t="n">
        <v>0.23</v>
      </c>
      <c r="G130" s="35">
        <f>D130*E130</f>
        <v/>
      </c>
      <c r="H130" s="35">
        <f>D130*VLOOKUP(B130,Inventory!$A$5:$J$104,10,FALSE)</f>
        <v/>
      </c>
      <c r="I130" s="35">
        <f>G130-F130-H130</f>
        <v/>
      </c>
      <c r="J130" s="30" t="inlineStr">
        <is>
          <t>Order batch 2</t>
        </is>
      </c>
    </row>
    <row r="131">
      <c r="A131" s="34" t="n">
        <v>46051</v>
      </c>
      <c r="B131" s="30" t="inlineStr">
        <is>
          <t>SKU-027</t>
        </is>
      </c>
      <c r="C131" s="30" t="inlineStr">
        <is>
          <t>Shop</t>
        </is>
      </c>
      <c r="D131" s="22" t="n">
        <v>1</v>
      </c>
      <c r="E131" s="24" t="n">
        <v>2.04</v>
      </c>
      <c r="F131" s="24" t="n">
        <v>0.27</v>
      </c>
      <c r="G131" s="35">
        <f>D131*E131</f>
        <v/>
      </c>
      <c r="H131" s="35">
        <f>D131*VLOOKUP(B131,Inventory!$A$5:$J$104,10,FALSE)</f>
        <v/>
      </c>
      <c r="I131" s="35">
        <f>G131-F131-H131</f>
        <v/>
      </c>
      <c r="J131" s="30" t="inlineStr">
        <is>
          <t>Order batch 2</t>
        </is>
      </c>
    </row>
    <row r="132">
      <c r="A132" s="34" t="n">
        <v>46051</v>
      </c>
      <c r="B132" s="30" t="inlineStr">
        <is>
          <t>SKU-028</t>
        </is>
      </c>
      <c r="C132" s="30" t="inlineStr">
        <is>
          <t>Market</t>
        </is>
      </c>
      <c r="D132" s="22" t="n">
        <v>2</v>
      </c>
      <c r="E132" s="24" t="n">
        <v>2.59</v>
      </c>
      <c r="F132" s="24" t="n">
        <v>0.34</v>
      </c>
      <c r="G132" s="35">
        <f>D132*E132</f>
        <v/>
      </c>
      <c r="H132" s="35">
        <f>D132*VLOOKUP(B132,Inventory!$A$5:$J$104,10,FALSE)</f>
        <v/>
      </c>
      <c r="I132" s="35">
        <f>G132-F132-H132</f>
        <v/>
      </c>
      <c r="J132" s="30" t="inlineStr">
        <is>
          <t>Order batch 2</t>
        </is>
      </c>
    </row>
    <row r="133">
      <c r="A133" s="34" t="n">
        <v>46051</v>
      </c>
      <c r="B133" s="30" t="inlineStr">
        <is>
          <t>SKU-029</t>
        </is>
      </c>
      <c r="C133" s="30" t="inlineStr">
        <is>
          <t>Retail</t>
        </is>
      </c>
      <c r="D133" s="22" t="n">
        <v>3</v>
      </c>
      <c r="E133" s="24" t="n">
        <v>3.17</v>
      </c>
      <c r="F133" s="24" t="n">
        <v>0.41</v>
      </c>
      <c r="G133" s="35">
        <f>D133*E133</f>
        <v/>
      </c>
      <c r="H133" s="35">
        <f>D133*VLOOKUP(B133,Inventory!$A$5:$J$104,10,FALSE)</f>
        <v/>
      </c>
      <c r="I133" s="35">
        <f>G133-F133-H133</f>
        <v/>
      </c>
      <c r="J133" s="30" t="inlineStr">
        <is>
          <t>Order batch 2</t>
        </is>
      </c>
    </row>
    <row r="134">
      <c r="A134" s="34" t="n">
        <v>46051</v>
      </c>
      <c r="B134" s="30" t="inlineStr">
        <is>
          <t>SKU-030</t>
        </is>
      </c>
      <c r="C134" s="30" t="inlineStr">
        <is>
          <t>Wholesale</t>
        </is>
      </c>
      <c r="D134" s="22" t="n">
        <v>1</v>
      </c>
      <c r="E134" s="24" t="n">
        <v>3.77</v>
      </c>
      <c r="F134" s="24" t="n">
        <v>0.49</v>
      </c>
      <c r="G134" s="35">
        <f>D134*E134</f>
        <v/>
      </c>
      <c r="H134" s="35">
        <f>D134*VLOOKUP(B134,Inventory!$A$5:$J$104,10,FALSE)</f>
        <v/>
      </c>
      <c r="I134" s="35">
        <f>G134-F134-H134</f>
        <v/>
      </c>
      <c r="J134" s="30" t="inlineStr">
        <is>
          <t>Order batch 2</t>
        </is>
      </c>
    </row>
    <row r="135">
      <c r="A135" s="34" t="n">
        <v>46052</v>
      </c>
      <c r="B135" s="30" t="inlineStr">
        <is>
          <t>SKU-031</t>
        </is>
      </c>
      <c r="C135" s="30" t="inlineStr">
        <is>
          <t>Etsy</t>
        </is>
      </c>
      <c r="D135" s="22" t="n">
        <v>2</v>
      </c>
      <c r="E135" s="24" t="n">
        <v>13.51</v>
      </c>
      <c r="F135" s="24" t="n">
        <v>1.76</v>
      </c>
      <c r="G135" s="35">
        <f>D135*E135</f>
        <v/>
      </c>
      <c r="H135" s="35">
        <f>D135*VLOOKUP(B135,Inventory!$A$5:$J$104,10,FALSE)</f>
        <v/>
      </c>
      <c r="I135" s="35">
        <f>G135-F135-H135</f>
        <v/>
      </c>
      <c r="J135" s="30" t="inlineStr">
        <is>
          <t>Order batch 2</t>
        </is>
      </c>
    </row>
    <row r="136">
      <c r="A136" s="34" t="n">
        <v>46052</v>
      </c>
      <c r="B136" s="30" t="inlineStr">
        <is>
          <t>SKU-032</t>
        </is>
      </c>
      <c r="C136" s="30" t="inlineStr">
        <is>
          <t>Shop</t>
        </is>
      </c>
      <c r="D136" s="22" t="n">
        <v>3</v>
      </c>
      <c r="E136" s="24" t="n">
        <v>14.4</v>
      </c>
      <c r="F136" s="24" t="n">
        <v>1.87</v>
      </c>
      <c r="G136" s="35">
        <f>D136*E136</f>
        <v/>
      </c>
      <c r="H136" s="35">
        <f>D136*VLOOKUP(B136,Inventory!$A$5:$J$104,10,FALSE)</f>
        <v/>
      </c>
      <c r="I136" s="35">
        <f>G136-F136-H136</f>
        <v/>
      </c>
      <c r="J136" s="30" t="inlineStr">
        <is>
          <t>Order batch 2</t>
        </is>
      </c>
    </row>
    <row r="137">
      <c r="A137" s="34" t="n">
        <v>46052</v>
      </c>
      <c r="B137" s="30" t="inlineStr">
        <is>
          <t>SKU-033</t>
        </is>
      </c>
      <c r="C137" s="30" t="inlineStr">
        <is>
          <t>Market</t>
        </is>
      </c>
      <c r="D137" s="22" t="n">
        <v>1</v>
      </c>
      <c r="E137" s="24" t="n">
        <v>13.08</v>
      </c>
      <c r="F137" s="24" t="n">
        <v>1.7</v>
      </c>
      <c r="G137" s="35">
        <f>D137*E137</f>
        <v/>
      </c>
      <c r="H137" s="35">
        <f>D137*VLOOKUP(B137,Inventory!$A$5:$J$104,10,FALSE)</f>
        <v/>
      </c>
      <c r="I137" s="35">
        <f>G137-F137-H137</f>
        <v/>
      </c>
      <c r="J137" s="30" t="inlineStr">
        <is>
          <t>Order batch 2</t>
        </is>
      </c>
    </row>
    <row r="138">
      <c r="A138" s="34" t="n">
        <v>46052</v>
      </c>
      <c r="B138" s="30" t="inlineStr">
        <is>
          <t>SKU-034</t>
        </is>
      </c>
      <c r="C138" s="30" t="inlineStr">
        <is>
          <t>Retail</t>
        </is>
      </c>
      <c r="D138" s="22" t="n">
        <v>2</v>
      </c>
      <c r="E138" s="24" t="n">
        <v>13.94</v>
      </c>
      <c r="F138" s="24" t="n">
        <v>1.81</v>
      </c>
      <c r="G138" s="35">
        <f>D138*E138</f>
        <v/>
      </c>
      <c r="H138" s="35">
        <f>D138*VLOOKUP(B138,Inventory!$A$5:$J$104,10,FALSE)</f>
        <v/>
      </c>
      <c r="I138" s="35">
        <f>G138-F138-H138</f>
        <v/>
      </c>
      <c r="J138" s="30" t="inlineStr">
        <is>
          <t>Order batch 2</t>
        </is>
      </c>
    </row>
    <row r="139">
      <c r="A139" s="34" t="n">
        <v>46052</v>
      </c>
      <c r="B139" s="30" t="inlineStr">
        <is>
          <t>SKU-035</t>
        </is>
      </c>
      <c r="C139" s="30" t="inlineStr">
        <is>
          <t>Wholesale</t>
        </is>
      </c>
      <c r="D139" s="22" t="n">
        <v>3</v>
      </c>
      <c r="E139" s="24" t="n">
        <v>14.83</v>
      </c>
      <c r="F139" s="24" t="n">
        <v>1.93</v>
      </c>
      <c r="G139" s="35">
        <f>D139*E139</f>
        <v/>
      </c>
      <c r="H139" s="35">
        <f>D139*VLOOKUP(B139,Inventory!$A$5:$J$104,10,FALSE)</f>
        <v/>
      </c>
      <c r="I139" s="35">
        <f>G139-F139-H139</f>
        <v/>
      </c>
      <c r="J139" s="30" t="inlineStr">
        <is>
          <t>Order batch 2</t>
        </is>
      </c>
    </row>
    <row r="140">
      <c r="A140" s="34" t="n">
        <v>46053</v>
      </c>
      <c r="B140" s="30" t="inlineStr">
        <is>
          <t>SKU-036</t>
        </is>
      </c>
      <c r="C140" s="30" t="inlineStr">
        <is>
          <t>Etsy</t>
        </is>
      </c>
      <c r="D140" s="22" t="n">
        <v>1</v>
      </c>
      <c r="E140" s="24" t="n">
        <v>5.72</v>
      </c>
      <c r="F140" s="24" t="n">
        <v>0.74</v>
      </c>
      <c r="G140" s="35">
        <f>D140*E140</f>
        <v/>
      </c>
      <c r="H140" s="35">
        <f>D140*VLOOKUP(B140,Inventory!$A$5:$J$104,10,FALSE)</f>
        <v/>
      </c>
      <c r="I140" s="35">
        <f>G140-F140-H140</f>
        <v/>
      </c>
      <c r="J140" s="30" t="inlineStr">
        <is>
          <t>Order batch 2</t>
        </is>
      </c>
    </row>
    <row r="141">
      <c r="A141" s="34" t="n">
        <v>46053</v>
      </c>
      <c r="B141" s="30" t="inlineStr">
        <is>
          <t>SKU-037</t>
        </is>
      </c>
      <c r="C141" s="30" t="inlineStr">
        <is>
          <t>Shop</t>
        </is>
      </c>
      <c r="D141" s="22" t="n">
        <v>2</v>
      </c>
      <c r="E141" s="24" t="n">
        <v>6.4</v>
      </c>
      <c r="F141" s="24" t="n">
        <v>0.83</v>
      </c>
      <c r="G141" s="35">
        <f>D141*E141</f>
        <v/>
      </c>
      <c r="H141" s="35">
        <f>D141*VLOOKUP(B141,Inventory!$A$5:$J$104,10,FALSE)</f>
        <v/>
      </c>
      <c r="I141" s="35">
        <f>G141-F141-H141</f>
        <v/>
      </c>
      <c r="J141" s="30" t="inlineStr">
        <is>
          <t>Order batch 2</t>
        </is>
      </c>
    </row>
    <row r="142">
      <c r="A142" s="34" t="n">
        <v>46053</v>
      </c>
      <c r="B142" s="30" t="inlineStr">
        <is>
          <t>SKU-038</t>
        </is>
      </c>
      <c r="C142" s="30" t="inlineStr">
        <is>
          <t>Market</t>
        </is>
      </c>
      <c r="D142" s="22" t="n">
        <v>3</v>
      </c>
      <c r="E142" s="24" t="n">
        <v>7.1</v>
      </c>
      <c r="F142" s="24" t="n">
        <v>0.92</v>
      </c>
      <c r="G142" s="35">
        <f>D142*E142</f>
        <v/>
      </c>
      <c r="H142" s="35">
        <f>D142*VLOOKUP(B142,Inventory!$A$5:$J$104,10,FALSE)</f>
        <v/>
      </c>
      <c r="I142" s="35">
        <f>G142-F142-H142</f>
        <v/>
      </c>
      <c r="J142" s="30" t="inlineStr">
        <is>
          <t>Order batch 2</t>
        </is>
      </c>
    </row>
    <row r="143">
      <c r="A143" s="34" t="n">
        <v>46053</v>
      </c>
      <c r="B143" s="30" t="inlineStr">
        <is>
          <t>SKU-039</t>
        </is>
      </c>
      <c r="C143" s="30" t="inlineStr">
        <is>
          <t>Retail</t>
        </is>
      </c>
      <c r="D143" s="22" t="n">
        <v>1</v>
      </c>
      <c r="E143" s="24" t="n">
        <v>6.69</v>
      </c>
      <c r="F143" s="24" t="n">
        <v>0.87</v>
      </c>
      <c r="G143" s="35">
        <f>D143*E143</f>
        <v/>
      </c>
      <c r="H143" s="35">
        <f>D143*VLOOKUP(B143,Inventory!$A$5:$J$104,10,FALSE)</f>
        <v/>
      </c>
      <c r="I143" s="35">
        <f>G143-F143-H143</f>
        <v/>
      </c>
      <c r="J143" s="30" t="inlineStr">
        <is>
          <t>Order batch 2</t>
        </is>
      </c>
    </row>
    <row r="144">
      <c r="A144" s="34" t="n">
        <v>46053</v>
      </c>
      <c r="B144" s="30" t="inlineStr">
        <is>
          <t>SKU-040</t>
        </is>
      </c>
      <c r="C144" s="30" t="inlineStr">
        <is>
          <t>Wholesale</t>
        </is>
      </c>
      <c r="D144" s="22" t="n">
        <v>2</v>
      </c>
      <c r="E144" s="24" t="n">
        <v>7.37</v>
      </c>
      <c r="F144" s="24" t="n">
        <v>0.96</v>
      </c>
      <c r="G144" s="35">
        <f>D144*E144</f>
        <v/>
      </c>
      <c r="H144" s="35">
        <f>D144*VLOOKUP(B144,Inventory!$A$5:$J$104,10,FALSE)</f>
        <v/>
      </c>
      <c r="I144" s="35">
        <f>G144-F144-H144</f>
        <v/>
      </c>
      <c r="J144" s="30" t="inlineStr">
        <is>
          <t>Order batch 2</t>
        </is>
      </c>
    </row>
    <row r="145">
      <c r="A145" s="34" t="n">
        <v>46054</v>
      </c>
      <c r="B145" s="30" t="inlineStr">
        <is>
          <t>SKU-041</t>
        </is>
      </c>
      <c r="C145" s="30" t="inlineStr">
        <is>
          <t>Etsy</t>
        </is>
      </c>
      <c r="D145" s="22" t="n">
        <v>3</v>
      </c>
      <c r="E145" s="24" t="n">
        <v>2.07</v>
      </c>
      <c r="F145" s="24" t="n">
        <v>0.27</v>
      </c>
      <c r="G145" s="35">
        <f>D145*E145</f>
        <v/>
      </c>
      <c r="H145" s="35">
        <f>D145*VLOOKUP(B145,Inventory!$A$5:$J$104,10,FALSE)</f>
        <v/>
      </c>
      <c r="I145" s="35">
        <f>G145-F145-H145</f>
        <v/>
      </c>
      <c r="J145" s="30" t="inlineStr">
        <is>
          <t>Order batch 2</t>
        </is>
      </c>
    </row>
    <row r="146">
      <c r="A146" s="34" t="n">
        <v>46054</v>
      </c>
      <c r="B146" s="30" t="inlineStr">
        <is>
          <t>SKU-042</t>
        </is>
      </c>
      <c r="C146" s="30" t="inlineStr">
        <is>
          <t>Shop</t>
        </is>
      </c>
      <c r="D146" s="22" t="n">
        <v>1</v>
      </c>
      <c r="E146" s="24" t="n">
        <v>2.64</v>
      </c>
      <c r="F146" s="24" t="n">
        <v>0.34</v>
      </c>
      <c r="G146" s="35">
        <f>D146*E146</f>
        <v/>
      </c>
      <c r="H146" s="35">
        <f>D146*VLOOKUP(B146,Inventory!$A$5:$J$104,10,FALSE)</f>
        <v/>
      </c>
      <c r="I146" s="35">
        <f>G146-F146-H146</f>
        <v/>
      </c>
      <c r="J146" s="30" t="inlineStr">
        <is>
          <t>Order batch 2</t>
        </is>
      </c>
    </row>
    <row r="147">
      <c r="A147" s="34" t="n">
        <v>46054</v>
      </c>
      <c r="B147" s="30" t="inlineStr">
        <is>
          <t>SKU-043</t>
        </is>
      </c>
      <c r="C147" s="30" t="inlineStr">
        <is>
          <t>Market</t>
        </is>
      </c>
      <c r="D147" s="22" t="n">
        <v>2</v>
      </c>
      <c r="E147" s="24" t="n">
        <v>3.24</v>
      </c>
      <c r="F147" s="24" t="n">
        <v>0.42</v>
      </c>
      <c r="G147" s="35">
        <f>D147*E147</f>
        <v/>
      </c>
      <c r="H147" s="35">
        <f>D147*VLOOKUP(B147,Inventory!$A$5:$J$104,10,FALSE)</f>
        <v/>
      </c>
      <c r="I147" s="35">
        <f>G147-F147-H147</f>
        <v/>
      </c>
      <c r="J147" s="30" t="inlineStr">
        <is>
          <t>Order batch 2</t>
        </is>
      </c>
    </row>
    <row r="148">
      <c r="A148" s="34" t="n">
        <v>46054</v>
      </c>
      <c r="B148" s="30" t="inlineStr">
        <is>
          <t>SKU-044</t>
        </is>
      </c>
      <c r="C148" s="30" t="inlineStr">
        <is>
          <t>Retail</t>
        </is>
      </c>
      <c r="D148" s="22" t="n">
        <v>3</v>
      </c>
      <c r="E148" s="24" t="n">
        <v>3.87</v>
      </c>
      <c r="F148" s="24" t="n">
        <v>0.5</v>
      </c>
      <c r="G148" s="35">
        <f>D148*E148</f>
        <v/>
      </c>
      <c r="H148" s="35">
        <f>D148*VLOOKUP(B148,Inventory!$A$5:$J$104,10,FALSE)</f>
        <v/>
      </c>
      <c r="I148" s="35">
        <f>G148-F148-H148</f>
        <v/>
      </c>
      <c r="J148" s="30" t="inlineStr">
        <is>
          <t>Order batch 2</t>
        </is>
      </c>
    </row>
    <row r="149">
      <c r="A149" s="34" t="n">
        <v>46054</v>
      </c>
      <c r="B149" s="30" t="inlineStr">
        <is>
          <t>SKU-045</t>
        </is>
      </c>
      <c r="C149" s="30" t="inlineStr">
        <is>
          <t>Wholesale</t>
        </is>
      </c>
      <c r="D149" s="22" t="n">
        <v>1</v>
      </c>
      <c r="E149" s="24" t="n">
        <v>3.86</v>
      </c>
      <c r="F149" s="24" t="n">
        <v>0.5</v>
      </c>
      <c r="G149" s="35">
        <f>D149*E149</f>
        <v/>
      </c>
      <c r="H149" s="35">
        <f>D149*VLOOKUP(B149,Inventory!$A$5:$J$104,10,FALSE)</f>
        <v/>
      </c>
      <c r="I149" s="35">
        <f>G149-F149-H149</f>
        <v/>
      </c>
      <c r="J149" s="30" t="inlineStr">
        <is>
          <t>Order batch 2</t>
        </is>
      </c>
    </row>
    <row r="150">
      <c r="A150" s="34" t="n">
        <v>46055</v>
      </c>
      <c r="B150" s="30" t="inlineStr">
        <is>
          <t>SKU-046</t>
        </is>
      </c>
      <c r="C150" s="30" t="inlineStr">
        <is>
          <t>Etsy</t>
        </is>
      </c>
      <c r="D150" s="22" t="n">
        <v>2</v>
      </c>
      <c r="E150" s="24" t="n">
        <v>5.13</v>
      </c>
      <c r="F150" s="24" t="n">
        <v>0.67</v>
      </c>
      <c r="G150" s="35">
        <f>D150*E150</f>
        <v/>
      </c>
      <c r="H150" s="35">
        <f>D150*VLOOKUP(B150,Inventory!$A$5:$J$104,10,FALSE)</f>
        <v/>
      </c>
      <c r="I150" s="35">
        <f>G150-F150-H150</f>
        <v/>
      </c>
      <c r="J150" s="30" t="inlineStr">
        <is>
          <t>Order batch 2</t>
        </is>
      </c>
    </row>
    <row r="151">
      <c r="A151" s="34" t="n">
        <v>46055</v>
      </c>
      <c r="B151" s="30" t="inlineStr">
        <is>
          <t>SKU-047</t>
        </is>
      </c>
      <c r="C151" s="30" t="inlineStr">
        <is>
          <t>Shop</t>
        </is>
      </c>
      <c r="D151" s="22" t="n">
        <v>3</v>
      </c>
      <c r="E151" s="24" t="n">
        <v>5.77</v>
      </c>
      <c r="F151" s="24" t="n">
        <v>0.75</v>
      </c>
      <c r="G151" s="35">
        <f>D151*E151</f>
        <v/>
      </c>
      <c r="H151" s="35">
        <f>D151*VLOOKUP(B151,Inventory!$A$5:$J$104,10,FALSE)</f>
        <v/>
      </c>
      <c r="I151" s="35">
        <f>G151-F151-H151</f>
        <v/>
      </c>
      <c r="J151" s="30" t="inlineStr">
        <is>
          <t>Order batch 2</t>
        </is>
      </c>
    </row>
    <row r="152">
      <c r="A152" s="34" t="n">
        <v>46055</v>
      </c>
      <c r="B152" s="30" t="inlineStr">
        <is>
          <t>SKU-048</t>
        </is>
      </c>
      <c r="C152" s="30" t="inlineStr">
        <is>
          <t>Market</t>
        </is>
      </c>
      <c r="D152" s="22" t="n">
        <v>1</v>
      </c>
      <c r="E152" s="24" t="n">
        <v>6.44</v>
      </c>
      <c r="F152" s="24" t="n">
        <v>0.84</v>
      </c>
      <c r="G152" s="35">
        <f>D152*E152</f>
        <v/>
      </c>
      <c r="H152" s="35">
        <f>D152*VLOOKUP(B152,Inventory!$A$5:$J$104,10,FALSE)</f>
        <v/>
      </c>
      <c r="I152" s="35">
        <f>G152-F152-H152</f>
        <v/>
      </c>
      <c r="J152" s="30" t="inlineStr">
        <is>
          <t>Order batch 2</t>
        </is>
      </c>
    </row>
    <row r="153">
      <c r="A153" s="34" t="n">
        <v>46055</v>
      </c>
      <c r="B153" s="30" t="inlineStr">
        <is>
          <t>SKU-049</t>
        </is>
      </c>
      <c r="C153" s="30" t="inlineStr">
        <is>
          <t>Retail</t>
        </is>
      </c>
      <c r="D153" s="22" t="n">
        <v>2</v>
      </c>
      <c r="E153" s="24" t="n">
        <v>7.14</v>
      </c>
      <c r="F153" s="24" t="n">
        <v>0.93</v>
      </c>
      <c r="G153" s="35">
        <f>D153*E153</f>
        <v/>
      </c>
      <c r="H153" s="35">
        <f>D153*VLOOKUP(B153,Inventory!$A$5:$J$104,10,FALSE)</f>
        <v/>
      </c>
      <c r="I153" s="35">
        <f>G153-F153-H153</f>
        <v/>
      </c>
      <c r="J153" s="30" t="inlineStr">
        <is>
          <t>Order batch 2</t>
        </is>
      </c>
    </row>
    <row r="154">
      <c r="A154" s="34" t="n">
        <v>46055</v>
      </c>
      <c r="B154" s="30" t="inlineStr">
        <is>
          <t>SKU-050</t>
        </is>
      </c>
      <c r="C154" s="30" t="inlineStr">
        <is>
          <t>Wholesale</t>
        </is>
      </c>
      <c r="D154" s="22" t="n">
        <v>3</v>
      </c>
      <c r="E154" s="24" t="n">
        <v>7.87</v>
      </c>
      <c r="F154" s="24" t="n">
        <v>1.02</v>
      </c>
      <c r="G154" s="35">
        <f>D154*E154</f>
        <v/>
      </c>
      <c r="H154" s="35">
        <f>D154*VLOOKUP(B154,Inventory!$A$5:$J$104,10,FALSE)</f>
        <v/>
      </c>
      <c r="I154" s="35">
        <f>G154-F154-H154</f>
        <v/>
      </c>
      <c r="J154" s="30" t="inlineStr">
        <is>
          <t>Order batch 2</t>
        </is>
      </c>
    </row>
    <row r="155">
      <c r="A155" s="34" t="n">
        <v>46056</v>
      </c>
      <c r="B155" s="30" t="inlineStr">
        <is>
          <t>SKU-051</t>
        </is>
      </c>
      <c r="C155" s="30" t="inlineStr">
        <is>
          <t>Etsy</t>
        </is>
      </c>
      <c r="D155" s="22" t="n">
        <v>1</v>
      </c>
      <c r="E155" s="24" t="n">
        <v>6.89</v>
      </c>
      <c r="F155" s="24" t="n">
        <v>0.9</v>
      </c>
      <c r="G155" s="35">
        <f>D155*E155</f>
        <v/>
      </c>
      <c r="H155" s="35">
        <f>D155*VLOOKUP(B155,Inventory!$A$5:$J$104,10,FALSE)</f>
        <v/>
      </c>
      <c r="I155" s="35">
        <f>G155-F155-H155</f>
        <v/>
      </c>
      <c r="J155" s="30" t="inlineStr">
        <is>
          <t>Order batch 2</t>
        </is>
      </c>
    </row>
    <row r="156">
      <c r="A156" s="34" t="n">
        <v>46056</v>
      </c>
      <c r="B156" s="30" t="inlineStr">
        <is>
          <t>SKU-052</t>
        </is>
      </c>
      <c r="C156" s="30" t="inlineStr">
        <is>
          <t>Shop</t>
        </is>
      </c>
      <c r="D156" s="22" t="n">
        <v>2</v>
      </c>
      <c r="E156" s="24" t="n">
        <v>7.57</v>
      </c>
      <c r="F156" s="24" t="n">
        <v>0.98</v>
      </c>
      <c r="G156" s="35">
        <f>D156*E156</f>
        <v/>
      </c>
      <c r="H156" s="35">
        <f>D156*VLOOKUP(B156,Inventory!$A$5:$J$104,10,FALSE)</f>
        <v/>
      </c>
      <c r="I156" s="35">
        <f>G156-F156-H156</f>
        <v/>
      </c>
      <c r="J156" s="30" t="inlineStr">
        <is>
          <t>Order batch 2</t>
        </is>
      </c>
    </row>
    <row r="157">
      <c r="A157" s="34" t="n">
        <v>46056</v>
      </c>
      <c r="B157" s="30" t="inlineStr">
        <is>
          <t>SKU-053</t>
        </is>
      </c>
      <c r="C157" s="30" t="inlineStr">
        <is>
          <t>Market</t>
        </is>
      </c>
      <c r="D157" s="22" t="n">
        <v>3</v>
      </c>
      <c r="E157" s="24" t="n">
        <v>8.289999999999999</v>
      </c>
      <c r="F157" s="24" t="n">
        <v>1.08</v>
      </c>
      <c r="G157" s="35">
        <f>D157*E157</f>
        <v/>
      </c>
      <c r="H157" s="35">
        <f>D157*VLOOKUP(B157,Inventory!$A$5:$J$104,10,FALSE)</f>
        <v/>
      </c>
      <c r="I157" s="35">
        <f>G157-F157-H157</f>
        <v/>
      </c>
      <c r="J157" s="30" t="inlineStr">
        <is>
          <t>Order batch 2</t>
        </is>
      </c>
    </row>
    <row r="158">
      <c r="A158" s="34" t="n">
        <v>46056</v>
      </c>
      <c r="B158" s="30" t="inlineStr">
        <is>
          <t>SKU-054</t>
        </is>
      </c>
      <c r="C158" s="30" t="inlineStr">
        <is>
          <t>Retail</t>
        </is>
      </c>
      <c r="D158" s="22" t="n">
        <v>1</v>
      </c>
      <c r="E158" s="24" t="n">
        <v>9.029999999999999</v>
      </c>
      <c r="F158" s="24" t="n">
        <v>1.17</v>
      </c>
      <c r="G158" s="35">
        <f>D158*E158</f>
        <v/>
      </c>
      <c r="H158" s="35">
        <f>D158*VLOOKUP(B158,Inventory!$A$5:$J$104,10,FALSE)</f>
        <v/>
      </c>
      <c r="I158" s="35">
        <f>G158-F158-H158</f>
        <v/>
      </c>
      <c r="J158" s="30" t="inlineStr">
        <is>
          <t>Order batch 2</t>
        </is>
      </c>
    </row>
    <row r="159">
      <c r="A159" s="34" t="n">
        <v>46056</v>
      </c>
      <c r="B159" s="30" t="inlineStr">
        <is>
          <t>SKU-055</t>
        </is>
      </c>
      <c r="C159" s="30" t="inlineStr">
        <is>
          <t>Wholesale</t>
        </is>
      </c>
      <c r="D159" s="22" t="n">
        <v>2</v>
      </c>
      <c r="E159" s="24" t="n">
        <v>9.800000000000001</v>
      </c>
      <c r="F159" s="24" t="n">
        <v>1.27</v>
      </c>
      <c r="G159" s="35">
        <f>D159*E159</f>
        <v/>
      </c>
      <c r="H159" s="35">
        <f>D159*VLOOKUP(B159,Inventory!$A$5:$J$104,10,FALSE)</f>
        <v/>
      </c>
      <c r="I159" s="35">
        <f>G159-F159-H159</f>
        <v/>
      </c>
      <c r="J159" s="30" t="inlineStr">
        <is>
          <t>Order batch 2</t>
        </is>
      </c>
    </row>
    <row r="160">
      <c r="A160" s="34" t="n">
        <v>46057</v>
      </c>
      <c r="B160" s="30" t="inlineStr">
        <is>
          <t>SKU-056</t>
        </is>
      </c>
      <c r="C160" s="30" t="inlineStr">
        <is>
          <t>Etsy</t>
        </is>
      </c>
      <c r="D160" s="22" t="n">
        <v>3</v>
      </c>
      <c r="E160" s="24" t="n">
        <v>3.23</v>
      </c>
      <c r="F160" s="24" t="n">
        <v>0.42</v>
      </c>
      <c r="G160" s="35">
        <f>D160*E160</f>
        <v/>
      </c>
      <c r="H160" s="35">
        <f>D160*VLOOKUP(B160,Inventory!$A$5:$J$104,10,FALSE)</f>
        <v/>
      </c>
      <c r="I160" s="35">
        <f>G160-F160-H160</f>
        <v/>
      </c>
      <c r="J160" s="30" t="inlineStr">
        <is>
          <t>Order batch 2</t>
        </is>
      </c>
    </row>
    <row r="161">
      <c r="A161" s="34" t="n">
        <v>46057</v>
      </c>
      <c r="B161" s="30" t="inlineStr">
        <is>
          <t>SKU-057</t>
        </is>
      </c>
      <c r="C161" s="30" t="inlineStr">
        <is>
          <t>Shop</t>
        </is>
      </c>
      <c r="D161" s="22" t="n">
        <v>1</v>
      </c>
      <c r="E161" s="24" t="n">
        <v>3.3</v>
      </c>
      <c r="F161" s="24" t="n">
        <v>0.43</v>
      </c>
      <c r="G161" s="35">
        <f>D161*E161</f>
        <v/>
      </c>
      <c r="H161" s="35">
        <f>D161*VLOOKUP(B161,Inventory!$A$5:$J$104,10,FALSE)</f>
        <v/>
      </c>
      <c r="I161" s="35">
        <f>G161-F161-H161</f>
        <v/>
      </c>
      <c r="J161" s="30" t="inlineStr">
        <is>
          <t>Order batch 2</t>
        </is>
      </c>
    </row>
    <row r="162">
      <c r="A162" s="34" t="n">
        <v>46057</v>
      </c>
      <c r="B162" s="30" t="inlineStr">
        <is>
          <t>SKU-058</t>
        </is>
      </c>
      <c r="C162" s="30" t="inlineStr">
        <is>
          <t>Market</t>
        </is>
      </c>
      <c r="D162" s="22" t="n">
        <v>2</v>
      </c>
      <c r="E162" s="24" t="n">
        <v>3.89</v>
      </c>
      <c r="F162" s="24" t="n">
        <v>0.51</v>
      </c>
      <c r="G162" s="35">
        <f>D162*E162</f>
        <v/>
      </c>
      <c r="H162" s="35">
        <f>D162*VLOOKUP(B162,Inventory!$A$5:$J$104,10,FALSE)</f>
        <v/>
      </c>
      <c r="I162" s="35">
        <f>G162-F162-H162</f>
        <v/>
      </c>
      <c r="J162" s="30" t="inlineStr">
        <is>
          <t>Order batch 2</t>
        </is>
      </c>
    </row>
    <row r="163">
      <c r="A163" s="34" t="n">
        <v>46057</v>
      </c>
      <c r="B163" s="30" t="inlineStr">
        <is>
          <t>SKU-059</t>
        </is>
      </c>
      <c r="C163" s="30" t="inlineStr">
        <is>
          <t>Retail</t>
        </is>
      </c>
      <c r="D163" s="22" t="n">
        <v>3</v>
      </c>
      <c r="E163" s="24" t="n">
        <v>4.5</v>
      </c>
      <c r="F163" s="24" t="n">
        <v>0.58</v>
      </c>
      <c r="G163" s="35">
        <f>D163*E163</f>
        <v/>
      </c>
      <c r="H163" s="35">
        <f>D163*VLOOKUP(B163,Inventory!$A$5:$J$104,10,FALSE)</f>
        <v/>
      </c>
      <c r="I163" s="35">
        <f>G163-F163-H163</f>
        <v/>
      </c>
      <c r="J163" s="30" t="inlineStr">
        <is>
          <t>Order batch 2</t>
        </is>
      </c>
    </row>
    <row r="164">
      <c r="A164" s="34" t="n">
        <v>46057</v>
      </c>
      <c r="B164" s="30" t="inlineStr">
        <is>
          <t>SKU-060</t>
        </is>
      </c>
      <c r="C164" s="30" t="inlineStr">
        <is>
          <t>Wholesale</t>
        </is>
      </c>
      <c r="D164" s="22" t="n">
        <v>1</v>
      </c>
      <c r="E164" s="24" t="n">
        <v>5.14</v>
      </c>
      <c r="F164" s="24" t="n">
        <v>0.67</v>
      </c>
      <c r="G164" s="35">
        <f>D164*E164</f>
        <v/>
      </c>
      <c r="H164" s="35">
        <f>D164*VLOOKUP(B164,Inventory!$A$5:$J$104,10,FALSE)</f>
        <v/>
      </c>
      <c r="I164" s="35">
        <f>G164-F164-H164</f>
        <v/>
      </c>
      <c r="J164" s="30" t="inlineStr">
        <is>
          <t>Order batch 2</t>
        </is>
      </c>
    </row>
    <row r="165">
      <c r="A165" s="34" t="n">
        <v>46058</v>
      </c>
      <c r="B165" s="30" t="inlineStr">
        <is>
          <t>SKU-061</t>
        </is>
      </c>
      <c r="C165" s="30" t="inlineStr">
        <is>
          <t>Etsy</t>
        </is>
      </c>
      <c r="D165" s="22" t="n">
        <v>2</v>
      </c>
      <c r="E165" s="24" t="n">
        <v>11.11</v>
      </c>
      <c r="F165" s="24" t="n">
        <v>1.44</v>
      </c>
      <c r="G165" s="35">
        <f>D165*E165</f>
        <v/>
      </c>
      <c r="H165" s="35">
        <f>D165*VLOOKUP(B165,Inventory!$A$5:$J$104,10,FALSE)</f>
        <v/>
      </c>
      <c r="I165" s="35">
        <f>G165-F165-H165</f>
        <v/>
      </c>
      <c r="J165" s="30" t="inlineStr">
        <is>
          <t>Order batch 2</t>
        </is>
      </c>
    </row>
    <row r="166">
      <c r="A166" s="34" t="n">
        <v>46058</v>
      </c>
      <c r="B166" s="30" t="inlineStr">
        <is>
          <t>SKU-062</t>
        </is>
      </c>
      <c r="C166" s="30" t="inlineStr">
        <is>
          <t>Shop</t>
        </is>
      </c>
      <c r="D166" s="22" t="n">
        <v>3</v>
      </c>
      <c r="E166" s="24" t="n">
        <v>11.94</v>
      </c>
      <c r="F166" s="24" t="n">
        <v>1.55</v>
      </c>
      <c r="G166" s="35">
        <f>D166*E166</f>
        <v/>
      </c>
      <c r="H166" s="35">
        <f>D166*VLOOKUP(B166,Inventory!$A$5:$J$104,10,FALSE)</f>
        <v/>
      </c>
      <c r="I166" s="35">
        <f>G166-F166-H166</f>
        <v/>
      </c>
      <c r="J166" s="30" t="inlineStr">
        <is>
          <t>Order batch 2</t>
        </is>
      </c>
    </row>
    <row r="167">
      <c r="A167" s="34" t="n">
        <v>46058</v>
      </c>
      <c r="B167" s="30" t="inlineStr">
        <is>
          <t>SKU-063</t>
        </is>
      </c>
      <c r="C167" s="30" t="inlineStr">
        <is>
          <t>Market</t>
        </is>
      </c>
      <c r="D167" s="22" t="n">
        <v>1</v>
      </c>
      <c r="E167" s="24" t="n">
        <v>10.92</v>
      </c>
      <c r="F167" s="24" t="n">
        <v>1.42</v>
      </c>
      <c r="G167" s="35">
        <f>D167*E167</f>
        <v/>
      </c>
      <c r="H167" s="35">
        <f>D167*VLOOKUP(B167,Inventory!$A$5:$J$104,10,FALSE)</f>
        <v/>
      </c>
      <c r="I167" s="35">
        <f>G167-F167-H167</f>
        <v/>
      </c>
      <c r="J167" s="30" t="inlineStr">
        <is>
          <t>Order batch 2</t>
        </is>
      </c>
    </row>
    <row r="168">
      <c r="A168" s="34" t="n">
        <v>46058</v>
      </c>
      <c r="B168" s="30" t="inlineStr">
        <is>
          <t>SKU-064</t>
        </is>
      </c>
      <c r="C168" s="30" t="inlineStr">
        <is>
          <t>Retail</t>
        </is>
      </c>
      <c r="D168" s="22" t="n">
        <v>2</v>
      </c>
      <c r="E168" s="24" t="n">
        <v>11.72</v>
      </c>
      <c r="F168" s="24" t="n">
        <v>1.52</v>
      </c>
      <c r="G168" s="35">
        <f>D168*E168</f>
        <v/>
      </c>
      <c r="H168" s="35">
        <f>D168*VLOOKUP(B168,Inventory!$A$5:$J$104,10,FALSE)</f>
        <v/>
      </c>
      <c r="I168" s="35">
        <f>G168-F168-H168</f>
        <v/>
      </c>
      <c r="J168" s="30" t="inlineStr">
        <is>
          <t>Order batch 2</t>
        </is>
      </c>
    </row>
    <row r="169">
      <c r="A169" s="34" t="n">
        <v>46058</v>
      </c>
      <c r="B169" s="30" t="inlineStr">
        <is>
          <t>SKU-065</t>
        </is>
      </c>
      <c r="C169" s="30" t="inlineStr">
        <is>
          <t>Wholesale</t>
        </is>
      </c>
      <c r="D169" s="22" t="n">
        <v>3</v>
      </c>
      <c r="E169" s="24" t="n">
        <v>12.55</v>
      </c>
      <c r="F169" s="24" t="n">
        <v>1.63</v>
      </c>
      <c r="G169" s="35">
        <f>D169*E169</f>
        <v/>
      </c>
      <c r="H169" s="35">
        <f>D169*VLOOKUP(B169,Inventory!$A$5:$J$104,10,FALSE)</f>
        <v/>
      </c>
      <c r="I169" s="35">
        <f>G169-F169-H169</f>
        <v/>
      </c>
      <c r="J169" s="30" t="inlineStr">
        <is>
          <t>Order batch 2</t>
        </is>
      </c>
    </row>
    <row r="170">
      <c r="A170" s="34" t="n">
        <v>46059</v>
      </c>
      <c r="B170" s="30" t="inlineStr">
        <is>
          <t>SKU-066</t>
        </is>
      </c>
      <c r="C170" s="30" t="inlineStr">
        <is>
          <t>Etsy</t>
        </is>
      </c>
      <c r="D170" s="22" t="n">
        <v>1</v>
      </c>
      <c r="E170" s="24" t="n">
        <v>16.29</v>
      </c>
      <c r="F170" s="24" t="n">
        <v>2.12</v>
      </c>
      <c r="G170" s="35">
        <f>D170*E170</f>
        <v/>
      </c>
      <c r="H170" s="35">
        <f>D170*VLOOKUP(B170,Inventory!$A$5:$J$104,10,FALSE)</f>
        <v/>
      </c>
      <c r="I170" s="35">
        <f>G170-F170-H170</f>
        <v/>
      </c>
      <c r="J170" s="30" t="inlineStr">
        <is>
          <t>Order batch 2</t>
        </is>
      </c>
    </row>
    <row r="171">
      <c r="A171" s="34" t="n">
        <v>46059</v>
      </c>
      <c r="B171" s="30" t="inlineStr">
        <is>
          <t>SKU-067</t>
        </is>
      </c>
      <c r="C171" s="30" t="inlineStr">
        <is>
          <t>Shop</t>
        </is>
      </c>
      <c r="D171" s="22" t="n">
        <v>2</v>
      </c>
      <c r="E171" s="24" t="n">
        <v>17.25</v>
      </c>
      <c r="F171" s="24" t="n">
        <v>2.24</v>
      </c>
      <c r="G171" s="35">
        <f>D171*E171</f>
        <v/>
      </c>
      <c r="H171" s="35">
        <f>D171*VLOOKUP(B171,Inventory!$A$5:$J$104,10,FALSE)</f>
        <v/>
      </c>
      <c r="I171" s="35">
        <f>G171-F171-H171</f>
        <v/>
      </c>
      <c r="J171" s="30" t="inlineStr">
        <is>
          <t>Order batch 2</t>
        </is>
      </c>
    </row>
    <row r="172">
      <c r="A172" s="34" t="n">
        <v>46059</v>
      </c>
      <c r="B172" s="30" t="inlineStr">
        <is>
          <t>SKU-068</t>
        </is>
      </c>
      <c r="C172" s="30" t="inlineStr">
        <is>
          <t>Market</t>
        </is>
      </c>
      <c r="D172" s="22" t="n">
        <v>3</v>
      </c>
      <c r="E172" s="24" t="n">
        <v>18.24</v>
      </c>
      <c r="F172" s="24" t="n">
        <v>2.37</v>
      </c>
      <c r="G172" s="35">
        <f>D172*E172</f>
        <v/>
      </c>
      <c r="H172" s="35">
        <f>D172*VLOOKUP(B172,Inventory!$A$5:$J$104,10,FALSE)</f>
        <v/>
      </c>
      <c r="I172" s="35">
        <f>G172-F172-H172</f>
        <v/>
      </c>
      <c r="J172" s="30" t="inlineStr">
        <is>
          <t>Order batch 2</t>
        </is>
      </c>
    </row>
    <row r="173">
      <c r="A173" s="34" t="n">
        <v>46059</v>
      </c>
      <c r="B173" s="30" t="inlineStr">
        <is>
          <t>SKU-069</t>
        </is>
      </c>
      <c r="C173" s="30" t="inlineStr">
        <is>
          <t>Retail</t>
        </is>
      </c>
      <c r="D173" s="22" t="n">
        <v>1</v>
      </c>
      <c r="E173" s="24" t="n">
        <v>16.44</v>
      </c>
      <c r="F173" s="24" t="n">
        <v>2.14</v>
      </c>
      <c r="G173" s="35">
        <f>D173*E173</f>
        <v/>
      </c>
      <c r="H173" s="35">
        <f>D173*VLOOKUP(B173,Inventory!$A$5:$J$104,10,FALSE)</f>
        <v/>
      </c>
      <c r="I173" s="35">
        <f>G173-F173-H173</f>
        <v/>
      </c>
      <c r="J173" s="30" t="inlineStr">
        <is>
          <t>Order batch 2</t>
        </is>
      </c>
    </row>
    <row r="174">
      <c r="A174" s="34" t="n">
        <v>46059</v>
      </c>
      <c r="B174" s="30" t="inlineStr">
        <is>
          <t>SKU-070</t>
        </is>
      </c>
      <c r="C174" s="30" t="inlineStr">
        <is>
          <t>Wholesale</t>
        </is>
      </c>
      <c r="D174" s="22" t="n">
        <v>2</v>
      </c>
      <c r="E174" s="24" t="n">
        <v>17.4</v>
      </c>
      <c r="F174" s="24" t="n">
        <v>2.26</v>
      </c>
      <c r="G174" s="35">
        <f>D174*E174</f>
        <v/>
      </c>
      <c r="H174" s="35">
        <f>D174*VLOOKUP(B174,Inventory!$A$5:$J$104,10,FALSE)</f>
        <v/>
      </c>
      <c r="I174" s="35">
        <f>G174-F174-H174</f>
        <v/>
      </c>
      <c r="J174" s="30" t="inlineStr">
        <is>
          <t>Order batch 2</t>
        </is>
      </c>
    </row>
    <row r="175">
      <c r="A175" s="34" t="n">
        <v>46060</v>
      </c>
      <c r="B175" s="30" t="inlineStr">
        <is>
          <t>SKU-071</t>
        </is>
      </c>
      <c r="C175" s="30" t="inlineStr">
        <is>
          <t>Etsy</t>
        </is>
      </c>
      <c r="D175" s="22" t="n">
        <v>3</v>
      </c>
      <c r="E175" s="24" t="n">
        <v>2.19</v>
      </c>
      <c r="F175" s="24" t="n">
        <v>0.28</v>
      </c>
      <c r="G175" s="35">
        <f>D175*E175</f>
        <v/>
      </c>
      <c r="H175" s="35">
        <f>D175*VLOOKUP(B175,Inventory!$A$5:$J$104,10,FALSE)</f>
        <v/>
      </c>
      <c r="I175" s="35">
        <f>G175-F175-H175</f>
        <v/>
      </c>
      <c r="J175" s="30" t="inlineStr">
        <is>
          <t>Order batch 2</t>
        </is>
      </c>
    </row>
    <row r="176">
      <c r="A176" s="34" t="n">
        <v>46060</v>
      </c>
      <c r="B176" s="30" t="inlineStr">
        <is>
          <t>SKU-072</t>
        </is>
      </c>
      <c r="C176" s="30" t="inlineStr">
        <is>
          <t>Shop</t>
        </is>
      </c>
      <c r="D176" s="22" t="n">
        <v>1</v>
      </c>
      <c r="E176" s="24" t="n">
        <v>2.77</v>
      </c>
      <c r="F176" s="24" t="n">
        <v>0.36</v>
      </c>
      <c r="G176" s="35">
        <f>D176*E176</f>
        <v/>
      </c>
      <c r="H176" s="35">
        <f>D176*VLOOKUP(B176,Inventory!$A$5:$J$104,10,FALSE)</f>
        <v/>
      </c>
      <c r="I176" s="35">
        <f>G176-F176-H176</f>
        <v/>
      </c>
      <c r="J176" s="30" t="inlineStr">
        <is>
          <t>Order batch 2</t>
        </is>
      </c>
    </row>
    <row r="177">
      <c r="A177" s="34" t="n">
        <v>46060</v>
      </c>
      <c r="B177" s="30" t="inlineStr">
        <is>
          <t>SKU-073</t>
        </is>
      </c>
      <c r="C177" s="30" t="inlineStr">
        <is>
          <t>Market</t>
        </is>
      </c>
      <c r="D177" s="22" t="n">
        <v>2</v>
      </c>
      <c r="E177" s="24" t="n">
        <v>3.37</v>
      </c>
      <c r="F177" s="24" t="n">
        <v>0.44</v>
      </c>
      <c r="G177" s="35">
        <f>D177*E177</f>
        <v/>
      </c>
      <c r="H177" s="35">
        <f>D177*VLOOKUP(B177,Inventory!$A$5:$J$104,10,FALSE)</f>
        <v/>
      </c>
      <c r="I177" s="35">
        <f>G177-F177-H177</f>
        <v/>
      </c>
      <c r="J177" s="30" t="inlineStr">
        <is>
          <t>Order batch 2</t>
        </is>
      </c>
    </row>
    <row r="178">
      <c r="A178" s="34" t="n">
        <v>46060</v>
      </c>
      <c r="B178" s="30" t="inlineStr">
        <is>
          <t>SKU-074</t>
        </is>
      </c>
      <c r="C178" s="30" t="inlineStr">
        <is>
          <t>Retail</t>
        </is>
      </c>
      <c r="D178" s="22" t="n">
        <v>3</v>
      </c>
      <c r="E178" s="24" t="n">
        <v>4</v>
      </c>
      <c r="F178" s="24" t="n">
        <v>0.52</v>
      </c>
      <c r="G178" s="35">
        <f>D178*E178</f>
        <v/>
      </c>
      <c r="H178" s="35">
        <f>D178*VLOOKUP(B178,Inventory!$A$5:$J$104,10,FALSE)</f>
        <v/>
      </c>
      <c r="I178" s="35">
        <f>G178-F178-H178</f>
        <v/>
      </c>
      <c r="J178" s="30" t="inlineStr">
        <is>
          <t>Order batch 2</t>
        </is>
      </c>
    </row>
    <row r="179">
      <c r="A179" s="34" t="n">
        <v>46060</v>
      </c>
      <c r="B179" s="30" t="inlineStr">
        <is>
          <t>SKU-075</t>
        </is>
      </c>
      <c r="C179" s="30" t="inlineStr">
        <is>
          <t>Wholesale</t>
        </is>
      </c>
      <c r="D179" s="22" t="n">
        <v>1</v>
      </c>
      <c r="E179" s="24" t="n">
        <v>3.98</v>
      </c>
      <c r="F179" s="24" t="n">
        <v>0.52</v>
      </c>
      <c r="G179" s="35">
        <f>D179*E179</f>
        <v/>
      </c>
      <c r="H179" s="35">
        <f>D179*VLOOKUP(B179,Inventory!$A$5:$J$104,10,FALSE)</f>
        <v/>
      </c>
      <c r="I179" s="35">
        <f>G179-F179-H179</f>
        <v/>
      </c>
      <c r="J179" s="30" t="inlineStr">
        <is>
          <t>Order batch 2</t>
        </is>
      </c>
    </row>
    <row r="180">
      <c r="A180" s="34" t="n">
        <v>46061</v>
      </c>
      <c r="B180" s="30" t="inlineStr">
        <is>
          <t>SKU-076</t>
        </is>
      </c>
      <c r="C180" s="30" t="inlineStr">
        <is>
          <t>Etsy</t>
        </is>
      </c>
      <c r="D180" s="22" t="n">
        <v>2</v>
      </c>
      <c r="E180" s="24" t="n">
        <v>2.76</v>
      </c>
      <c r="F180" s="24" t="n">
        <v>0.36</v>
      </c>
      <c r="G180" s="35">
        <f>D180*E180</f>
        <v/>
      </c>
      <c r="H180" s="35">
        <f>D180*VLOOKUP(B180,Inventory!$A$5:$J$104,10,FALSE)</f>
        <v/>
      </c>
      <c r="I180" s="35">
        <f>G180-F180-H180</f>
        <v/>
      </c>
      <c r="J180" s="30" t="inlineStr">
        <is>
          <t>Order batch 2</t>
        </is>
      </c>
    </row>
    <row r="181">
      <c r="A181" s="34" t="n">
        <v>46061</v>
      </c>
      <c r="B181" s="30" t="inlineStr">
        <is>
          <t>SKU-077</t>
        </is>
      </c>
      <c r="C181" s="30" t="inlineStr">
        <is>
          <t>Shop</t>
        </is>
      </c>
      <c r="D181" s="22" t="n">
        <v>3</v>
      </c>
      <c r="E181" s="24" t="n">
        <v>3.34</v>
      </c>
      <c r="F181" s="24" t="n">
        <v>0.43</v>
      </c>
      <c r="G181" s="35">
        <f>D181*E181</f>
        <v/>
      </c>
      <c r="H181" s="35">
        <f>D181*VLOOKUP(B181,Inventory!$A$5:$J$104,10,FALSE)</f>
        <v/>
      </c>
      <c r="I181" s="35">
        <f>G181-F181-H181</f>
        <v/>
      </c>
      <c r="J181" s="30" t="inlineStr">
        <is>
          <t>Order batch 2</t>
        </is>
      </c>
    </row>
    <row r="182">
      <c r="A182" s="34" t="n">
        <v>46061</v>
      </c>
      <c r="B182" s="30" t="inlineStr">
        <is>
          <t>SKU-078</t>
        </is>
      </c>
      <c r="C182" s="30" t="inlineStr">
        <is>
          <t>Market</t>
        </is>
      </c>
      <c r="D182" s="22" t="n">
        <v>1</v>
      </c>
      <c r="E182" s="24" t="n">
        <v>3.95</v>
      </c>
      <c r="F182" s="24" t="n">
        <v>0.51</v>
      </c>
      <c r="G182" s="35">
        <f>D182*E182</f>
        <v/>
      </c>
      <c r="H182" s="35">
        <f>D182*VLOOKUP(B182,Inventory!$A$5:$J$104,10,FALSE)</f>
        <v/>
      </c>
      <c r="I182" s="35">
        <f>G182-F182-H182</f>
        <v/>
      </c>
      <c r="J182" s="30" t="inlineStr">
        <is>
          <t>Order batch 2</t>
        </is>
      </c>
    </row>
    <row r="183">
      <c r="A183" s="34" t="n">
        <v>46061</v>
      </c>
      <c r="B183" s="30" t="inlineStr">
        <is>
          <t>SKU-079</t>
        </is>
      </c>
      <c r="C183" s="30" t="inlineStr">
        <is>
          <t>Retail</t>
        </is>
      </c>
      <c r="D183" s="22" t="n">
        <v>2</v>
      </c>
      <c r="E183" s="24" t="n">
        <v>4.59</v>
      </c>
      <c r="F183" s="24" t="n">
        <v>0.6</v>
      </c>
      <c r="G183" s="35">
        <f>D183*E183</f>
        <v/>
      </c>
      <c r="H183" s="35">
        <f>D183*VLOOKUP(B183,Inventory!$A$5:$J$104,10,FALSE)</f>
        <v/>
      </c>
      <c r="I183" s="35">
        <f>G183-F183-H183</f>
        <v/>
      </c>
      <c r="J183" s="30" t="inlineStr">
        <is>
          <t>Order batch 2</t>
        </is>
      </c>
    </row>
    <row r="184">
      <c r="A184" s="34" t="n">
        <v>46061</v>
      </c>
      <c r="B184" s="30" t="inlineStr">
        <is>
          <t>SKU-080</t>
        </is>
      </c>
      <c r="C184" s="30" t="inlineStr">
        <is>
          <t>Wholesale</t>
        </is>
      </c>
      <c r="D184" s="22" t="n">
        <v>3</v>
      </c>
      <c r="E184" s="24" t="n">
        <v>5.25</v>
      </c>
      <c r="F184" s="24" t="n">
        <v>0.68</v>
      </c>
      <c r="G184" s="35">
        <f>D184*E184</f>
        <v/>
      </c>
      <c r="H184" s="35">
        <f>D184*VLOOKUP(B184,Inventory!$A$5:$J$104,10,FALSE)</f>
        <v/>
      </c>
      <c r="I184" s="35">
        <f>G184-F184-H184</f>
        <v/>
      </c>
      <c r="J184" s="30" t="inlineStr">
        <is>
          <t>Order batch 2</t>
        </is>
      </c>
    </row>
    <row r="185">
      <c r="A185" s="34" t="n">
        <v>46062</v>
      </c>
      <c r="B185" s="30" t="inlineStr">
        <is>
          <t>SKU-081</t>
        </is>
      </c>
      <c r="C185" s="30" t="inlineStr">
        <is>
          <t>Etsy</t>
        </is>
      </c>
      <c r="D185" s="22" t="n">
        <v>1</v>
      </c>
      <c r="E185" s="24" t="n">
        <v>3.75</v>
      </c>
      <c r="F185" s="24" t="n">
        <v>0.49</v>
      </c>
      <c r="G185" s="35">
        <f>D185*E185</f>
        <v/>
      </c>
      <c r="H185" s="35">
        <f>D185*VLOOKUP(B185,Inventory!$A$5:$J$104,10,FALSE)</f>
        <v/>
      </c>
      <c r="I185" s="35">
        <f>G185-F185-H185</f>
        <v/>
      </c>
      <c r="J185" s="30" t="inlineStr">
        <is>
          <t>Order batch 2</t>
        </is>
      </c>
    </row>
    <row r="186">
      <c r="A186" s="34" t="n">
        <v>46062</v>
      </c>
      <c r="B186" s="30" t="inlineStr">
        <is>
          <t>SKU-082</t>
        </is>
      </c>
      <c r="C186" s="30" t="inlineStr">
        <is>
          <t>Shop</t>
        </is>
      </c>
      <c r="D186" s="22" t="n">
        <v>2</v>
      </c>
      <c r="E186" s="24" t="n">
        <v>4.35</v>
      </c>
      <c r="F186" s="24" t="n">
        <v>0.57</v>
      </c>
      <c r="G186" s="35">
        <f>D186*E186</f>
        <v/>
      </c>
      <c r="H186" s="35">
        <f>D186*VLOOKUP(B186,Inventory!$A$5:$J$104,10,FALSE)</f>
        <v/>
      </c>
      <c r="I186" s="35">
        <f>G186-F186-H186</f>
        <v/>
      </c>
      <c r="J186" s="30" t="inlineStr">
        <is>
          <t>Order batch 2</t>
        </is>
      </c>
    </row>
    <row r="187">
      <c r="A187" s="34" t="n">
        <v>46062</v>
      </c>
      <c r="B187" s="30" t="inlineStr">
        <is>
          <t>SKU-083</t>
        </is>
      </c>
      <c r="C187" s="30" t="inlineStr">
        <is>
          <t>Market</t>
        </is>
      </c>
      <c r="D187" s="22" t="n">
        <v>3</v>
      </c>
      <c r="E187" s="24" t="n">
        <v>4.97</v>
      </c>
      <c r="F187" s="24" t="n">
        <v>0.65</v>
      </c>
      <c r="G187" s="35">
        <f>D187*E187</f>
        <v/>
      </c>
      <c r="H187" s="35">
        <f>D187*VLOOKUP(B187,Inventory!$A$5:$J$104,10,FALSE)</f>
        <v/>
      </c>
      <c r="I187" s="35">
        <f>G187-F187-H187</f>
        <v/>
      </c>
      <c r="J187" s="30" t="inlineStr">
        <is>
          <t>Order batch 2</t>
        </is>
      </c>
    </row>
    <row r="188">
      <c r="A188" s="34" t="n">
        <v>46062</v>
      </c>
      <c r="B188" s="30" t="inlineStr">
        <is>
          <t>SKU-084</t>
        </is>
      </c>
      <c r="C188" s="30" t="inlineStr">
        <is>
          <t>Retail</t>
        </is>
      </c>
      <c r="D188" s="22" t="n">
        <v>1</v>
      </c>
      <c r="E188" s="24" t="n">
        <v>5.62</v>
      </c>
      <c r="F188" s="24" t="n">
        <v>0.73</v>
      </c>
      <c r="G188" s="35">
        <f>D188*E188</f>
        <v/>
      </c>
      <c r="H188" s="35">
        <f>D188*VLOOKUP(B188,Inventory!$A$5:$J$104,10,FALSE)</f>
        <v/>
      </c>
      <c r="I188" s="35">
        <f>G188-F188-H188</f>
        <v/>
      </c>
      <c r="J188" s="30" t="inlineStr">
        <is>
          <t>Order batch 2</t>
        </is>
      </c>
    </row>
    <row r="189">
      <c r="A189" s="34" t="n">
        <v>46062</v>
      </c>
      <c r="B189" s="30" t="inlineStr">
        <is>
          <t>SKU-085</t>
        </is>
      </c>
      <c r="C189" s="30" t="inlineStr">
        <is>
          <t>Wholesale</t>
        </is>
      </c>
      <c r="D189" s="22" t="n">
        <v>2</v>
      </c>
      <c r="E189" s="24" t="n">
        <v>6.3</v>
      </c>
      <c r="F189" s="24" t="n">
        <v>0.82</v>
      </c>
      <c r="G189" s="35">
        <f>D189*E189</f>
        <v/>
      </c>
      <c r="H189" s="35">
        <f>D189*VLOOKUP(B189,Inventory!$A$5:$J$104,10,FALSE)</f>
        <v/>
      </c>
      <c r="I189" s="35">
        <f>G189-F189-H189</f>
        <v/>
      </c>
      <c r="J189" s="30" t="inlineStr">
        <is>
          <t>Order batch 2</t>
        </is>
      </c>
    </row>
    <row r="190">
      <c r="A190" s="34" t="n">
        <v>46063</v>
      </c>
      <c r="B190" s="30" t="inlineStr">
        <is>
          <t>SKU-086</t>
        </is>
      </c>
      <c r="C190" s="30" t="inlineStr">
        <is>
          <t>Etsy</t>
        </is>
      </c>
      <c r="D190" s="22" t="n">
        <v>3</v>
      </c>
      <c r="E190" s="24" t="n">
        <v>2.05</v>
      </c>
      <c r="F190" s="24" t="n">
        <v>0.27</v>
      </c>
      <c r="G190" s="35">
        <f>D190*E190</f>
        <v/>
      </c>
      <c r="H190" s="35">
        <f>D190*VLOOKUP(B190,Inventory!$A$5:$J$104,10,FALSE)</f>
        <v/>
      </c>
      <c r="I190" s="35">
        <f>G190-F190-H190</f>
        <v/>
      </c>
      <c r="J190" s="30" t="inlineStr">
        <is>
          <t>Order batch 2</t>
        </is>
      </c>
    </row>
    <row r="191">
      <c r="A191" s="34" t="n">
        <v>46063</v>
      </c>
      <c r="B191" s="30" t="inlineStr">
        <is>
          <t>SKU-087</t>
        </is>
      </c>
      <c r="C191" s="30" t="inlineStr">
        <is>
          <t>Shop</t>
        </is>
      </c>
      <c r="D191" s="22" t="n">
        <v>1</v>
      </c>
      <c r="E191" s="24" t="n">
        <v>2.27</v>
      </c>
      <c r="F191" s="24" t="n">
        <v>0.3</v>
      </c>
      <c r="G191" s="35">
        <f>D191*E191</f>
        <v/>
      </c>
      <c r="H191" s="35">
        <f>D191*VLOOKUP(B191,Inventory!$A$5:$J$104,10,FALSE)</f>
        <v/>
      </c>
      <c r="I191" s="35">
        <f>G191-F191-H191</f>
        <v/>
      </c>
      <c r="J191" s="30" t="inlineStr">
        <is>
          <t>Order batch 2</t>
        </is>
      </c>
    </row>
    <row r="192">
      <c r="A192" s="34" t="n">
        <v>46063</v>
      </c>
      <c r="B192" s="30" t="inlineStr">
        <is>
          <t>SKU-088</t>
        </is>
      </c>
      <c r="C192" s="30" t="inlineStr">
        <is>
          <t>Market</t>
        </is>
      </c>
      <c r="D192" s="22" t="n">
        <v>2</v>
      </c>
      <c r="E192" s="24" t="n">
        <v>2.82</v>
      </c>
      <c r="F192" s="24" t="n">
        <v>0.37</v>
      </c>
      <c r="G192" s="35">
        <f>D192*E192</f>
        <v/>
      </c>
      <c r="H192" s="35">
        <f>D192*VLOOKUP(B192,Inventory!$A$5:$J$104,10,FALSE)</f>
        <v/>
      </c>
      <c r="I192" s="35">
        <f>G192-F192-H192</f>
        <v/>
      </c>
      <c r="J192" s="30" t="inlineStr">
        <is>
          <t>Order batch 2</t>
        </is>
      </c>
    </row>
    <row r="193">
      <c r="A193" s="34" t="n">
        <v>46063</v>
      </c>
      <c r="B193" s="30" t="inlineStr">
        <is>
          <t>SKU-089</t>
        </is>
      </c>
      <c r="C193" s="30" t="inlineStr">
        <is>
          <t>Retail</t>
        </is>
      </c>
      <c r="D193" s="22" t="n">
        <v>3</v>
      </c>
      <c r="E193" s="24" t="n">
        <v>3.4</v>
      </c>
      <c r="F193" s="24" t="n">
        <v>0.44</v>
      </c>
      <c r="G193" s="35">
        <f>D193*E193</f>
        <v/>
      </c>
      <c r="H193" s="35">
        <f>D193*VLOOKUP(B193,Inventory!$A$5:$J$104,10,FALSE)</f>
        <v/>
      </c>
      <c r="I193" s="35">
        <f>G193-F193-H193</f>
        <v/>
      </c>
      <c r="J193" s="30" t="inlineStr">
        <is>
          <t>Order batch 2</t>
        </is>
      </c>
    </row>
    <row r="194">
      <c r="A194" s="34" t="n">
        <v>46063</v>
      </c>
      <c r="B194" s="30" t="inlineStr">
        <is>
          <t>SKU-090</t>
        </is>
      </c>
      <c r="C194" s="30" t="inlineStr">
        <is>
          <t>Wholesale</t>
        </is>
      </c>
      <c r="D194" s="22" t="n">
        <v>1</v>
      </c>
      <c r="E194" s="24" t="n">
        <v>4.01</v>
      </c>
      <c r="F194" s="24" t="n">
        <v>0.52</v>
      </c>
      <c r="G194" s="35">
        <f>D194*E194</f>
        <v/>
      </c>
      <c r="H194" s="35">
        <f>D194*VLOOKUP(B194,Inventory!$A$5:$J$104,10,FALSE)</f>
        <v/>
      </c>
      <c r="I194" s="35">
        <f>G194-F194-H194</f>
        <v/>
      </c>
      <c r="J194" s="30" t="inlineStr">
        <is>
          <t>Order batch 2</t>
        </is>
      </c>
    </row>
    <row r="195">
      <c r="A195" s="34" t="n">
        <v>46064</v>
      </c>
      <c r="B195" s="30" t="inlineStr">
        <is>
          <t>SKU-091</t>
        </is>
      </c>
      <c r="C195" s="30" t="inlineStr">
        <is>
          <t>Etsy</t>
        </is>
      </c>
      <c r="D195" s="22" t="n">
        <v>2</v>
      </c>
      <c r="E195" s="24" t="n">
        <v>9.800000000000001</v>
      </c>
      <c r="F195" s="24" t="n">
        <v>1.27</v>
      </c>
      <c r="G195" s="35">
        <f>D195*E195</f>
        <v/>
      </c>
      <c r="H195" s="35">
        <f>D195*VLOOKUP(B195,Inventory!$A$5:$J$104,10,FALSE)</f>
        <v/>
      </c>
      <c r="I195" s="35">
        <f>G195-F195-H195</f>
        <v/>
      </c>
      <c r="J195" s="30" t="inlineStr">
        <is>
          <t>Order batch 2</t>
        </is>
      </c>
    </row>
    <row r="196">
      <c r="A196" s="34" t="n">
        <v>46064</v>
      </c>
      <c r="B196" s="30" t="inlineStr">
        <is>
          <t>SKU-092</t>
        </is>
      </c>
      <c r="C196" s="30" t="inlineStr">
        <is>
          <t>Shop</t>
        </is>
      </c>
      <c r="D196" s="22" t="n">
        <v>3</v>
      </c>
      <c r="E196" s="24" t="n">
        <v>10.59</v>
      </c>
      <c r="F196" s="24" t="n">
        <v>1.38</v>
      </c>
      <c r="G196" s="35">
        <f>D196*E196</f>
        <v/>
      </c>
      <c r="H196" s="35">
        <f>D196*VLOOKUP(B196,Inventory!$A$5:$J$104,10,FALSE)</f>
        <v/>
      </c>
      <c r="I196" s="35">
        <f>G196-F196-H196</f>
        <v/>
      </c>
      <c r="J196" s="30" t="inlineStr">
        <is>
          <t>Order batch 2</t>
        </is>
      </c>
    </row>
    <row r="197">
      <c r="A197" s="34" t="n">
        <v>46064</v>
      </c>
      <c r="B197" s="30" t="inlineStr">
        <is>
          <t>SKU-093</t>
        </is>
      </c>
      <c r="C197" s="30" t="inlineStr">
        <is>
          <t>Market</t>
        </is>
      </c>
      <c r="D197" s="22" t="n">
        <v>1</v>
      </c>
      <c r="E197" s="24" t="n">
        <v>9.74</v>
      </c>
      <c r="F197" s="24" t="n">
        <v>1.27</v>
      </c>
      <c r="G197" s="35">
        <f>D197*E197</f>
        <v/>
      </c>
      <c r="H197" s="35">
        <f>D197*VLOOKUP(B197,Inventory!$A$5:$J$104,10,FALSE)</f>
        <v/>
      </c>
      <c r="I197" s="35">
        <f>G197-F197-H197</f>
        <v/>
      </c>
      <c r="J197" s="30" t="inlineStr">
        <is>
          <t>Order batch 2</t>
        </is>
      </c>
    </row>
    <row r="198">
      <c r="A198" s="34" t="n">
        <v>46064</v>
      </c>
      <c r="B198" s="30" t="inlineStr">
        <is>
          <t>SKU-094</t>
        </is>
      </c>
      <c r="C198" s="30" t="inlineStr">
        <is>
          <t>Retail</t>
        </is>
      </c>
      <c r="D198" s="22" t="n">
        <v>2</v>
      </c>
      <c r="E198" s="24" t="n">
        <v>10.51</v>
      </c>
      <c r="F198" s="24" t="n">
        <v>1.37</v>
      </c>
      <c r="G198" s="35">
        <f>D198*E198</f>
        <v/>
      </c>
      <c r="H198" s="35">
        <f>D198*VLOOKUP(B198,Inventory!$A$5:$J$104,10,FALSE)</f>
        <v/>
      </c>
      <c r="I198" s="35">
        <f>G198-F198-H198</f>
        <v/>
      </c>
      <c r="J198" s="30" t="inlineStr">
        <is>
          <t>Order batch 2</t>
        </is>
      </c>
    </row>
    <row r="199">
      <c r="A199" s="34" t="n">
        <v>46064</v>
      </c>
      <c r="B199" s="30" t="inlineStr">
        <is>
          <t>SKU-095</t>
        </is>
      </c>
      <c r="C199" s="30" t="inlineStr">
        <is>
          <t>Wholesale</t>
        </is>
      </c>
      <c r="D199" s="22" t="n">
        <v>3</v>
      </c>
      <c r="E199" s="24" t="n">
        <v>11.31</v>
      </c>
      <c r="F199" s="24" t="n">
        <v>1.47</v>
      </c>
      <c r="G199" s="35">
        <f>D199*E199</f>
        <v/>
      </c>
      <c r="H199" s="35">
        <f>D199*VLOOKUP(B199,Inventory!$A$5:$J$104,10,FALSE)</f>
        <v/>
      </c>
      <c r="I199" s="35">
        <f>G199-F199-H199</f>
        <v/>
      </c>
      <c r="J199" s="30" t="inlineStr">
        <is>
          <t>Order batch 2</t>
        </is>
      </c>
    </row>
    <row r="200">
      <c r="A200" s="34" t="n">
        <v>46065</v>
      </c>
      <c r="B200" s="30" t="inlineStr">
        <is>
          <t>SKU-096</t>
        </is>
      </c>
      <c r="C200" s="30" t="inlineStr">
        <is>
          <t>Etsy</t>
        </is>
      </c>
      <c r="D200" s="22" t="n">
        <v>1</v>
      </c>
      <c r="E200" s="24" t="n">
        <v>6.66</v>
      </c>
      <c r="F200" s="24" t="n">
        <v>0.87</v>
      </c>
      <c r="G200" s="35">
        <f>D200*E200</f>
        <v/>
      </c>
      <c r="H200" s="35">
        <f>D200*VLOOKUP(B200,Inventory!$A$5:$J$104,10,FALSE)</f>
        <v/>
      </c>
      <c r="I200" s="35">
        <f>G200-F200-H200</f>
        <v/>
      </c>
      <c r="J200" s="30" t="inlineStr">
        <is>
          <t>Order batch 2</t>
        </is>
      </c>
    </row>
    <row r="201">
      <c r="A201" s="34" t="n">
        <v>46065</v>
      </c>
      <c r="B201" s="30" t="inlineStr">
        <is>
          <t>SKU-097</t>
        </is>
      </c>
      <c r="C201" s="30" t="inlineStr">
        <is>
          <t>Shop</t>
        </is>
      </c>
      <c r="D201" s="22" t="n">
        <v>2</v>
      </c>
      <c r="E201" s="24" t="n">
        <v>7.36</v>
      </c>
      <c r="F201" s="24" t="n">
        <v>0.96</v>
      </c>
      <c r="G201" s="35">
        <f>D201*E201</f>
        <v/>
      </c>
      <c r="H201" s="35">
        <f>D201*VLOOKUP(B201,Inventory!$A$5:$J$104,10,FALSE)</f>
        <v/>
      </c>
      <c r="I201" s="35">
        <f>G201-F201-H201</f>
        <v/>
      </c>
      <c r="J201" s="30" t="inlineStr">
        <is>
          <t>Order batch 2</t>
        </is>
      </c>
    </row>
    <row r="202">
      <c r="A202" s="34" t="n">
        <v>46065</v>
      </c>
      <c r="B202" s="30" t="inlineStr">
        <is>
          <t>SKU-098</t>
        </is>
      </c>
      <c r="C202" s="30" t="inlineStr">
        <is>
          <t>Market</t>
        </is>
      </c>
      <c r="D202" s="22" t="n">
        <v>3</v>
      </c>
      <c r="E202" s="24" t="n">
        <v>8.1</v>
      </c>
      <c r="F202" s="24" t="n">
        <v>1.05</v>
      </c>
      <c r="G202" s="35">
        <f>D202*E202</f>
        <v/>
      </c>
      <c r="H202" s="35">
        <f>D202*VLOOKUP(B202,Inventory!$A$5:$J$104,10,FALSE)</f>
        <v/>
      </c>
      <c r="I202" s="35">
        <f>G202-F202-H202</f>
        <v/>
      </c>
      <c r="J202" s="30" t="inlineStr">
        <is>
          <t>Order batch 2</t>
        </is>
      </c>
    </row>
    <row r="203">
      <c r="A203" s="34" t="n">
        <v>46065</v>
      </c>
      <c r="B203" s="30" t="inlineStr">
        <is>
          <t>SKU-099</t>
        </is>
      </c>
      <c r="C203" s="30" t="inlineStr">
        <is>
          <t>Retail</t>
        </is>
      </c>
      <c r="D203" s="22" t="n">
        <v>1</v>
      </c>
      <c r="E203" s="24" t="n">
        <v>7.56</v>
      </c>
      <c r="F203" s="24" t="n">
        <v>0.98</v>
      </c>
      <c r="G203" s="35">
        <f>D203*E203</f>
        <v/>
      </c>
      <c r="H203" s="35">
        <f>D203*VLOOKUP(B203,Inventory!$A$5:$J$104,10,FALSE)</f>
        <v/>
      </c>
      <c r="I203" s="35">
        <f>G203-F203-H203</f>
        <v/>
      </c>
      <c r="J203" s="30" t="inlineStr">
        <is>
          <t>Order batch 2</t>
        </is>
      </c>
    </row>
    <row r="204">
      <c r="A204" s="34" t="n">
        <v>46065</v>
      </c>
      <c r="B204" s="30" t="inlineStr">
        <is>
          <t>SKU-100</t>
        </is>
      </c>
      <c r="C204" s="30" t="inlineStr">
        <is>
          <t>Wholesale</t>
        </is>
      </c>
      <c r="D204" s="22" t="n">
        <v>2</v>
      </c>
      <c r="E204" s="24" t="n">
        <v>8.27</v>
      </c>
      <c r="F204" s="24" t="n">
        <v>1.08</v>
      </c>
      <c r="G204" s="35">
        <f>D204*E204</f>
        <v/>
      </c>
      <c r="H204" s="35">
        <f>D204*VLOOKUP(B204,Inventory!$A$5:$J$104,10,FALSE)</f>
        <v/>
      </c>
      <c r="I204" s="35">
        <f>G204-F204-H204</f>
        <v/>
      </c>
      <c r="J204" s="30" t="inlineStr">
        <is>
          <t>Order batch 2</t>
        </is>
      </c>
    </row>
    <row r="205">
      <c r="A205" s="34" t="n">
        <v>46066</v>
      </c>
      <c r="B205" s="30" t="inlineStr">
        <is>
          <t>SKU-001</t>
        </is>
      </c>
      <c r="C205" s="30" t="inlineStr">
        <is>
          <t>Etsy</t>
        </is>
      </c>
      <c r="D205" s="22" t="n">
        <v>4</v>
      </c>
      <c r="E205" s="24" t="n">
        <v>2.81</v>
      </c>
      <c r="F205" s="24" t="n">
        <v>0.37</v>
      </c>
      <c r="G205" s="35">
        <f>D205*E205</f>
        <v/>
      </c>
      <c r="H205" s="35">
        <f>D205*VLOOKUP(B205,Inventory!$A$5:$J$104,10,FALSE)</f>
        <v/>
      </c>
      <c r="I205" s="35">
        <f>G205-F205-H205</f>
        <v/>
      </c>
      <c r="J205" s="30" t="inlineStr">
        <is>
          <t>Order batch 3</t>
        </is>
      </c>
    </row>
    <row r="206">
      <c r="A206" s="34" t="n">
        <v>46066</v>
      </c>
      <c r="B206" s="30" t="inlineStr">
        <is>
          <t>SKU-002</t>
        </is>
      </c>
      <c r="C206" s="30" t="inlineStr">
        <is>
          <t>Shop</t>
        </is>
      </c>
      <c r="D206" s="22" t="n">
        <v>5</v>
      </c>
      <c r="E206" s="24" t="n">
        <v>3.4</v>
      </c>
      <c r="F206" s="24" t="n">
        <v>0.44</v>
      </c>
      <c r="G206" s="35">
        <f>D206*E206</f>
        <v/>
      </c>
      <c r="H206" s="35">
        <f>D206*VLOOKUP(B206,Inventory!$A$5:$J$104,10,FALSE)</f>
        <v/>
      </c>
      <c r="I206" s="35">
        <f>G206-F206-H206</f>
        <v/>
      </c>
      <c r="J206" s="30" t="inlineStr">
        <is>
          <t>Order batch 3</t>
        </is>
      </c>
    </row>
    <row r="207">
      <c r="A207" s="34" t="n">
        <v>46066</v>
      </c>
      <c r="B207" s="30" t="inlineStr">
        <is>
          <t>SKU-003</t>
        </is>
      </c>
      <c r="C207" s="30" t="inlineStr">
        <is>
          <t>Market</t>
        </is>
      </c>
      <c r="D207" s="22" t="n">
        <v>4</v>
      </c>
      <c r="E207" s="24" t="n">
        <v>4.02</v>
      </c>
      <c r="F207" s="24" t="n">
        <v>0.52</v>
      </c>
      <c r="G207" s="35">
        <f>D207*E207</f>
        <v/>
      </c>
      <c r="H207" s="35">
        <f>D207*VLOOKUP(B207,Inventory!$A$5:$J$104,10,FALSE)</f>
        <v/>
      </c>
      <c r="I207" s="35">
        <f>G207-F207-H207</f>
        <v/>
      </c>
      <c r="J207" s="30" t="inlineStr">
        <is>
          <t>Order batch 3</t>
        </is>
      </c>
    </row>
    <row r="208">
      <c r="A208" s="34" t="n">
        <v>46066</v>
      </c>
      <c r="B208" s="30" t="inlineStr">
        <is>
          <t>SKU-004</t>
        </is>
      </c>
      <c r="C208" s="30" t="inlineStr">
        <is>
          <t>Retail</t>
        </is>
      </c>
      <c r="D208" s="22" t="n">
        <v>5</v>
      </c>
      <c r="E208" s="24" t="n">
        <v>4.67</v>
      </c>
      <c r="F208" s="24" t="n">
        <v>0.61</v>
      </c>
      <c r="G208" s="35">
        <f>D208*E208</f>
        <v/>
      </c>
      <c r="H208" s="35">
        <f>D208*VLOOKUP(B208,Inventory!$A$5:$J$104,10,FALSE)</f>
        <v/>
      </c>
      <c r="I208" s="35">
        <f>G208-F208-H208</f>
        <v/>
      </c>
      <c r="J208" s="30" t="inlineStr">
        <is>
          <t>Order batch 3</t>
        </is>
      </c>
    </row>
    <row r="209">
      <c r="A209" s="34" t="n">
        <v>46066</v>
      </c>
      <c r="B209" s="30" t="inlineStr">
        <is>
          <t>SKU-005</t>
        </is>
      </c>
      <c r="C209" s="30" t="inlineStr">
        <is>
          <t>Wholesale</t>
        </is>
      </c>
      <c r="D209" s="22" t="n">
        <v>3</v>
      </c>
      <c r="E209" s="24" t="n">
        <v>4.56</v>
      </c>
      <c r="F209" s="24" t="n">
        <v>0.59</v>
      </c>
      <c r="G209" s="35">
        <f>D209*E209</f>
        <v/>
      </c>
      <c r="H209" s="35">
        <f>D209*VLOOKUP(B209,Inventory!$A$5:$J$104,10,FALSE)</f>
        <v/>
      </c>
      <c r="I209" s="35">
        <f>G209-F209-H209</f>
        <v/>
      </c>
      <c r="J209" s="30" t="inlineStr">
        <is>
          <t>Order batch 3</t>
        </is>
      </c>
    </row>
    <row r="210">
      <c r="A210" s="34" t="n">
        <v>46067</v>
      </c>
      <c r="B210" s="30" t="inlineStr">
        <is>
          <t>SKU-006</t>
        </is>
      </c>
      <c r="C210" s="30" t="inlineStr">
        <is>
          <t>Etsy</t>
        </is>
      </c>
      <c r="D210" s="22" t="n">
        <v>4</v>
      </c>
      <c r="E210" s="24" t="n">
        <v>6.05</v>
      </c>
      <c r="F210" s="24" t="n">
        <v>0.79</v>
      </c>
      <c r="G210" s="35">
        <f>D210*E210</f>
        <v/>
      </c>
      <c r="H210" s="35">
        <f>D210*VLOOKUP(B210,Inventory!$A$5:$J$104,10,FALSE)</f>
        <v/>
      </c>
      <c r="I210" s="35">
        <f>G210-F210-H210</f>
        <v/>
      </c>
      <c r="J210" s="30" t="inlineStr">
        <is>
          <t>Order batch 3</t>
        </is>
      </c>
    </row>
    <row r="211">
      <c r="A211" s="34" t="n">
        <v>46067</v>
      </c>
      <c r="B211" s="30" t="inlineStr">
        <is>
          <t>SKU-007</t>
        </is>
      </c>
      <c r="C211" s="30" t="inlineStr">
        <is>
          <t>Shop</t>
        </is>
      </c>
      <c r="D211" s="22" t="n">
        <v>3</v>
      </c>
      <c r="E211" s="24" t="n">
        <v>6.72</v>
      </c>
      <c r="F211" s="24" t="n">
        <v>0.87</v>
      </c>
      <c r="G211" s="35">
        <f>D211*E211</f>
        <v/>
      </c>
      <c r="H211" s="35">
        <f>D211*VLOOKUP(B211,Inventory!$A$5:$J$104,10,FALSE)</f>
        <v/>
      </c>
      <c r="I211" s="35">
        <f>G211-F211-H211</f>
        <v/>
      </c>
      <c r="J211" s="30" t="inlineStr">
        <is>
          <t>Order batch 3</t>
        </is>
      </c>
    </row>
    <row r="212">
      <c r="A212" s="34" t="n">
        <v>46067</v>
      </c>
      <c r="B212" s="30" t="inlineStr">
        <is>
          <t>SKU-008</t>
        </is>
      </c>
      <c r="C212" s="30" t="inlineStr">
        <is>
          <t>Market</t>
        </is>
      </c>
      <c r="D212" s="22" t="n">
        <v>4</v>
      </c>
      <c r="E212" s="24" t="n">
        <v>7.42</v>
      </c>
      <c r="F212" s="24" t="n">
        <v>0.96</v>
      </c>
      <c r="G212" s="35">
        <f>D212*E212</f>
        <v/>
      </c>
      <c r="H212" s="35">
        <f>D212*VLOOKUP(B212,Inventory!$A$5:$J$104,10,FALSE)</f>
        <v/>
      </c>
      <c r="I212" s="35">
        <f>G212-F212-H212</f>
        <v/>
      </c>
      <c r="J212" s="30" t="inlineStr">
        <is>
          <t>Order batch 3</t>
        </is>
      </c>
    </row>
    <row r="213">
      <c r="A213" s="34" t="n">
        <v>46067</v>
      </c>
      <c r="B213" s="30" t="inlineStr">
        <is>
          <t>SKU-009</t>
        </is>
      </c>
      <c r="C213" s="30" t="inlineStr">
        <is>
          <t>Retail</t>
        </is>
      </c>
      <c r="D213" s="22" t="n">
        <v>3</v>
      </c>
      <c r="E213" s="24" t="n">
        <v>8.140000000000001</v>
      </c>
      <c r="F213" s="24" t="n">
        <v>1.06</v>
      </c>
      <c r="G213" s="35">
        <f>D213*E213</f>
        <v/>
      </c>
      <c r="H213" s="35">
        <f>D213*VLOOKUP(B213,Inventory!$A$5:$J$104,10,FALSE)</f>
        <v/>
      </c>
      <c r="I213" s="35">
        <f>G213-F213-H213</f>
        <v/>
      </c>
      <c r="J213" s="30" t="inlineStr">
        <is>
          <t>Order batch 3</t>
        </is>
      </c>
    </row>
    <row r="214">
      <c r="A214" s="34" t="n">
        <v>46067</v>
      </c>
      <c r="B214" s="30" t="inlineStr">
        <is>
          <t>SKU-010</t>
        </is>
      </c>
      <c r="C214" s="30" t="inlineStr">
        <is>
          <t>Wholesale</t>
        </is>
      </c>
      <c r="D214" s="22" t="n">
        <v>4</v>
      </c>
      <c r="E214" s="24" t="n">
        <v>8.9</v>
      </c>
      <c r="F214" s="24" t="n">
        <v>1.16</v>
      </c>
      <c r="G214" s="35">
        <f>D214*E214</f>
        <v/>
      </c>
      <c r="H214" s="35">
        <f>D214*VLOOKUP(B214,Inventory!$A$5:$J$104,10,FALSE)</f>
        <v/>
      </c>
      <c r="I214" s="35">
        <f>G214-F214-H214</f>
        <v/>
      </c>
      <c r="J214" s="30" t="inlineStr">
        <is>
          <t>Order batch 3</t>
        </is>
      </c>
    </row>
    <row r="215">
      <c r="A215" s="34" t="n">
        <v>46068</v>
      </c>
      <c r="B215" s="30" t="inlineStr">
        <is>
          <t>SKU-011</t>
        </is>
      </c>
      <c r="C215" s="30" t="inlineStr">
        <is>
          <t>Etsy</t>
        </is>
      </c>
      <c r="D215" s="22" t="n">
        <v>1</v>
      </c>
      <c r="E215" s="24" t="n">
        <v>3.5</v>
      </c>
      <c r="F215" s="24" t="n">
        <v>0.46</v>
      </c>
      <c r="G215" s="35">
        <f>D215*E215</f>
        <v/>
      </c>
      <c r="H215" s="35">
        <f>D215*VLOOKUP(B215,Inventory!$A$5:$J$104,10,FALSE)</f>
        <v/>
      </c>
      <c r="I215" s="35">
        <f>G215-F215-H215</f>
        <v/>
      </c>
      <c r="J215" s="30" t="inlineStr">
        <is>
          <t>Order batch 3</t>
        </is>
      </c>
    </row>
    <row r="216">
      <c r="A216" s="34" t="n">
        <v>46068</v>
      </c>
      <c r="B216" s="30" t="inlineStr">
        <is>
          <t>SKU-012</t>
        </is>
      </c>
      <c r="C216" s="30" t="inlineStr">
        <is>
          <t>Shop</t>
        </is>
      </c>
      <c r="D216" s="22" t="n">
        <v>2</v>
      </c>
      <c r="E216" s="24" t="n">
        <v>4.09</v>
      </c>
      <c r="F216" s="24" t="n">
        <v>0.53</v>
      </c>
      <c r="G216" s="35">
        <f>D216*E216</f>
        <v/>
      </c>
      <c r="H216" s="35">
        <f>D216*VLOOKUP(B216,Inventory!$A$5:$J$104,10,FALSE)</f>
        <v/>
      </c>
      <c r="I216" s="35">
        <f>G216-F216-H216</f>
        <v/>
      </c>
      <c r="J216" s="30" t="inlineStr">
        <is>
          <t>Order batch 3</t>
        </is>
      </c>
    </row>
    <row r="217">
      <c r="A217" s="34" t="n">
        <v>46068</v>
      </c>
      <c r="B217" s="30" t="inlineStr">
        <is>
          <t>SKU-013</t>
        </is>
      </c>
      <c r="C217" s="30" t="inlineStr">
        <is>
          <t>Market</t>
        </is>
      </c>
      <c r="D217" s="22" t="n">
        <v>3</v>
      </c>
      <c r="E217" s="24" t="n">
        <v>4.71</v>
      </c>
      <c r="F217" s="24" t="n">
        <v>0.61</v>
      </c>
      <c r="G217" s="35">
        <f>D217*E217</f>
        <v/>
      </c>
      <c r="H217" s="35">
        <f>D217*VLOOKUP(B217,Inventory!$A$5:$J$104,10,FALSE)</f>
        <v/>
      </c>
      <c r="I217" s="35">
        <f>G217-F217-H217</f>
        <v/>
      </c>
      <c r="J217" s="30" t="inlineStr">
        <is>
          <t>Order batch 3</t>
        </is>
      </c>
    </row>
    <row r="218">
      <c r="A218" s="34" t="n">
        <v>46068</v>
      </c>
      <c r="B218" s="30" t="inlineStr">
        <is>
          <t>SKU-014</t>
        </is>
      </c>
      <c r="C218" s="30" t="inlineStr">
        <is>
          <t>Retail</t>
        </is>
      </c>
      <c r="D218" s="22" t="n">
        <v>1</v>
      </c>
      <c r="E218" s="24" t="n">
        <v>5.35</v>
      </c>
      <c r="F218" s="24" t="n">
        <v>0.7</v>
      </c>
      <c r="G218" s="35">
        <f>D218*E218</f>
        <v/>
      </c>
      <c r="H218" s="35">
        <f>D218*VLOOKUP(B218,Inventory!$A$5:$J$104,10,FALSE)</f>
        <v/>
      </c>
      <c r="I218" s="35">
        <f>G218-F218-H218</f>
        <v/>
      </c>
      <c r="J218" s="30" t="inlineStr">
        <is>
          <t>Order batch 3</t>
        </is>
      </c>
    </row>
    <row r="219">
      <c r="A219" s="34" t="n">
        <v>46068</v>
      </c>
      <c r="B219" s="30" t="inlineStr">
        <is>
          <t>SKU-015</t>
        </is>
      </c>
      <c r="C219" s="30" t="inlineStr">
        <is>
          <t>Wholesale</t>
        </is>
      </c>
      <c r="D219" s="22" t="n">
        <v>2</v>
      </c>
      <c r="E219" s="24" t="n">
        <v>6.02</v>
      </c>
      <c r="F219" s="24" t="n">
        <v>0.78</v>
      </c>
      <c r="G219" s="35">
        <f>D219*E219</f>
        <v/>
      </c>
      <c r="H219" s="35">
        <f>D219*VLOOKUP(B219,Inventory!$A$5:$J$104,10,FALSE)</f>
        <v/>
      </c>
      <c r="I219" s="35">
        <f>G219-F219-H219</f>
        <v/>
      </c>
      <c r="J219" s="30" t="inlineStr">
        <is>
          <t>Order batch 3</t>
        </is>
      </c>
    </row>
    <row r="220">
      <c r="A220" s="34" t="n">
        <v>46069</v>
      </c>
      <c r="B220" s="30" t="inlineStr">
        <is>
          <t>SKU-016</t>
        </is>
      </c>
      <c r="C220" s="30" t="inlineStr">
        <is>
          <t>Etsy</t>
        </is>
      </c>
      <c r="D220" s="22" t="n">
        <v>3</v>
      </c>
      <c r="E220" s="24" t="n">
        <v>0.7</v>
      </c>
      <c r="F220" s="24" t="n">
        <v>0.09</v>
      </c>
      <c r="G220" s="35">
        <f>D220*E220</f>
        <v/>
      </c>
      <c r="H220" s="35">
        <f>D220*VLOOKUP(B220,Inventory!$A$5:$J$104,10,FALSE)</f>
        <v/>
      </c>
      <c r="I220" s="35">
        <f>G220-F220-H220</f>
        <v/>
      </c>
      <c r="J220" s="30" t="inlineStr">
        <is>
          <t>Order batch 3</t>
        </is>
      </c>
    </row>
    <row r="221">
      <c r="A221" s="34" t="n">
        <v>46069</v>
      </c>
      <c r="B221" s="30" t="inlineStr">
        <is>
          <t>SKU-017</t>
        </is>
      </c>
      <c r="C221" s="30" t="inlineStr">
        <is>
          <t>Shop</t>
        </is>
      </c>
      <c r="D221" s="22" t="n">
        <v>1</v>
      </c>
      <c r="E221" s="24" t="n">
        <v>1.09</v>
      </c>
      <c r="F221" s="24" t="n">
        <v>0.14</v>
      </c>
      <c r="G221" s="35">
        <f>D221*E221</f>
        <v/>
      </c>
      <c r="H221" s="35">
        <f>D221*VLOOKUP(B221,Inventory!$A$5:$J$104,10,FALSE)</f>
        <v/>
      </c>
      <c r="I221" s="35">
        <f>G221-F221-H221</f>
        <v/>
      </c>
      <c r="J221" s="30" t="inlineStr">
        <is>
          <t>Order batch 3</t>
        </is>
      </c>
    </row>
    <row r="222">
      <c r="A222" s="34" t="n">
        <v>46069</v>
      </c>
      <c r="B222" s="30" t="inlineStr">
        <is>
          <t>SKU-018</t>
        </is>
      </c>
      <c r="C222" s="30" t="inlineStr">
        <is>
          <t>Market</t>
        </is>
      </c>
      <c r="D222" s="22" t="n">
        <v>2</v>
      </c>
      <c r="E222" s="24" t="n">
        <v>1.61</v>
      </c>
      <c r="F222" s="24" t="n">
        <v>0.21</v>
      </c>
      <c r="G222" s="35">
        <f>D222*E222</f>
        <v/>
      </c>
      <c r="H222" s="35">
        <f>D222*VLOOKUP(B222,Inventory!$A$5:$J$104,10,FALSE)</f>
        <v/>
      </c>
      <c r="I222" s="35">
        <f>G222-F222-H222</f>
        <v/>
      </c>
      <c r="J222" s="30" t="inlineStr">
        <is>
          <t>Order batch 3</t>
        </is>
      </c>
    </row>
    <row r="223">
      <c r="A223" s="34" t="n">
        <v>46069</v>
      </c>
      <c r="B223" s="30" t="inlineStr">
        <is>
          <t>SKU-019</t>
        </is>
      </c>
      <c r="C223" s="30" t="inlineStr">
        <is>
          <t>Retail</t>
        </is>
      </c>
      <c r="D223" s="22" t="n">
        <v>3</v>
      </c>
      <c r="E223" s="24" t="n">
        <v>2.16</v>
      </c>
      <c r="F223" s="24" t="n">
        <v>0.28</v>
      </c>
      <c r="G223" s="35">
        <f>D223*E223</f>
        <v/>
      </c>
      <c r="H223" s="35">
        <f>D223*VLOOKUP(B223,Inventory!$A$5:$J$104,10,FALSE)</f>
        <v/>
      </c>
      <c r="I223" s="35">
        <f>G223-F223-H223</f>
        <v/>
      </c>
      <c r="J223" s="30" t="inlineStr">
        <is>
          <t>Order batch 3</t>
        </is>
      </c>
    </row>
    <row r="224">
      <c r="A224" s="34" t="n">
        <v>46069</v>
      </c>
      <c r="B224" s="30" t="inlineStr">
        <is>
          <t>SKU-020</t>
        </is>
      </c>
      <c r="C224" s="30" t="inlineStr">
        <is>
          <t>Wholesale</t>
        </is>
      </c>
      <c r="D224" s="22" t="n">
        <v>1</v>
      </c>
      <c r="E224" s="24" t="n">
        <v>2.74</v>
      </c>
      <c r="F224" s="24" t="n">
        <v>0.36</v>
      </c>
      <c r="G224" s="35">
        <f>D224*E224</f>
        <v/>
      </c>
      <c r="H224" s="35">
        <f>D224*VLOOKUP(B224,Inventory!$A$5:$J$104,10,FALSE)</f>
        <v/>
      </c>
      <c r="I224" s="35">
        <f>G224-F224-H224</f>
        <v/>
      </c>
      <c r="J224" s="30" t="inlineStr">
        <is>
          <t>Order batch 3</t>
        </is>
      </c>
    </row>
    <row r="225">
      <c r="A225" s="34" t="n">
        <v>46070</v>
      </c>
      <c r="B225" s="30" t="inlineStr">
        <is>
          <t>SKU-021</t>
        </is>
      </c>
      <c r="C225" s="30" t="inlineStr">
        <is>
          <t>Etsy</t>
        </is>
      </c>
      <c r="D225" s="22" t="n">
        <v>2</v>
      </c>
      <c r="E225" s="24" t="n">
        <v>9.67</v>
      </c>
      <c r="F225" s="24" t="n">
        <v>1.26</v>
      </c>
      <c r="G225" s="35">
        <f>D225*E225</f>
        <v/>
      </c>
      <c r="H225" s="35">
        <f>D225*VLOOKUP(B225,Inventory!$A$5:$J$104,10,FALSE)</f>
        <v/>
      </c>
      <c r="I225" s="35">
        <f>G225-F225-H225</f>
        <v/>
      </c>
      <c r="J225" s="30" t="inlineStr">
        <is>
          <t>Order batch 3</t>
        </is>
      </c>
    </row>
    <row r="226">
      <c r="A226" s="34" t="n">
        <v>46070</v>
      </c>
      <c r="B226" s="30" t="inlineStr">
        <is>
          <t>SKU-022</t>
        </is>
      </c>
      <c r="C226" s="30" t="inlineStr">
        <is>
          <t>Shop</t>
        </is>
      </c>
      <c r="D226" s="22" t="n">
        <v>3</v>
      </c>
      <c r="E226" s="24" t="n">
        <v>10.46</v>
      </c>
      <c r="F226" s="24" t="n">
        <v>1.36</v>
      </c>
      <c r="G226" s="35">
        <f>D226*E226</f>
        <v/>
      </c>
      <c r="H226" s="35">
        <f>D226*VLOOKUP(B226,Inventory!$A$5:$J$104,10,FALSE)</f>
        <v/>
      </c>
      <c r="I226" s="35">
        <f>G226-F226-H226</f>
        <v/>
      </c>
      <c r="J226" s="30" t="inlineStr">
        <is>
          <t>Order batch 3</t>
        </is>
      </c>
    </row>
    <row r="227">
      <c r="A227" s="34" t="n">
        <v>46070</v>
      </c>
      <c r="B227" s="30" t="inlineStr">
        <is>
          <t>SKU-023</t>
        </is>
      </c>
      <c r="C227" s="30" t="inlineStr">
        <is>
          <t>Market</t>
        </is>
      </c>
      <c r="D227" s="22" t="n">
        <v>1</v>
      </c>
      <c r="E227" s="24" t="n">
        <v>9.630000000000001</v>
      </c>
      <c r="F227" s="24" t="n">
        <v>1.25</v>
      </c>
      <c r="G227" s="35">
        <f>D227*E227</f>
        <v/>
      </c>
      <c r="H227" s="35">
        <f>D227*VLOOKUP(B227,Inventory!$A$5:$J$104,10,FALSE)</f>
        <v/>
      </c>
      <c r="I227" s="35">
        <f>G227-F227-H227</f>
        <v/>
      </c>
      <c r="J227" s="30" t="inlineStr">
        <is>
          <t>Order batch 3</t>
        </is>
      </c>
    </row>
    <row r="228">
      <c r="A228" s="34" t="n">
        <v>46070</v>
      </c>
      <c r="B228" s="30" t="inlineStr">
        <is>
          <t>SKU-024</t>
        </is>
      </c>
      <c r="C228" s="30" t="inlineStr">
        <is>
          <t>Retail</t>
        </is>
      </c>
      <c r="D228" s="22" t="n">
        <v>2</v>
      </c>
      <c r="E228" s="24" t="n">
        <v>10.4</v>
      </c>
      <c r="F228" s="24" t="n">
        <v>1.35</v>
      </c>
      <c r="G228" s="35">
        <f>D228*E228</f>
        <v/>
      </c>
      <c r="H228" s="35">
        <f>D228*VLOOKUP(B228,Inventory!$A$5:$J$104,10,FALSE)</f>
        <v/>
      </c>
      <c r="I228" s="35">
        <f>G228-F228-H228</f>
        <v/>
      </c>
      <c r="J228" s="30" t="inlineStr">
        <is>
          <t>Order batch 3</t>
        </is>
      </c>
    </row>
    <row r="229">
      <c r="A229" s="34" t="n">
        <v>46070</v>
      </c>
      <c r="B229" s="30" t="inlineStr">
        <is>
          <t>SKU-025</t>
        </is>
      </c>
      <c r="C229" s="30" t="inlineStr">
        <is>
          <t>Wholesale</t>
        </is>
      </c>
      <c r="D229" s="22" t="n">
        <v>3</v>
      </c>
      <c r="E229" s="24" t="n">
        <v>11.19</v>
      </c>
      <c r="F229" s="24" t="n">
        <v>1.45</v>
      </c>
      <c r="G229" s="35">
        <f>D229*E229</f>
        <v/>
      </c>
      <c r="H229" s="35">
        <f>D229*VLOOKUP(B229,Inventory!$A$5:$J$104,10,FALSE)</f>
        <v/>
      </c>
      <c r="I229" s="35">
        <f>G229-F229-H229</f>
        <v/>
      </c>
      <c r="J229" s="30" t="inlineStr">
        <is>
          <t>Order batch 3</t>
        </is>
      </c>
    </row>
    <row r="230">
      <c r="A230" s="34" t="n">
        <v>46071</v>
      </c>
      <c r="B230" s="30" t="inlineStr">
        <is>
          <t>SKU-026</t>
        </is>
      </c>
      <c r="C230" s="30" t="inlineStr">
        <is>
          <t>Etsy</t>
        </is>
      </c>
      <c r="D230" s="22" t="n">
        <v>1</v>
      </c>
      <c r="E230" s="24" t="n">
        <v>1.7</v>
      </c>
      <c r="F230" s="24" t="n">
        <v>0.22</v>
      </c>
      <c r="G230" s="35">
        <f>D230*E230</f>
        <v/>
      </c>
      <c r="H230" s="35">
        <f>D230*VLOOKUP(B230,Inventory!$A$5:$J$104,10,FALSE)</f>
        <v/>
      </c>
      <c r="I230" s="35">
        <f>G230-F230-H230</f>
        <v/>
      </c>
      <c r="J230" s="30" t="inlineStr">
        <is>
          <t>Order batch 3</t>
        </is>
      </c>
    </row>
    <row r="231">
      <c r="A231" s="34" t="n">
        <v>46071</v>
      </c>
      <c r="B231" s="30" t="inlineStr">
        <is>
          <t>SKU-027</t>
        </is>
      </c>
      <c r="C231" s="30" t="inlineStr">
        <is>
          <t>Shop</t>
        </is>
      </c>
      <c r="D231" s="22" t="n">
        <v>2</v>
      </c>
      <c r="E231" s="24" t="n">
        <v>2.28</v>
      </c>
      <c r="F231" s="24" t="n">
        <v>0.3</v>
      </c>
      <c r="G231" s="35">
        <f>D231*E231</f>
        <v/>
      </c>
      <c r="H231" s="35">
        <f>D231*VLOOKUP(B231,Inventory!$A$5:$J$104,10,FALSE)</f>
        <v/>
      </c>
      <c r="I231" s="35">
        <f>G231-F231-H231</f>
        <v/>
      </c>
      <c r="J231" s="30" t="inlineStr">
        <is>
          <t>Order batch 3</t>
        </is>
      </c>
    </row>
    <row r="232">
      <c r="A232" s="34" t="n">
        <v>46071</v>
      </c>
      <c r="B232" s="30" t="inlineStr">
        <is>
          <t>SKU-028</t>
        </is>
      </c>
      <c r="C232" s="30" t="inlineStr">
        <is>
          <t>Market</t>
        </is>
      </c>
      <c r="D232" s="22" t="n">
        <v>3</v>
      </c>
      <c r="E232" s="24" t="n">
        <v>2.88</v>
      </c>
      <c r="F232" s="24" t="n">
        <v>0.37</v>
      </c>
      <c r="G232" s="35">
        <f>D232*E232</f>
        <v/>
      </c>
      <c r="H232" s="35">
        <f>D232*VLOOKUP(B232,Inventory!$A$5:$J$104,10,FALSE)</f>
        <v/>
      </c>
      <c r="I232" s="35">
        <f>G232-F232-H232</f>
        <v/>
      </c>
      <c r="J232" s="30" t="inlineStr">
        <is>
          <t>Order batch 3</t>
        </is>
      </c>
    </row>
    <row r="233">
      <c r="A233" s="34" t="n">
        <v>46071</v>
      </c>
      <c r="B233" s="30" t="inlineStr">
        <is>
          <t>SKU-029</t>
        </is>
      </c>
      <c r="C233" s="30" t="inlineStr">
        <is>
          <t>Retail</t>
        </is>
      </c>
      <c r="D233" s="22" t="n">
        <v>1</v>
      </c>
      <c r="E233" s="24" t="n">
        <v>3</v>
      </c>
      <c r="F233" s="24" t="n">
        <v>0.39</v>
      </c>
      <c r="G233" s="35">
        <f>D233*E233</f>
        <v/>
      </c>
      <c r="H233" s="35">
        <f>D233*VLOOKUP(B233,Inventory!$A$5:$J$104,10,FALSE)</f>
        <v/>
      </c>
      <c r="I233" s="35">
        <f>G233-F233-H233</f>
        <v/>
      </c>
      <c r="J233" s="30" t="inlineStr">
        <is>
          <t>Order batch 3</t>
        </is>
      </c>
    </row>
    <row r="234">
      <c r="A234" s="34" t="n">
        <v>46071</v>
      </c>
      <c r="B234" s="30" t="inlineStr">
        <is>
          <t>SKU-030</t>
        </is>
      </c>
      <c r="C234" s="30" t="inlineStr">
        <is>
          <t>Wholesale</t>
        </is>
      </c>
      <c r="D234" s="22" t="n">
        <v>2</v>
      </c>
      <c r="E234" s="24" t="n">
        <v>3.57</v>
      </c>
      <c r="F234" s="24" t="n">
        <v>0.46</v>
      </c>
      <c r="G234" s="35">
        <f>D234*E234</f>
        <v/>
      </c>
      <c r="H234" s="35">
        <f>D234*VLOOKUP(B234,Inventory!$A$5:$J$104,10,FALSE)</f>
        <v/>
      </c>
      <c r="I234" s="35">
        <f>G234-F234-H234</f>
        <v/>
      </c>
      <c r="J234" s="30" t="inlineStr">
        <is>
          <t>Order batch 3</t>
        </is>
      </c>
    </row>
    <row r="235">
      <c r="A235" s="34" t="n">
        <v>46072</v>
      </c>
      <c r="B235" s="30" t="inlineStr">
        <is>
          <t>SKU-031</t>
        </is>
      </c>
      <c r="C235" s="30" t="inlineStr">
        <is>
          <t>Etsy</t>
        </is>
      </c>
      <c r="D235" s="22" t="n">
        <v>3</v>
      </c>
      <c r="E235" s="24" t="n">
        <v>12.82</v>
      </c>
      <c r="F235" s="24" t="n">
        <v>1.67</v>
      </c>
      <c r="G235" s="35">
        <f>D235*E235</f>
        <v/>
      </c>
      <c r="H235" s="35">
        <f>D235*VLOOKUP(B235,Inventory!$A$5:$J$104,10,FALSE)</f>
        <v/>
      </c>
      <c r="I235" s="35">
        <f>G235-F235-H235</f>
        <v/>
      </c>
      <c r="J235" s="30" t="inlineStr">
        <is>
          <t>Order batch 3</t>
        </is>
      </c>
    </row>
    <row r="236">
      <c r="A236" s="34" t="n">
        <v>46072</v>
      </c>
      <c r="B236" s="30" t="inlineStr">
        <is>
          <t>SKU-032</t>
        </is>
      </c>
      <c r="C236" s="30" t="inlineStr">
        <is>
          <t>Shop</t>
        </is>
      </c>
      <c r="D236" s="22" t="n">
        <v>1</v>
      </c>
      <c r="E236" s="24" t="n">
        <v>13.68</v>
      </c>
      <c r="F236" s="24" t="n">
        <v>1.78</v>
      </c>
      <c r="G236" s="35">
        <f>D236*E236</f>
        <v/>
      </c>
      <c r="H236" s="35">
        <f>D236*VLOOKUP(B236,Inventory!$A$5:$J$104,10,FALSE)</f>
        <v/>
      </c>
      <c r="I236" s="35">
        <f>G236-F236-H236</f>
        <v/>
      </c>
      <c r="J236" s="30" t="inlineStr">
        <is>
          <t>Order batch 3</t>
        </is>
      </c>
    </row>
    <row r="237">
      <c r="A237" s="34" t="n">
        <v>46072</v>
      </c>
      <c r="B237" s="30" t="inlineStr">
        <is>
          <t>SKU-033</t>
        </is>
      </c>
      <c r="C237" s="30" t="inlineStr">
        <is>
          <t>Market</t>
        </is>
      </c>
      <c r="D237" s="22" t="n">
        <v>2</v>
      </c>
      <c r="E237" s="24" t="n">
        <v>14.57</v>
      </c>
      <c r="F237" s="24" t="n">
        <v>1.89</v>
      </c>
      <c r="G237" s="35">
        <f>D237*E237</f>
        <v/>
      </c>
      <c r="H237" s="35">
        <f>D237*VLOOKUP(B237,Inventory!$A$5:$J$104,10,FALSE)</f>
        <v/>
      </c>
      <c r="I237" s="35">
        <f>G237-F237-H237</f>
        <v/>
      </c>
      <c r="J237" s="30" t="inlineStr">
        <is>
          <t>Order batch 3</t>
        </is>
      </c>
    </row>
    <row r="238">
      <c r="A238" s="34" t="n">
        <v>46072</v>
      </c>
      <c r="B238" s="30" t="inlineStr">
        <is>
          <t>SKU-034</t>
        </is>
      </c>
      <c r="C238" s="30" t="inlineStr">
        <is>
          <t>Retail</t>
        </is>
      </c>
      <c r="D238" s="22" t="n">
        <v>3</v>
      </c>
      <c r="E238" s="24" t="n">
        <v>15.49</v>
      </c>
      <c r="F238" s="24" t="n">
        <v>2.01</v>
      </c>
      <c r="G238" s="35">
        <f>D238*E238</f>
        <v/>
      </c>
      <c r="H238" s="35">
        <f>D238*VLOOKUP(B238,Inventory!$A$5:$J$104,10,FALSE)</f>
        <v/>
      </c>
      <c r="I238" s="35">
        <f>G238-F238-H238</f>
        <v/>
      </c>
      <c r="J238" s="30" t="inlineStr">
        <is>
          <t>Order batch 3</t>
        </is>
      </c>
    </row>
    <row r="239">
      <c r="A239" s="34" t="n">
        <v>46072</v>
      </c>
      <c r="B239" s="30" t="inlineStr">
        <is>
          <t>SKU-035</t>
        </is>
      </c>
      <c r="C239" s="30" t="inlineStr">
        <is>
          <t>Wholesale</t>
        </is>
      </c>
      <c r="D239" s="22" t="n">
        <v>1</v>
      </c>
      <c r="E239" s="24" t="n">
        <v>14.03</v>
      </c>
      <c r="F239" s="24" t="n">
        <v>1.82</v>
      </c>
      <c r="G239" s="35">
        <f>D239*E239</f>
        <v/>
      </c>
      <c r="H239" s="35">
        <f>D239*VLOOKUP(B239,Inventory!$A$5:$J$104,10,FALSE)</f>
        <v/>
      </c>
      <c r="I239" s="35">
        <f>G239-F239-H239</f>
        <v/>
      </c>
      <c r="J239" s="30" t="inlineStr">
        <is>
          <t>Order batch 3</t>
        </is>
      </c>
    </row>
    <row r="240">
      <c r="A240" s="34" t="n">
        <v>46073</v>
      </c>
      <c r="B240" s="30" t="inlineStr">
        <is>
          <t>SKU-036</t>
        </is>
      </c>
      <c r="C240" s="30" t="inlineStr">
        <is>
          <t>Etsy</t>
        </is>
      </c>
      <c r="D240" s="22" t="n">
        <v>2</v>
      </c>
      <c r="E240" s="24" t="n">
        <v>5.41</v>
      </c>
      <c r="F240" s="24" t="n">
        <v>0.7</v>
      </c>
      <c r="G240" s="35">
        <f>D240*E240</f>
        <v/>
      </c>
      <c r="H240" s="35">
        <f>D240*VLOOKUP(B240,Inventory!$A$5:$J$104,10,FALSE)</f>
        <v/>
      </c>
      <c r="I240" s="35">
        <f>G240-F240-H240</f>
        <v/>
      </c>
      <c r="J240" s="30" t="inlineStr">
        <is>
          <t>Order batch 3</t>
        </is>
      </c>
    </row>
    <row r="241">
      <c r="A241" s="34" t="n">
        <v>46073</v>
      </c>
      <c r="B241" s="30" t="inlineStr">
        <is>
          <t>SKU-037</t>
        </is>
      </c>
      <c r="C241" s="30" t="inlineStr">
        <is>
          <t>Shop</t>
        </is>
      </c>
      <c r="D241" s="22" t="n">
        <v>3</v>
      </c>
      <c r="E241" s="24" t="n">
        <v>6.07</v>
      </c>
      <c r="F241" s="24" t="n">
        <v>0.79</v>
      </c>
      <c r="G241" s="35">
        <f>D241*E241</f>
        <v/>
      </c>
      <c r="H241" s="35">
        <f>D241*VLOOKUP(B241,Inventory!$A$5:$J$104,10,FALSE)</f>
        <v/>
      </c>
      <c r="I241" s="35">
        <f>G241-F241-H241</f>
        <v/>
      </c>
      <c r="J241" s="30" t="inlineStr">
        <is>
          <t>Order batch 3</t>
        </is>
      </c>
    </row>
    <row r="242">
      <c r="A242" s="34" t="n">
        <v>46073</v>
      </c>
      <c r="B242" s="30" t="inlineStr">
        <is>
          <t>SKU-038</t>
        </is>
      </c>
      <c r="C242" s="30" t="inlineStr">
        <is>
          <t>Market</t>
        </is>
      </c>
      <c r="D242" s="22" t="n">
        <v>1</v>
      </c>
      <c r="E242" s="24" t="n">
        <v>6.75</v>
      </c>
      <c r="F242" s="24" t="n">
        <v>0.88</v>
      </c>
      <c r="G242" s="35">
        <f>D242*E242</f>
        <v/>
      </c>
      <c r="H242" s="35">
        <f>D242*VLOOKUP(B242,Inventory!$A$5:$J$104,10,FALSE)</f>
        <v/>
      </c>
      <c r="I242" s="35">
        <f>G242-F242-H242</f>
        <v/>
      </c>
      <c r="J242" s="30" t="inlineStr">
        <is>
          <t>Order batch 3</t>
        </is>
      </c>
    </row>
    <row r="243">
      <c r="A243" s="34" t="n">
        <v>46073</v>
      </c>
      <c r="B243" s="30" t="inlineStr">
        <is>
          <t>SKU-039</t>
        </is>
      </c>
      <c r="C243" s="30" t="inlineStr">
        <is>
          <t>Retail</t>
        </is>
      </c>
      <c r="D243" s="22" t="n">
        <v>2</v>
      </c>
      <c r="E243" s="24" t="n">
        <v>7.46</v>
      </c>
      <c r="F243" s="24" t="n">
        <v>0.97</v>
      </c>
      <c r="G243" s="35">
        <f>D243*E243</f>
        <v/>
      </c>
      <c r="H243" s="35">
        <f>D243*VLOOKUP(B243,Inventory!$A$5:$J$104,10,FALSE)</f>
        <v/>
      </c>
      <c r="I243" s="35">
        <f>G243-F243-H243</f>
        <v/>
      </c>
      <c r="J243" s="30" t="inlineStr">
        <is>
          <t>Order batch 3</t>
        </is>
      </c>
    </row>
    <row r="244">
      <c r="A244" s="34" t="n">
        <v>46073</v>
      </c>
      <c r="B244" s="30" t="inlineStr">
        <is>
          <t>SKU-040</t>
        </is>
      </c>
      <c r="C244" s="30" t="inlineStr">
        <is>
          <t>Wholesale</t>
        </is>
      </c>
      <c r="D244" s="22" t="n">
        <v>3</v>
      </c>
      <c r="E244" s="24" t="n">
        <v>8.19</v>
      </c>
      <c r="F244" s="24" t="n">
        <v>1.06</v>
      </c>
      <c r="G244" s="35">
        <f>D244*E244</f>
        <v/>
      </c>
      <c r="H244" s="35">
        <f>D244*VLOOKUP(B244,Inventory!$A$5:$J$104,10,FALSE)</f>
        <v/>
      </c>
      <c r="I244" s="35">
        <f>G244-F244-H244</f>
        <v/>
      </c>
      <c r="J244" s="30" t="inlineStr">
        <is>
          <t>Order batch 3</t>
        </is>
      </c>
    </row>
    <row r="245">
      <c r="A245" s="34" t="n">
        <v>46074</v>
      </c>
      <c r="B245" s="30" t="inlineStr">
        <is>
          <t>SKU-041</t>
        </is>
      </c>
      <c r="C245" s="30" t="inlineStr">
        <is>
          <t>Etsy</t>
        </is>
      </c>
      <c r="D245" s="22" t="n">
        <v>1</v>
      </c>
      <c r="E245" s="24" t="n">
        <v>1.96</v>
      </c>
      <c r="F245" s="24" t="n">
        <v>0.25</v>
      </c>
      <c r="G245" s="35">
        <f>D245*E245</f>
        <v/>
      </c>
      <c r="H245" s="35">
        <f>D245*VLOOKUP(B245,Inventory!$A$5:$J$104,10,FALSE)</f>
        <v/>
      </c>
      <c r="I245" s="35">
        <f>G245-F245-H245</f>
        <v/>
      </c>
      <c r="J245" s="30" t="inlineStr">
        <is>
          <t>Order batch 3</t>
        </is>
      </c>
    </row>
    <row r="246">
      <c r="A246" s="34" t="n">
        <v>46074</v>
      </c>
      <c r="B246" s="30" t="inlineStr">
        <is>
          <t>SKU-042</t>
        </is>
      </c>
      <c r="C246" s="30" t="inlineStr">
        <is>
          <t>Shop</t>
        </is>
      </c>
      <c r="D246" s="22" t="n">
        <v>2</v>
      </c>
      <c r="E246" s="24" t="n">
        <v>2.51</v>
      </c>
      <c r="F246" s="24" t="n">
        <v>0.33</v>
      </c>
      <c r="G246" s="35">
        <f>D246*E246</f>
        <v/>
      </c>
      <c r="H246" s="35">
        <f>D246*VLOOKUP(B246,Inventory!$A$5:$J$104,10,FALSE)</f>
        <v/>
      </c>
      <c r="I246" s="35">
        <f>G246-F246-H246</f>
        <v/>
      </c>
      <c r="J246" s="30" t="inlineStr">
        <is>
          <t>Order batch 3</t>
        </is>
      </c>
    </row>
    <row r="247">
      <c r="A247" s="34" t="n">
        <v>46074</v>
      </c>
      <c r="B247" s="30" t="inlineStr">
        <is>
          <t>SKU-043</t>
        </is>
      </c>
      <c r="C247" s="30" t="inlineStr">
        <is>
          <t>Market</t>
        </is>
      </c>
      <c r="D247" s="22" t="n">
        <v>3</v>
      </c>
      <c r="E247" s="24" t="n">
        <v>3.08</v>
      </c>
      <c r="F247" s="24" t="n">
        <v>0.4</v>
      </c>
      <c r="G247" s="35">
        <f>D247*E247</f>
        <v/>
      </c>
      <c r="H247" s="35">
        <f>D247*VLOOKUP(B247,Inventory!$A$5:$J$104,10,FALSE)</f>
        <v/>
      </c>
      <c r="I247" s="35">
        <f>G247-F247-H247</f>
        <v/>
      </c>
      <c r="J247" s="30" t="inlineStr">
        <is>
          <t>Order batch 3</t>
        </is>
      </c>
    </row>
    <row r="248">
      <c r="A248" s="34" t="n">
        <v>46074</v>
      </c>
      <c r="B248" s="30" t="inlineStr">
        <is>
          <t>SKU-044</t>
        </is>
      </c>
      <c r="C248" s="30" t="inlineStr">
        <is>
          <t>Retail</t>
        </is>
      </c>
      <c r="D248" s="22" t="n">
        <v>1</v>
      </c>
      <c r="E248" s="24" t="n">
        <v>3.68</v>
      </c>
      <c r="F248" s="24" t="n">
        <v>0.48</v>
      </c>
      <c r="G248" s="35">
        <f>D248*E248</f>
        <v/>
      </c>
      <c r="H248" s="35">
        <f>D248*VLOOKUP(B248,Inventory!$A$5:$J$104,10,FALSE)</f>
        <v/>
      </c>
      <c r="I248" s="35">
        <f>G248-F248-H248</f>
        <v/>
      </c>
      <c r="J248" s="30" t="inlineStr">
        <is>
          <t>Order batch 3</t>
        </is>
      </c>
    </row>
    <row r="249">
      <c r="A249" s="34" t="n">
        <v>46074</v>
      </c>
      <c r="B249" s="30" t="inlineStr">
        <is>
          <t>SKU-045</t>
        </is>
      </c>
      <c r="C249" s="30" t="inlineStr">
        <is>
          <t>Wholesale</t>
        </is>
      </c>
      <c r="D249" s="22" t="n">
        <v>2</v>
      </c>
      <c r="E249" s="24" t="n">
        <v>4.31</v>
      </c>
      <c r="F249" s="24" t="n">
        <v>0.5600000000000001</v>
      </c>
      <c r="G249" s="35">
        <f>D249*E249</f>
        <v/>
      </c>
      <c r="H249" s="35">
        <f>D249*VLOOKUP(B249,Inventory!$A$5:$J$104,10,FALSE)</f>
        <v/>
      </c>
      <c r="I249" s="35">
        <f>G249-F249-H249</f>
        <v/>
      </c>
      <c r="J249" s="30" t="inlineStr">
        <is>
          <t>Order batch 3</t>
        </is>
      </c>
    </row>
    <row r="250">
      <c r="A250" s="34" t="n">
        <v>46075</v>
      </c>
      <c r="B250" s="30" t="inlineStr">
        <is>
          <t>SKU-046</t>
        </is>
      </c>
      <c r="C250" s="30" t="inlineStr">
        <is>
          <t>Etsy</t>
        </is>
      </c>
      <c r="D250" s="22" t="n">
        <v>3</v>
      </c>
      <c r="E250" s="24" t="n">
        <v>5.7</v>
      </c>
      <c r="F250" s="24" t="n">
        <v>0.74</v>
      </c>
      <c r="G250" s="35">
        <f>D250*E250</f>
        <v/>
      </c>
      <c r="H250" s="35">
        <f>D250*VLOOKUP(B250,Inventory!$A$5:$J$104,10,FALSE)</f>
        <v/>
      </c>
      <c r="I250" s="35">
        <f>G250-F250-H250</f>
        <v/>
      </c>
      <c r="J250" s="30" t="inlineStr">
        <is>
          <t>Order batch 3</t>
        </is>
      </c>
    </row>
    <row r="251">
      <c r="A251" s="34" t="n">
        <v>46075</v>
      </c>
      <c r="B251" s="30" t="inlineStr">
        <is>
          <t>SKU-047</t>
        </is>
      </c>
      <c r="C251" s="30" t="inlineStr">
        <is>
          <t>Shop</t>
        </is>
      </c>
      <c r="D251" s="22" t="n">
        <v>1</v>
      </c>
      <c r="E251" s="24" t="n">
        <v>5.46</v>
      </c>
      <c r="F251" s="24" t="n">
        <v>0.71</v>
      </c>
      <c r="G251" s="35">
        <f>D251*E251</f>
        <v/>
      </c>
      <c r="H251" s="35">
        <f>D251*VLOOKUP(B251,Inventory!$A$5:$J$104,10,FALSE)</f>
        <v/>
      </c>
      <c r="I251" s="35">
        <f>G251-F251-H251</f>
        <v/>
      </c>
      <c r="J251" s="30" t="inlineStr">
        <is>
          <t>Order batch 3</t>
        </is>
      </c>
    </row>
    <row r="252">
      <c r="A252" s="34" t="n">
        <v>46075</v>
      </c>
      <c r="B252" s="30" t="inlineStr">
        <is>
          <t>SKU-048</t>
        </is>
      </c>
      <c r="C252" s="30" t="inlineStr">
        <is>
          <t>Market</t>
        </is>
      </c>
      <c r="D252" s="22" t="n">
        <v>2</v>
      </c>
      <c r="E252" s="24" t="n">
        <v>6.11</v>
      </c>
      <c r="F252" s="24" t="n">
        <v>0.79</v>
      </c>
      <c r="G252" s="35">
        <f>D252*E252</f>
        <v/>
      </c>
      <c r="H252" s="35">
        <f>D252*VLOOKUP(B252,Inventory!$A$5:$J$104,10,FALSE)</f>
        <v/>
      </c>
      <c r="I252" s="35">
        <f>G252-F252-H252</f>
        <v/>
      </c>
      <c r="J252" s="30" t="inlineStr">
        <is>
          <t>Order batch 3</t>
        </is>
      </c>
    </row>
    <row r="253">
      <c r="A253" s="34" t="n">
        <v>46075</v>
      </c>
      <c r="B253" s="30" t="inlineStr">
        <is>
          <t>SKU-049</t>
        </is>
      </c>
      <c r="C253" s="30" t="inlineStr">
        <is>
          <t>Retail</t>
        </is>
      </c>
      <c r="D253" s="22" t="n">
        <v>3</v>
      </c>
      <c r="E253" s="24" t="n">
        <v>6.78</v>
      </c>
      <c r="F253" s="24" t="n">
        <v>0.88</v>
      </c>
      <c r="G253" s="35">
        <f>D253*E253</f>
        <v/>
      </c>
      <c r="H253" s="35">
        <f>D253*VLOOKUP(B253,Inventory!$A$5:$J$104,10,FALSE)</f>
        <v/>
      </c>
      <c r="I253" s="35">
        <f>G253-F253-H253</f>
        <v/>
      </c>
      <c r="J253" s="30" t="inlineStr">
        <is>
          <t>Order batch 3</t>
        </is>
      </c>
    </row>
    <row r="254">
      <c r="A254" s="34" t="n">
        <v>46075</v>
      </c>
      <c r="B254" s="30" t="inlineStr">
        <is>
          <t>SKU-050</t>
        </is>
      </c>
      <c r="C254" s="30" t="inlineStr">
        <is>
          <t>Wholesale</t>
        </is>
      </c>
      <c r="D254" s="22" t="n">
        <v>1</v>
      </c>
      <c r="E254" s="24" t="n">
        <v>7.48</v>
      </c>
      <c r="F254" s="24" t="n">
        <v>0.97</v>
      </c>
      <c r="G254" s="35">
        <f>D254*E254</f>
        <v/>
      </c>
      <c r="H254" s="35">
        <f>D254*VLOOKUP(B254,Inventory!$A$5:$J$104,10,FALSE)</f>
        <v/>
      </c>
      <c r="I254" s="35">
        <f>G254-F254-H254</f>
        <v/>
      </c>
      <c r="J254" s="30" t="inlineStr">
        <is>
          <t>Order batch 3</t>
        </is>
      </c>
    </row>
    <row r="255">
      <c r="A255" s="34" t="n">
        <v>46076</v>
      </c>
      <c r="B255" s="30" t="inlineStr">
        <is>
          <t>SKU-051</t>
        </is>
      </c>
      <c r="C255" s="30" t="inlineStr">
        <is>
          <t>Etsy</t>
        </is>
      </c>
      <c r="D255" s="22" t="n">
        <v>2</v>
      </c>
      <c r="E255" s="24" t="n">
        <v>7.68</v>
      </c>
      <c r="F255" s="24" t="n">
        <v>1</v>
      </c>
      <c r="G255" s="35">
        <f>D255*E255</f>
        <v/>
      </c>
      <c r="H255" s="35">
        <f>D255*VLOOKUP(B255,Inventory!$A$5:$J$104,10,FALSE)</f>
        <v/>
      </c>
      <c r="I255" s="35">
        <f>G255-F255-H255</f>
        <v/>
      </c>
      <c r="J255" s="30" t="inlineStr">
        <is>
          <t>Order batch 3</t>
        </is>
      </c>
    </row>
    <row r="256">
      <c r="A256" s="34" t="n">
        <v>46076</v>
      </c>
      <c r="B256" s="30" t="inlineStr">
        <is>
          <t>SKU-052</t>
        </is>
      </c>
      <c r="C256" s="30" t="inlineStr">
        <is>
          <t>Shop</t>
        </is>
      </c>
      <c r="D256" s="22" t="n">
        <v>3</v>
      </c>
      <c r="E256" s="24" t="n">
        <v>8.42</v>
      </c>
      <c r="F256" s="24" t="n">
        <v>1.09</v>
      </c>
      <c r="G256" s="35">
        <f>D256*E256</f>
        <v/>
      </c>
      <c r="H256" s="35">
        <f>D256*VLOOKUP(B256,Inventory!$A$5:$J$104,10,FALSE)</f>
        <v/>
      </c>
      <c r="I256" s="35">
        <f>G256-F256-H256</f>
        <v/>
      </c>
      <c r="J256" s="30" t="inlineStr">
        <is>
          <t>Order batch 3</t>
        </is>
      </c>
    </row>
    <row r="257">
      <c r="A257" s="34" t="n">
        <v>46076</v>
      </c>
      <c r="B257" s="30" t="inlineStr">
        <is>
          <t>SKU-053</t>
        </is>
      </c>
      <c r="C257" s="30" t="inlineStr">
        <is>
          <t>Market</t>
        </is>
      </c>
      <c r="D257" s="22" t="n">
        <v>1</v>
      </c>
      <c r="E257" s="24" t="n">
        <v>7.84</v>
      </c>
      <c r="F257" s="24" t="n">
        <v>1.02</v>
      </c>
      <c r="G257" s="35">
        <f>D257*E257</f>
        <v/>
      </c>
      <c r="H257" s="35">
        <f>D257*VLOOKUP(B257,Inventory!$A$5:$J$104,10,FALSE)</f>
        <v/>
      </c>
      <c r="I257" s="35">
        <f>G257-F257-H257</f>
        <v/>
      </c>
      <c r="J257" s="30" t="inlineStr">
        <is>
          <t>Order batch 3</t>
        </is>
      </c>
    </row>
    <row r="258">
      <c r="A258" s="34" t="n">
        <v>46076</v>
      </c>
      <c r="B258" s="30" t="inlineStr">
        <is>
          <t>SKU-054</t>
        </is>
      </c>
      <c r="C258" s="30" t="inlineStr">
        <is>
          <t>Retail</t>
        </is>
      </c>
      <c r="D258" s="22" t="n">
        <v>2</v>
      </c>
      <c r="E258" s="24" t="n">
        <v>8.550000000000001</v>
      </c>
      <c r="F258" s="24" t="n">
        <v>1.11</v>
      </c>
      <c r="G258" s="35">
        <f>D258*E258</f>
        <v/>
      </c>
      <c r="H258" s="35">
        <f>D258*VLOOKUP(B258,Inventory!$A$5:$J$104,10,FALSE)</f>
        <v/>
      </c>
      <c r="I258" s="35">
        <f>G258-F258-H258</f>
        <v/>
      </c>
      <c r="J258" s="30" t="inlineStr">
        <is>
          <t>Order batch 3</t>
        </is>
      </c>
    </row>
    <row r="259">
      <c r="A259" s="34" t="n">
        <v>46076</v>
      </c>
      <c r="B259" s="30" t="inlineStr">
        <is>
          <t>SKU-055</t>
        </is>
      </c>
      <c r="C259" s="30" t="inlineStr">
        <is>
          <t>Wholesale</t>
        </is>
      </c>
      <c r="D259" s="22" t="n">
        <v>3</v>
      </c>
      <c r="E259" s="24" t="n">
        <v>9.289999999999999</v>
      </c>
      <c r="F259" s="24" t="n">
        <v>1.21</v>
      </c>
      <c r="G259" s="35">
        <f>D259*E259</f>
        <v/>
      </c>
      <c r="H259" s="35">
        <f>D259*VLOOKUP(B259,Inventory!$A$5:$J$104,10,FALSE)</f>
        <v/>
      </c>
      <c r="I259" s="35">
        <f>G259-F259-H259</f>
        <v/>
      </c>
      <c r="J259" s="30" t="inlineStr">
        <is>
          <t>Order batch 3</t>
        </is>
      </c>
    </row>
    <row r="260">
      <c r="A260" s="34" t="n">
        <v>46077</v>
      </c>
      <c r="B260" s="30" t="inlineStr">
        <is>
          <t>SKU-056</t>
        </is>
      </c>
      <c r="C260" s="30" t="inlineStr">
        <is>
          <t>Etsy</t>
        </is>
      </c>
      <c r="D260" s="22" t="n">
        <v>1</v>
      </c>
      <c r="E260" s="24" t="n">
        <v>3.07</v>
      </c>
      <c r="F260" s="24" t="n">
        <v>0.4</v>
      </c>
      <c r="G260" s="35">
        <f>D260*E260</f>
        <v/>
      </c>
      <c r="H260" s="35">
        <f>D260*VLOOKUP(B260,Inventory!$A$5:$J$104,10,FALSE)</f>
        <v/>
      </c>
      <c r="I260" s="35">
        <f>G260-F260-H260</f>
        <v/>
      </c>
      <c r="J260" s="30" t="inlineStr">
        <is>
          <t>Order batch 3</t>
        </is>
      </c>
    </row>
    <row r="261">
      <c r="A261" s="34" t="n">
        <v>46077</v>
      </c>
      <c r="B261" s="30" t="inlineStr">
        <is>
          <t>SKU-057</t>
        </is>
      </c>
      <c r="C261" s="30" t="inlineStr">
        <is>
          <t>Shop</t>
        </is>
      </c>
      <c r="D261" s="22" t="n">
        <v>2</v>
      </c>
      <c r="E261" s="24" t="n">
        <v>3.68</v>
      </c>
      <c r="F261" s="24" t="n">
        <v>0.48</v>
      </c>
      <c r="G261" s="35">
        <f>D261*E261</f>
        <v/>
      </c>
      <c r="H261" s="35">
        <f>D261*VLOOKUP(B261,Inventory!$A$5:$J$104,10,FALSE)</f>
        <v/>
      </c>
      <c r="I261" s="35">
        <f>G261-F261-H261</f>
        <v/>
      </c>
      <c r="J261" s="30" t="inlineStr">
        <is>
          <t>Order batch 3</t>
        </is>
      </c>
    </row>
    <row r="262">
      <c r="A262" s="34" t="n">
        <v>46077</v>
      </c>
      <c r="B262" s="30" t="inlineStr">
        <is>
          <t>SKU-058</t>
        </is>
      </c>
      <c r="C262" s="30" t="inlineStr">
        <is>
          <t>Market</t>
        </is>
      </c>
      <c r="D262" s="22" t="n">
        <v>3</v>
      </c>
      <c r="E262" s="24" t="n">
        <v>4.32</v>
      </c>
      <c r="F262" s="24" t="n">
        <v>0.5600000000000001</v>
      </c>
      <c r="G262" s="35">
        <f>D262*E262</f>
        <v/>
      </c>
      <c r="H262" s="35">
        <f>D262*VLOOKUP(B262,Inventory!$A$5:$J$104,10,FALSE)</f>
        <v/>
      </c>
      <c r="I262" s="35">
        <f>G262-F262-H262</f>
        <v/>
      </c>
      <c r="J262" s="30" t="inlineStr">
        <is>
          <t>Order batch 3</t>
        </is>
      </c>
    </row>
    <row r="263">
      <c r="A263" s="34" t="n">
        <v>46077</v>
      </c>
      <c r="B263" s="30" t="inlineStr">
        <is>
          <t>SKU-059</t>
        </is>
      </c>
      <c r="C263" s="30" t="inlineStr">
        <is>
          <t>Retail</t>
        </is>
      </c>
      <c r="D263" s="22" t="n">
        <v>1</v>
      </c>
      <c r="E263" s="24" t="n">
        <v>4.26</v>
      </c>
      <c r="F263" s="24" t="n">
        <v>0.55</v>
      </c>
      <c r="G263" s="35">
        <f>D263*E263</f>
        <v/>
      </c>
      <c r="H263" s="35">
        <f>D263*VLOOKUP(B263,Inventory!$A$5:$J$104,10,FALSE)</f>
        <v/>
      </c>
      <c r="I263" s="35">
        <f>G263-F263-H263</f>
        <v/>
      </c>
      <c r="J263" s="30" t="inlineStr">
        <is>
          <t>Order batch 3</t>
        </is>
      </c>
    </row>
    <row r="264">
      <c r="A264" s="34" t="n">
        <v>46077</v>
      </c>
      <c r="B264" s="30" t="inlineStr">
        <is>
          <t>SKU-060</t>
        </is>
      </c>
      <c r="C264" s="30" t="inlineStr">
        <is>
          <t>Wholesale</t>
        </is>
      </c>
      <c r="D264" s="22" t="n">
        <v>2</v>
      </c>
      <c r="E264" s="24" t="n">
        <v>4.87</v>
      </c>
      <c r="F264" s="24" t="n">
        <v>0.63</v>
      </c>
      <c r="G264" s="35">
        <f>D264*E264</f>
        <v/>
      </c>
      <c r="H264" s="35">
        <f>D264*VLOOKUP(B264,Inventory!$A$5:$J$104,10,FALSE)</f>
        <v/>
      </c>
      <c r="I264" s="35">
        <f>G264-F264-H264</f>
        <v/>
      </c>
      <c r="J264" s="30" t="inlineStr">
        <is>
          <t>Order batch 3</t>
        </is>
      </c>
    </row>
    <row r="265">
      <c r="A265" s="34" t="n">
        <v>46078</v>
      </c>
      <c r="B265" s="30" t="inlineStr">
        <is>
          <t>SKU-061</t>
        </is>
      </c>
      <c r="C265" s="30" t="inlineStr">
        <is>
          <t>Etsy</t>
        </is>
      </c>
      <c r="D265" s="22" t="n">
        <v>3</v>
      </c>
      <c r="E265" s="24" t="n">
        <v>10.54</v>
      </c>
      <c r="F265" s="24" t="n">
        <v>1.37</v>
      </c>
      <c r="G265" s="35">
        <f>D265*E265</f>
        <v/>
      </c>
      <c r="H265" s="35">
        <f>D265*VLOOKUP(B265,Inventory!$A$5:$J$104,10,FALSE)</f>
        <v/>
      </c>
      <c r="I265" s="35">
        <f>G265-F265-H265</f>
        <v/>
      </c>
      <c r="J265" s="30" t="inlineStr">
        <is>
          <t>Order batch 3</t>
        </is>
      </c>
    </row>
    <row r="266">
      <c r="A266" s="34" t="n">
        <v>46078</v>
      </c>
      <c r="B266" s="30" t="inlineStr">
        <is>
          <t>SKU-062</t>
        </is>
      </c>
      <c r="C266" s="30" t="inlineStr">
        <is>
          <t>Shop</t>
        </is>
      </c>
      <c r="D266" s="22" t="n">
        <v>1</v>
      </c>
      <c r="E266" s="24" t="n">
        <v>11.34</v>
      </c>
      <c r="F266" s="24" t="n">
        <v>1.47</v>
      </c>
      <c r="G266" s="35">
        <f>D266*E266</f>
        <v/>
      </c>
      <c r="H266" s="35">
        <f>D266*VLOOKUP(B266,Inventory!$A$5:$J$104,10,FALSE)</f>
        <v/>
      </c>
      <c r="I266" s="35">
        <f>G266-F266-H266</f>
        <v/>
      </c>
      <c r="J266" s="30" t="inlineStr">
        <is>
          <t>Order batch 3</t>
        </is>
      </c>
    </row>
    <row r="267">
      <c r="A267" s="34" t="n">
        <v>46078</v>
      </c>
      <c r="B267" s="30" t="inlineStr">
        <is>
          <t>SKU-063</t>
        </is>
      </c>
      <c r="C267" s="30" t="inlineStr">
        <is>
          <t>Market</t>
        </is>
      </c>
      <c r="D267" s="22" t="n">
        <v>2</v>
      </c>
      <c r="E267" s="24" t="n">
        <v>12.17</v>
      </c>
      <c r="F267" s="24" t="n">
        <v>1.58</v>
      </c>
      <c r="G267" s="35">
        <f>D267*E267</f>
        <v/>
      </c>
      <c r="H267" s="35">
        <f>D267*VLOOKUP(B267,Inventory!$A$5:$J$104,10,FALSE)</f>
        <v/>
      </c>
      <c r="I267" s="35">
        <f>G267-F267-H267</f>
        <v/>
      </c>
      <c r="J267" s="30" t="inlineStr">
        <is>
          <t>Order batch 3</t>
        </is>
      </c>
    </row>
    <row r="268">
      <c r="A268" s="34" t="n">
        <v>46078</v>
      </c>
      <c r="B268" s="30" t="inlineStr">
        <is>
          <t>SKU-064</t>
        </is>
      </c>
      <c r="C268" s="30" t="inlineStr">
        <is>
          <t>Retail</t>
        </is>
      </c>
      <c r="D268" s="22" t="n">
        <v>3</v>
      </c>
      <c r="E268" s="24" t="n">
        <v>13.02</v>
      </c>
      <c r="F268" s="24" t="n">
        <v>1.69</v>
      </c>
      <c r="G268" s="35">
        <f>D268*E268</f>
        <v/>
      </c>
      <c r="H268" s="35">
        <f>D268*VLOOKUP(B268,Inventory!$A$5:$J$104,10,FALSE)</f>
        <v/>
      </c>
      <c r="I268" s="35">
        <f>G268-F268-H268</f>
        <v/>
      </c>
      <c r="J268" s="30" t="inlineStr">
        <is>
          <t>Order batch 3</t>
        </is>
      </c>
    </row>
    <row r="269">
      <c r="A269" s="34" t="n">
        <v>46078</v>
      </c>
      <c r="B269" s="30" t="inlineStr">
        <is>
          <t>SKU-065</t>
        </is>
      </c>
      <c r="C269" s="30" t="inlineStr">
        <is>
          <t>Wholesale</t>
        </is>
      </c>
      <c r="D269" s="22" t="n">
        <v>1</v>
      </c>
      <c r="E269" s="24" t="n">
        <v>11.87</v>
      </c>
      <c r="F269" s="24" t="n">
        <v>1.54</v>
      </c>
      <c r="G269" s="35">
        <f>D269*E269</f>
        <v/>
      </c>
      <c r="H269" s="35">
        <f>D269*VLOOKUP(B269,Inventory!$A$5:$J$104,10,FALSE)</f>
        <v/>
      </c>
      <c r="I269" s="35">
        <f>G269-F269-H269</f>
        <v/>
      </c>
      <c r="J269" s="30" t="inlineStr">
        <is>
          <t>Order batch 3</t>
        </is>
      </c>
    </row>
    <row r="270">
      <c r="A270" s="34" t="n">
        <v>46079</v>
      </c>
      <c r="B270" s="30" t="inlineStr">
        <is>
          <t>SKU-066</t>
        </is>
      </c>
      <c r="C270" s="30" t="inlineStr">
        <is>
          <t>Etsy</t>
        </is>
      </c>
      <c r="D270" s="22" t="n">
        <v>2</v>
      </c>
      <c r="E270" s="24" t="n">
        <v>15.44</v>
      </c>
      <c r="F270" s="24" t="n">
        <v>2.01</v>
      </c>
      <c r="G270" s="35">
        <f>D270*E270</f>
        <v/>
      </c>
      <c r="H270" s="35">
        <f>D270*VLOOKUP(B270,Inventory!$A$5:$J$104,10,FALSE)</f>
        <v/>
      </c>
      <c r="I270" s="35">
        <f>G270-F270-H270</f>
        <v/>
      </c>
      <c r="J270" s="30" t="inlineStr">
        <is>
          <t>Order batch 3</t>
        </is>
      </c>
    </row>
    <row r="271">
      <c r="A271" s="34" t="n">
        <v>46079</v>
      </c>
      <c r="B271" s="30" t="inlineStr">
        <is>
          <t>SKU-067</t>
        </is>
      </c>
      <c r="C271" s="30" t="inlineStr">
        <is>
          <t>Shop</t>
        </is>
      </c>
      <c r="D271" s="22" t="n">
        <v>3</v>
      </c>
      <c r="E271" s="24" t="n">
        <v>16.37</v>
      </c>
      <c r="F271" s="24" t="n">
        <v>2.13</v>
      </c>
      <c r="G271" s="35">
        <f>D271*E271</f>
        <v/>
      </c>
      <c r="H271" s="35">
        <f>D271*VLOOKUP(B271,Inventory!$A$5:$J$104,10,FALSE)</f>
        <v/>
      </c>
      <c r="I271" s="35">
        <f>G271-F271-H271</f>
        <v/>
      </c>
      <c r="J271" s="30" t="inlineStr">
        <is>
          <t>Order batch 3</t>
        </is>
      </c>
    </row>
    <row r="272">
      <c r="A272" s="34" t="n">
        <v>46079</v>
      </c>
      <c r="B272" s="30" t="inlineStr">
        <is>
          <t>SKU-068</t>
        </is>
      </c>
      <c r="C272" s="30" t="inlineStr">
        <is>
          <t>Market</t>
        </is>
      </c>
      <c r="D272" s="22" t="n">
        <v>1</v>
      </c>
      <c r="E272" s="24" t="n">
        <v>17.33</v>
      </c>
      <c r="F272" s="24" t="n">
        <v>2.25</v>
      </c>
      <c r="G272" s="35">
        <f>D272*E272</f>
        <v/>
      </c>
      <c r="H272" s="35">
        <f>D272*VLOOKUP(B272,Inventory!$A$5:$J$104,10,FALSE)</f>
        <v/>
      </c>
      <c r="I272" s="35">
        <f>G272-F272-H272</f>
        <v/>
      </c>
      <c r="J272" s="30" t="inlineStr">
        <is>
          <t>Order batch 3</t>
        </is>
      </c>
    </row>
    <row r="273">
      <c r="A273" s="34" t="n">
        <v>46079</v>
      </c>
      <c r="B273" s="30" t="inlineStr">
        <is>
          <t>SKU-069</t>
        </is>
      </c>
      <c r="C273" s="30" t="inlineStr">
        <is>
          <t>Retail</t>
        </is>
      </c>
      <c r="D273" s="22" t="n">
        <v>2</v>
      </c>
      <c r="E273" s="24" t="n">
        <v>18.31</v>
      </c>
      <c r="F273" s="24" t="n">
        <v>2.38</v>
      </c>
      <c r="G273" s="35">
        <f>D273*E273</f>
        <v/>
      </c>
      <c r="H273" s="35">
        <f>D273*VLOOKUP(B273,Inventory!$A$5:$J$104,10,FALSE)</f>
        <v/>
      </c>
      <c r="I273" s="35">
        <f>G273-F273-H273</f>
        <v/>
      </c>
      <c r="J273" s="30" t="inlineStr">
        <is>
          <t>Order batch 3</t>
        </is>
      </c>
    </row>
    <row r="274">
      <c r="A274" s="34" t="n">
        <v>46079</v>
      </c>
      <c r="B274" s="30" t="inlineStr">
        <is>
          <t>SKU-070</t>
        </is>
      </c>
      <c r="C274" s="30" t="inlineStr">
        <is>
          <t>Wholesale</t>
        </is>
      </c>
      <c r="D274" s="22" t="n">
        <v>3</v>
      </c>
      <c r="E274" s="24" t="n">
        <v>19.33</v>
      </c>
      <c r="F274" s="24" t="n">
        <v>2.51</v>
      </c>
      <c r="G274" s="35">
        <f>D274*E274</f>
        <v/>
      </c>
      <c r="H274" s="35">
        <f>D274*VLOOKUP(B274,Inventory!$A$5:$J$104,10,FALSE)</f>
        <v/>
      </c>
      <c r="I274" s="35">
        <f>G274-F274-H274</f>
        <v/>
      </c>
      <c r="J274" s="30" t="inlineStr">
        <is>
          <t>Order batch 3</t>
        </is>
      </c>
    </row>
    <row r="275">
      <c r="A275" s="34" t="n">
        <v>46080</v>
      </c>
      <c r="B275" s="30" t="inlineStr">
        <is>
          <t>SKU-071</t>
        </is>
      </c>
      <c r="C275" s="30" t="inlineStr">
        <is>
          <t>Etsy</t>
        </is>
      </c>
      <c r="D275" s="22" t="n">
        <v>1</v>
      </c>
      <c r="E275" s="24" t="n">
        <v>2.07</v>
      </c>
      <c r="F275" s="24" t="n">
        <v>0.27</v>
      </c>
      <c r="G275" s="35">
        <f>D275*E275</f>
        <v/>
      </c>
      <c r="H275" s="35">
        <f>D275*VLOOKUP(B275,Inventory!$A$5:$J$104,10,FALSE)</f>
        <v/>
      </c>
      <c r="I275" s="35">
        <f>G275-F275-H275</f>
        <v/>
      </c>
      <c r="J275" s="30" t="inlineStr">
        <is>
          <t>Order batch 3</t>
        </is>
      </c>
    </row>
    <row r="276">
      <c r="A276" s="34" t="n">
        <v>46080</v>
      </c>
      <c r="B276" s="30" t="inlineStr">
        <is>
          <t>SKU-072</t>
        </is>
      </c>
      <c r="C276" s="30" t="inlineStr">
        <is>
          <t>Shop</t>
        </is>
      </c>
      <c r="D276" s="22" t="n">
        <v>2</v>
      </c>
      <c r="E276" s="24" t="n">
        <v>2.62</v>
      </c>
      <c r="F276" s="24" t="n">
        <v>0.34</v>
      </c>
      <c r="G276" s="35">
        <f>D276*E276</f>
        <v/>
      </c>
      <c r="H276" s="35">
        <f>D276*VLOOKUP(B276,Inventory!$A$5:$J$104,10,FALSE)</f>
        <v/>
      </c>
      <c r="I276" s="35">
        <f>G276-F276-H276</f>
        <v/>
      </c>
      <c r="J276" s="30" t="inlineStr">
        <is>
          <t>Order batch 3</t>
        </is>
      </c>
    </row>
    <row r="277">
      <c r="A277" s="34" t="n">
        <v>46080</v>
      </c>
      <c r="B277" s="30" t="inlineStr">
        <is>
          <t>SKU-073</t>
        </is>
      </c>
      <c r="C277" s="30" t="inlineStr">
        <is>
          <t>Market</t>
        </is>
      </c>
      <c r="D277" s="22" t="n">
        <v>3</v>
      </c>
      <c r="E277" s="24" t="n">
        <v>3.2</v>
      </c>
      <c r="F277" s="24" t="n">
        <v>0.42</v>
      </c>
      <c r="G277" s="35">
        <f>D277*E277</f>
        <v/>
      </c>
      <c r="H277" s="35">
        <f>D277*VLOOKUP(B277,Inventory!$A$5:$J$104,10,FALSE)</f>
        <v/>
      </c>
      <c r="I277" s="35">
        <f>G277-F277-H277</f>
        <v/>
      </c>
      <c r="J277" s="30" t="inlineStr">
        <is>
          <t>Order batch 3</t>
        </is>
      </c>
    </row>
    <row r="278">
      <c r="A278" s="34" t="n">
        <v>46080</v>
      </c>
      <c r="B278" s="30" t="inlineStr">
        <is>
          <t>SKU-074</t>
        </is>
      </c>
      <c r="C278" s="30" t="inlineStr">
        <is>
          <t>Retail</t>
        </is>
      </c>
      <c r="D278" s="22" t="n">
        <v>1</v>
      </c>
      <c r="E278" s="24" t="n">
        <v>3.8</v>
      </c>
      <c r="F278" s="24" t="n">
        <v>0.49</v>
      </c>
      <c r="G278" s="35">
        <f>D278*E278</f>
        <v/>
      </c>
      <c r="H278" s="35">
        <f>D278*VLOOKUP(B278,Inventory!$A$5:$J$104,10,FALSE)</f>
        <v/>
      </c>
      <c r="I278" s="35">
        <f>G278-F278-H278</f>
        <v/>
      </c>
      <c r="J278" s="30" t="inlineStr">
        <is>
          <t>Order batch 3</t>
        </is>
      </c>
    </row>
    <row r="279">
      <c r="A279" s="34" t="n">
        <v>46080</v>
      </c>
      <c r="B279" s="30" t="inlineStr">
        <is>
          <t>SKU-075</t>
        </is>
      </c>
      <c r="C279" s="30" t="inlineStr">
        <is>
          <t>Wholesale</t>
        </is>
      </c>
      <c r="D279" s="22" t="n">
        <v>2</v>
      </c>
      <c r="E279" s="24" t="n">
        <v>4.43</v>
      </c>
      <c r="F279" s="24" t="n">
        <v>0.58</v>
      </c>
      <c r="G279" s="35">
        <f>D279*E279</f>
        <v/>
      </c>
      <c r="H279" s="35">
        <f>D279*VLOOKUP(B279,Inventory!$A$5:$J$104,10,FALSE)</f>
        <v/>
      </c>
      <c r="I279" s="35">
        <f>G279-F279-H279</f>
        <v/>
      </c>
      <c r="J279" s="30" t="inlineStr">
        <is>
          <t>Order batch 3</t>
        </is>
      </c>
    </row>
    <row r="280">
      <c r="A280" s="34" t="n">
        <v>46081</v>
      </c>
      <c r="B280" s="30" t="inlineStr">
        <is>
          <t>SKU-076</t>
        </is>
      </c>
      <c r="C280" s="30" t="inlineStr">
        <is>
          <t>Etsy</t>
        </is>
      </c>
      <c r="D280" s="22" t="n">
        <v>3</v>
      </c>
      <c r="E280" s="24" t="n">
        <v>3.07</v>
      </c>
      <c r="F280" s="24" t="n">
        <v>0.4</v>
      </c>
      <c r="G280" s="35">
        <f>D280*E280</f>
        <v/>
      </c>
      <c r="H280" s="35">
        <f>D280*VLOOKUP(B280,Inventory!$A$5:$J$104,10,FALSE)</f>
        <v/>
      </c>
      <c r="I280" s="35">
        <f>G280-F280-H280</f>
        <v/>
      </c>
      <c r="J280" s="30" t="inlineStr">
        <is>
          <t>Order batch 3</t>
        </is>
      </c>
    </row>
    <row r="281">
      <c r="A281" s="34" t="n">
        <v>46081</v>
      </c>
      <c r="B281" s="30" t="inlineStr">
        <is>
          <t>SKU-077</t>
        </is>
      </c>
      <c r="C281" s="30" t="inlineStr">
        <is>
          <t>Shop</t>
        </is>
      </c>
      <c r="D281" s="22" t="n">
        <v>1</v>
      </c>
      <c r="E281" s="24" t="n">
        <v>3.16</v>
      </c>
      <c r="F281" s="24" t="n">
        <v>0.41</v>
      </c>
      <c r="G281" s="35">
        <f>D281*E281</f>
        <v/>
      </c>
      <c r="H281" s="35">
        <f>D281*VLOOKUP(B281,Inventory!$A$5:$J$104,10,FALSE)</f>
        <v/>
      </c>
      <c r="I281" s="35">
        <f>G281-F281-H281</f>
        <v/>
      </c>
      <c r="J281" s="30" t="inlineStr">
        <is>
          <t>Order batch 3</t>
        </is>
      </c>
    </row>
    <row r="282">
      <c r="A282" s="34" t="n">
        <v>46081</v>
      </c>
      <c r="B282" s="30" t="inlineStr">
        <is>
          <t>SKU-078</t>
        </is>
      </c>
      <c r="C282" s="30" t="inlineStr">
        <is>
          <t>Market</t>
        </is>
      </c>
      <c r="D282" s="22" t="n">
        <v>2</v>
      </c>
      <c r="E282" s="24" t="n">
        <v>3.74</v>
      </c>
      <c r="F282" s="24" t="n">
        <v>0.49</v>
      </c>
      <c r="G282" s="35">
        <f>D282*E282</f>
        <v/>
      </c>
      <c r="H282" s="35">
        <f>D282*VLOOKUP(B282,Inventory!$A$5:$J$104,10,FALSE)</f>
        <v/>
      </c>
      <c r="I282" s="35">
        <f>G282-F282-H282</f>
        <v/>
      </c>
      <c r="J282" s="30" t="inlineStr">
        <is>
          <t>Order batch 3</t>
        </is>
      </c>
    </row>
    <row r="283">
      <c r="A283" s="34" t="n">
        <v>46081</v>
      </c>
      <c r="B283" s="30" t="inlineStr">
        <is>
          <t>SKU-079</t>
        </is>
      </c>
      <c r="C283" s="30" t="inlineStr">
        <is>
          <t>Retail</t>
        </is>
      </c>
      <c r="D283" s="22" t="n">
        <v>3</v>
      </c>
      <c r="E283" s="24" t="n">
        <v>4.35</v>
      </c>
      <c r="F283" s="24" t="n">
        <v>0.57</v>
      </c>
      <c r="G283" s="35">
        <f>D283*E283</f>
        <v/>
      </c>
      <c r="H283" s="35">
        <f>D283*VLOOKUP(B283,Inventory!$A$5:$J$104,10,FALSE)</f>
        <v/>
      </c>
      <c r="I283" s="35">
        <f>G283-F283-H283</f>
        <v/>
      </c>
      <c r="J283" s="30" t="inlineStr">
        <is>
          <t>Order batch 3</t>
        </is>
      </c>
    </row>
    <row r="284">
      <c r="A284" s="34" t="n">
        <v>46081</v>
      </c>
      <c r="B284" s="30" t="inlineStr">
        <is>
          <t>SKU-080</t>
        </is>
      </c>
      <c r="C284" s="30" t="inlineStr">
        <is>
          <t>Wholesale</t>
        </is>
      </c>
      <c r="D284" s="22" t="n">
        <v>1</v>
      </c>
      <c r="E284" s="24" t="n">
        <v>4.99</v>
      </c>
      <c r="F284" s="24" t="n">
        <v>0.65</v>
      </c>
      <c r="G284" s="35">
        <f>D284*E284</f>
        <v/>
      </c>
      <c r="H284" s="35">
        <f>D284*VLOOKUP(B284,Inventory!$A$5:$J$104,10,FALSE)</f>
        <v/>
      </c>
      <c r="I284" s="35">
        <f>G284-F284-H284</f>
        <v/>
      </c>
      <c r="J284" s="30" t="inlineStr">
        <is>
          <t>Order batch 3</t>
        </is>
      </c>
    </row>
    <row r="285">
      <c r="A285" s="34" t="n">
        <v>46082</v>
      </c>
      <c r="B285" s="30" t="inlineStr">
        <is>
          <t>SKU-081</t>
        </is>
      </c>
      <c r="C285" s="30" t="inlineStr">
        <is>
          <t>Etsy</t>
        </is>
      </c>
      <c r="D285" s="22" t="n">
        <v>2</v>
      </c>
      <c r="E285" s="24" t="n">
        <v>4.18</v>
      </c>
      <c r="F285" s="24" t="n">
        <v>0.54</v>
      </c>
      <c r="G285" s="35">
        <f>D285*E285</f>
        <v/>
      </c>
      <c r="H285" s="35">
        <f>D285*VLOOKUP(B285,Inventory!$A$5:$J$104,10,FALSE)</f>
        <v/>
      </c>
      <c r="I285" s="35">
        <f>G285-F285-H285</f>
        <v/>
      </c>
      <c r="J285" s="30" t="inlineStr">
        <is>
          <t>Order batch 3</t>
        </is>
      </c>
    </row>
    <row r="286">
      <c r="A286" s="34" t="n">
        <v>46082</v>
      </c>
      <c r="B286" s="30" t="inlineStr">
        <is>
          <t>SKU-082</t>
        </is>
      </c>
      <c r="C286" s="30" t="inlineStr">
        <is>
          <t>Shop</t>
        </is>
      </c>
      <c r="D286" s="22" t="n">
        <v>3</v>
      </c>
      <c r="E286" s="24" t="n">
        <v>4.83</v>
      </c>
      <c r="F286" s="24" t="n">
        <v>0.63</v>
      </c>
      <c r="G286" s="35">
        <f>D286*E286</f>
        <v/>
      </c>
      <c r="H286" s="35">
        <f>D286*VLOOKUP(B286,Inventory!$A$5:$J$104,10,FALSE)</f>
        <v/>
      </c>
      <c r="I286" s="35">
        <f>G286-F286-H286</f>
        <v/>
      </c>
      <c r="J286" s="30" t="inlineStr">
        <is>
          <t>Order batch 3</t>
        </is>
      </c>
    </row>
    <row r="287">
      <c r="A287" s="34" t="n">
        <v>46082</v>
      </c>
      <c r="B287" s="30" t="inlineStr">
        <is>
          <t>SKU-083</t>
        </is>
      </c>
      <c r="C287" s="30" t="inlineStr">
        <is>
          <t>Market</t>
        </is>
      </c>
      <c r="D287" s="22" t="n">
        <v>1</v>
      </c>
      <c r="E287" s="24" t="n">
        <v>4.7</v>
      </c>
      <c r="F287" s="24" t="n">
        <v>0.61</v>
      </c>
      <c r="G287" s="35">
        <f>D287*E287</f>
        <v/>
      </c>
      <c r="H287" s="35">
        <f>D287*VLOOKUP(B287,Inventory!$A$5:$J$104,10,FALSE)</f>
        <v/>
      </c>
      <c r="I287" s="35">
        <f>G287-F287-H287</f>
        <v/>
      </c>
      <c r="J287" s="30" t="inlineStr">
        <is>
          <t>Order batch 3</t>
        </is>
      </c>
    </row>
    <row r="288">
      <c r="A288" s="34" t="n">
        <v>46082</v>
      </c>
      <c r="B288" s="30" t="inlineStr">
        <is>
          <t>SKU-084</t>
        </is>
      </c>
      <c r="C288" s="30" t="inlineStr">
        <is>
          <t>Retail</t>
        </is>
      </c>
      <c r="D288" s="22" t="n">
        <v>2</v>
      </c>
      <c r="E288" s="24" t="n">
        <v>5.33</v>
      </c>
      <c r="F288" s="24" t="n">
        <v>0.6899999999999999</v>
      </c>
      <c r="G288" s="35">
        <f>D288*E288</f>
        <v/>
      </c>
      <c r="H288" s="35">
        <f>D288*VLOOKUP(B288,Inventory!$A$5:$J$104,10,FALSE)</f>
        <v/>
      </c>
      <c r="I288" s="35">
        <f>G288-F288-H288</f>
        <v/>
      </c>
      <c r="J288" s="30" t="inlineStr">
        <is>
          <t>Order batch 3</t>
        </is>
      </c>
    </row>
    <row r="289">
      <c r="A289" s="34" t="n">
        <v>46082</v>
      </c>
      <c r="B289" s="30" t="inlineStr">
        <is>
          <t>SKU-085</t>
        </is>
      </c>
      <c r="C289" s="30" t="inlineStr">
        <is>
          <t>Wholesale</t>
        </is>
      </c>
      <c r="D289" s="22" t="n">
        <v>3</v>
      </c>
      <c r="E289" s="24" t="n">
        <v>5.98</v>
      </c>
      <c r="F289" s="24" t="n">
        <v>0.78</v>
      </c>
      <c r="G289" s="35">
        <f>D289*E289</f>
        <v/>
      </c>
      <c r="H289" s="35">
        <f>D289*VLOOKUP(B289,Inventory!$A$5:$J$104,10,FALSE)</f>
        <v/>
      </c>
      <c r="I289" s="35">
        <f>G289-F289-H289</f>
        <v/>
      </c>
      <c r="J289" s="30" t="inlineStr">
        <is>
          <t>Order batch 3</t>
        </is>
      </c>
    </row>
    <row r="290">
      <c r="A290" s="34" t="n">
        <v>46083</v>
      </c>
      <c r="B290" s="30" t="inlineStr">
        <is>
          <t>SKU-086</t>
        </is>
      </c>
      <c r="C290" s="30" t="inlineStr">
        <is>
          <t>Etsy</t>
        </is>
      </c>
      <c r="D290" s="22" t="n">
        <v>1</v>
      </c>
      <c r="E290" s="24" t="n">
        <v>1.95</v>
      </c>
      <c r="F290" s="24" t="n">
        <v>0.25</v>
      </c>
      <c r="G290" s="35">
        <f>D290*E290</f>
        <v/>
      </c>
      <c r="H290" s="35">
        <f>D290*VLOOKUP(B290,Inventory!$A$5:$J$104,10,FALSE)</f>
        <v/>
      </c>
      <c r="I290" s="35">
        <f>G290-F290-H290</f>
        <v/>
      </c>
      <c r="J290" s="30" t="inlineStr">
        <is>
          <t>Order batch 3</t>
        </is>
      </c>
    </row>
    <row r="291">
      <c r="A291" s="34" t="n">
        <v>46083</v>
      </c>
      <c r="B291" s="30" t="inlineStr">
        <is>
          <t>SKU-087</t>
        </is>
      </c>
      <c r="C291" s="30" t="inlineStr">
        <is>
          <t>Shop</t>
        </is>
      </c>
      <c r="D291" s="22" t="n">
        <v>2</v>
      </c>
      <c r="E291" s="24" t="n">
        <v>2.53</v>
      </c>
      <c r="F291" s="24" t="n">
        <v>0.33</v>
      </c>
      <c r="G291" s="35">
        <f>D291*E291</f>
        <v/>
      </c>
      <c r="H291" s="35">
        <f>D291*VLOOKUP(B291,Inventory!$A$5:$J$104,10,FALSE)</f>
        <v/>
      </c>
      <c r="I291" s="35">
        <f>G291-F291-H291</f>
        <v/>
      </c>
      <c r="J291" s="30" t="inlineStr">
        <is>
          <t>Order batch 3</t>
        </is>
      </c>
    </row>
    <row r="292">
      <c r="A292" s="34" t="n">
        <v>46083</v>
      </c>
      <c r="B292" s="30" t="inlineStr">
        <is>
          <t>SKU-088</t>
        </is>
      </c>
      <c r="C292" s="30" t="inlineStr">
        <is>
          <t>Market</t>
        </is>
      </c>
      <c r="D292" s="22" t="n">
        <v>3</v>
      </c>
      <c r="E292" s="24" t="n">
        <v>3.14</v>
      </c>
      <c r="F292" s="24" t="n">
        <v>0.41</v>
      </c>
      <c r="G292" s="35">
        <f>D292*E292</f>
        <v/>
      </c>
      <c r="H292" s="35">
        <f>D292*VLOOKUP(B292,Inventory!$A$5:$J$104,10,FALSE)</f>
        <v/>
      </c>
      <c r="I292" s="35">
        <f>G292-F292-H292</f>
        <v/>
      </c>
      <c r="J292" s="30" t="inlineStr">
        <is>
          <t>Order batch 3</t>
        </is>
      </c>
    </row>
    <row r="293">
      <c r="A293" s="34" t="n">
        <v>46083</v>
      </c>
      <c r="B293" s="30" t="inlineStr">
        <is>
          <t>SKU-089</t>
        </is>
      </c>
      <c r="C293" s="30" t="inlineStr">
        <is>
          <t>Retail</t>
        </is>
      </c>
      <c r="D293" s="22" t="n">
        <v>1</v>
      </c>
      <c r="E293" s="24" t="n">
        <v>3.22</v>
      </c>
      <c r="F293" s="24" t="n">
        <v>0.42</v>
      </c>
      <c r="G293" s="35">
        <f>D293*E293</f>
        <v/>
      </c>
      <c r="H293" s="35">
        <f>D293*VLOOKUP(B293,Inventory!$A$5:$J$104,10,FALSE)</f>
        <v/>
      </c>
      <c r="I293" s="35">
        <f>G293-F293-H293</f>
        <v/>
      </c>
      <c r="J293" s="30" t="inlineStr">
        <is>
          <t>Order batch 3</t>
        </is>
      </c>
    </row>
    <row r="294">
      <c r="A294" s="34" t="n">
        <v>46083</v>
      </c>
      <c r="B294" s="30" t="inlineStr">
        <is>
          <t>SKU-090</t>
        </is>
      </c>
      <c r="C294" s="30" t="inlineStr">
        <is>
          <t>Wholesale</t>
        </is>
      </c>
      <c r="D294" s="22" t="n">
        <v>2</v>
      </c>
      <c r="E294" s="24" t="n">
        <v>3.8</v>
      </c>
      <c r="F294" s="24" t="n">
        <v>0.49</v>
      </c>
      <c r="G294" s="35">
        <f>D294*E294</f>
        <v/>
      </c>
      <c r="H294" s="35">
        <f>D294*VLOOKUP(B294,Inventory!$A$5:$J$104,10,FALSE)</f>
        <v/>
      </c>
      <c r="I294" s="35">
        <f>G294-F294-H294</f>
        <v/>
      </c>
      <c r="J294" s="30" t="inlineStr">
        <is>
          <t>Order batch 3</t>
        </is>
      </c>
    </row>
    <row r="295">
      <c r="A295" s="34" t="n">
        <v>46084</v>
      </c>
      <c r="B295" s="30" t="inlineStr">
        <is>
          <t>SKU-091</t>
        </is>
      </c>
      <c r="C295" s="30" t="inlineStr">
        <is>
          <t>Etsy</t>
        </is>
      </c>
      <c r="D295" s="22" t="n">
        <v>3</v>
      </c>
      <c r="E295" s="24" t="n">
        <v>9.289999999999999</v>
      </c>
      <c r="F295" s="24" t="n">
        <v>1.21</v>
      </c>
      <c r="G295" s="35">
        <f>D295*E295</f>
        <v/>
      </c>
      <c r="H295" s="35">
        <f>D295*VLOOKUP(B295,Inventory!$A$5:$J$104,10,FALSE)</f>
        <v/>
      </c>
      <c r="I295" s="35">
        <f>G295-F295-H295</f>
        <v/>
      </c>
      <c r="J295" s="30" t="inlineStr">
        <is>
          <t>Order batch 3</t>
        </is>
      </c>
    </row>
    <row r="296">
      <c r="A296" s="34" t="n">
        <v>46084</v>
      </c>
      <c r="B296" s="30" t="inlineStr">
        <is>
          <t>SKU-092</t>
        </is>
      </c>
      <c r="C296" s="30" t="inlineStr">
        <is>
          <t>Shop</t>
        </is>
      </c>
      <c r="D296" s="22" t="n">
        <v>1</v>
      </c>
      <c r="E296" s="24" t="n">
        <v>10.06</v>
      </c>
      <c r="F296" s="24" t="n">
        <v>1.31</v>
      </c>
      <c r="G296" s="35">
        <f>D296*E296</f>
        <v/>
      </c>
      <c r="H296" s="35">
        <f>D296*VLOOKUP(B296,Inventory!$A$5:$J$104,10,FALSE)</f>
        <v/>
      </c>
      <c r="I296" s="35">
        <f>G296-F296-H296</f>
        <v/>
      </c>
      <c r="J296" s="30" t="inlineStr">
        <is>
          <t>Order batch 3</t>
        </is>
      </c>
    </row>
    <row r="297">
      <c r="A297" s="34" t="n">
        <v>46084</v>
      </c>
      <c r="B297" s="30" t="inlineStr">
        <is>
          <t>SKU-093</t>
        </is>
      </c>
      <c r="C297" s="30" t="inlineStr">
        <is>
          <t>Market</t>
        </is>
      </c>
      <c r="D297" s="22" t="n">
        <v>2</v>
      </c>
      <c r="E297" s="24" t="n">
        <v>10.86</v>
      </c>
      <c r="F297" s="24" t="n">
        <v>1.41</v>
      </c>
      <c r="G297" s="35">
        <f>D297*E297</f>
        <v/>
      </c>
      <c r="H297" s="35">
        <f>D297*VLOOKUP(B297,Inventory!$A$5:$J$104,10,FALSE)</f>
        <v/>
      </c>
      <c r="I297" s="35">
        <f>G297-F297-H297</f>
        <v/>
      </c>
      <c r="J297" s="30" t="inlineStr">
        <is>
          <t>Order batch 3</t>
        </is>
      </c>
    </row>
    <row r="298">
      <c r="A298" s="34" t="n">
        <v>46084</v>
      </c>
      <c r="B298" s="30" t="inlineStr">
        <is>
          <t>SKU-094</t>
        </is>
      </c>
      <c r="C298" s="30" t="inlineStr">
        <is>
          <t>Retail</t>
        </is>
      </c>
      <c r="D298" s="22" t="n">
        <v>3</v>
      </c>
      <c r="E298" s="24" t="n">
        <v>11.68</v>
      </c>
      <c r="F298" s="24" t="n">
        <v>1.52</v>
      </c>
      <c r="G298" s="35">
        <f>D298*E298</f>
        <v/>
      </c>
      <c r="H298" s="35">
        <f>D298*VLOOKUP(B298,Inventory!$A$5:$J$104,10,FALSE)</f>
        <v/>
      </c>
      <c r="I298" s="35">
        <f>G298-F298-H298</f>
        <v/>
      </c>
      <c r="J298" s="30" t="inlineStr">
        <is>
          <t>Order batch 3</t>
        </is>
      </c>
    </row>
    <row r="299">
      <c r="A299" s="34" t="n">
        <v>46084</v>
      </c>
      <c r="B299" s="30" t="inlineStr">
        <is>
          <t>SKU-095</t>
        </is>
      </c>
      <c r="C299" s="30" t="inlineStr">
        <is>
          <t>Wholesale</t>
        </is>
      </c>
      <c r="D299" s="22" t="n">
        <v>1</v>
      </c>
      <c r="E299" s="24" t="n">
        <v>10.7</v>
      </c>
      <c r="F299" s="24" t="n">
        <v>1.39</v>
      </c>
      <c r="G299" s="35">
        <f>D299*E299</f>
        <v/>
      </c>
      <c r="H299" s="35">
        <f>D299*VLOOKUP(B299,Inventory!$A$5:$J$104,10,FALSE)</f>
        <v/>
      </c>
      <c r="I299" s="35">
        <f>G299-F299-H299</f>
        <v/>
      </c>
      <c r="J299" s="30" t="inlineStr">
        <is>
          <t>Order batch 3</t>
        </is>
      </c>
    </row>
    <row r="300">
      <c r="A300" s="34" t="n">
        <v>46085</v>
      </c>
      <c r="B300" s="30" t="inlineStr">
        <is>
          <t>SKU-096</t>
        </is>
      </c>
      <c r="C300" s="30" t="inlineStr">
        <is>
          <t>Etsy</t>
        </is>
      </c>
      <c r="D300" s="22" t="n">
        <v>2</v>
      </c>
      <c r="E300" s="24" t="n">
        <v>6.31</v>
      </c>
      <c r="F300" s="24" t="n">
        <v>0.82</v>
      </c>
      <c r="G300" s="35">
        <f>D300*E300</f>
        <v/>
      </c>
      <c r="H300" s="35">
        <f>D300*VLOOKUP(B300,Inventory!$A$5:$J$104,10,FALSE)</f>
        <v/>
      </c>
      <c r="I300" s="35">
        <f>G300-F300-H300</f>
        <v/>
      </c>
      <c r="J300" s="30" t="inlineStr">
        <is>
          <t>Order batch 3</t>
        </is>
      </c>
    </row>
    <row r="301">
      <c r="A301" s="34" t="n">
        <v>46085</v>
      </c>
      <c r="B301" s="30" t="inlineStr">
        <is>
          <t>SKU-097</t>
        </is>
      </c>
      <c r="C301" s="30" t="inlineStr">
        <is>
          <t>Shop</t>
        </is>
      </c>
      <c r="D301" s="22" t="n">
        <v>3</v>
      </c>
      <c r="E301" s="24" t="n">
        <v>6.99</v>
      </c>
      <c r="F301" s="24" t="n">
        <v>0.91</v>
      </c>
      <c r="G301" s="35">
        <f>D301*E301</f>
        <v/>
      </c>
      <c r="H301" s="35">
        <f>D301*VLOOKUP(B301,Inventory!$A$5:$J$104,10,FALSE)</f>
        <v/>
      </c>
      <c r="I301" s="35">
        <f>G301-F301-H301</f>
        <v/>
      </c>
      <c r="J301" s="30" t="inlineStr">
        <is>
          <t>Order batch 3</t>
        </is>
      </c>
    </row>
    <row r="302">
      <c r="A302" s="34" t="n">
        <v>46085</v>
      </c>
      <c r="B302" s="30" t="inlineStr">
        <is>
          <t>SKU-098</t>
        </is>
      </c>
      <c r="C302" s="30" t="inlineStr">
        <is>
          <t>Market</t>
        </is>
      </c>
      <c r="D302" s="22" t="n">
        <v>1</v>
      </c>
      <c r="E302" s="24" t="n">
        <v>7.69</v>
      </c>
      <c r="F302" s="24" t="n">
        <v>1</v>
      </c>
      <c r="G302" s="35">
        <f>D302*E302</f>
        <v/>
      </c>
      <c r="H302" s="35">
        <f>D302*VLOOKUP(B302,Inventory!$A$5:$J$104,10,FALSE)</f>
        <v/>
      </c>
      <c r="I302" s="35">
        <f>G302-F302-H302</f>
        <v/>
      </c>
      <c r="J302" s="30" t="inlineStr">
        <is>
          <t>Order batch 3</t>
        </is>
      </c>
    </row>
    <row r="303">
      <c r="A303" s="34" t="n">
        <v>46085</v>
      </c>
      <c r="B303" s="30" t="inlineStr">
        <is>
          <t>SKU-099</t>
        </is>
      </c>
      <c r="C303" s="30" t="inlineStr">
        <is>
          <t>Retail</t>
        </is>
      </c>
      <c r="D303" s="22" t="n">
        <v>2</v>
      </c>
      <c r="E303" s="24" t="n">
        <v>8.42</v>
      </c>
      <c r="F303" s="24" t="n">
        <v>1.09</v>
      </c>
      <c r="G303" s="35">
        <f>D303*E303</f>
        <v/>
      </c>
      <c r="H303" s="35">
        <f>D303*VLOOKUP(B303,Inventory!$A$5:$J$104,10,FALSE)</f>
        <v/>
      </c>
      <c r="I303" s="35">
        <f>G303-F303-H303</f>
        <v/>
      </c>
      <c r="J303" s="30" t="inlineStr">
        <is>
          <t>Order batch 3</t>
        </is>
      </c>
    </row>
    <row r="304">
      <c r="A304" s="34" t="n">
        <v>46085</v>
      </c>
      <c r="B304" s="30" t="inlineStr">
        <is>
          <t>SKU-100</t>
        </is>
      </c>
      <c r="C304" s="30" t="inlineStr">
        <is>
          <t>Wholesale</t>
        </is>
      </c>
      <c r="D304" s="22" t="n">
        <v>3</v>
      </c>
      <c r="E304" s="24" t="n">
        <v>9.18</v>
      </c>
      <c r="F304" s="24" t="n">
        <v>1.19</v>
      </c>
      <c r="G304" s="35">
        <f>D304*E304</f>
        <v/>
      </c>
      <c r="H304" s="35">
        <f>D304*VLOOKUP(B304,Inventory!$A$5:$J$104,10,FALSE)</f>
        <v/>
      </c>
      <c r="I304" s="35">
        <f>G304-F304-H304</f>
        <v/>
      </c>
      <c r="J304" s="30" t="inlineStr">
        <is>
          <t>Order batch 3</t>
        </is>
      </c>
    </row>
    <row r="305">
      <c r="A305" s="34" t="n">
        <v>46086</v>
      </c>
      <c r="B305" s="30" t="inlineStr">
        <is>
          <t>SKU-001</t>
        </is>
      </c>
      <c r="C305" s="30" t="inlineStr">
        <is>
          <t>Etsy</t>
        </is>
      </c>
      <c r="D305" s="22" t="n">
        <v>4</v>
      </c>
      <c r="E305" s="24" t="n">
        <v>2.66</v>
      </c>
      <c r="F305" s="24" t="n">
        <v>0.35</v>
      </c>
      <c r="G305" s="35">
        <f>D305*E305</f>
        <v/>
      </c>
      <c r="H305" s="35">
        <f>D305*VLOOKUP(B305,Inventory!$A$5:$J$104,10,FALSE)</f>
        <v/>
      </c>
      <c r="I305" s="35">
        <f>G305-F305-H305</f>
        <v/>
      </c>
      <c r="J305" s="30" t="inlineStr">
        <is>
          <t>Order batch 4</t>
        </is>
      </c>
    </row>
    <row r="306">
      <c r="A306" s="34" t="n">
        <v>46086</v>
      </c>
      <c r="B306" s="30" t="inlineStr">
        <is>
          <t>SKU-002</t>
        </is>
      </c>
      <c r="C306" s="30" t="inlineStr">
        <is>
          <t>Shop</t>
        </is>
      </c>
      <c r="D306" s="22" t="n">
        <v>5</v>
      </c>
      <c r="E306" s="24" t="n">
        <v>3.23</v>
      </c>
      <c r="F306" s="24" t="n">
        <v>0.42</v>
      </c>
      <c r="G306" s="35">
        <f>D306*E306</f>
        <v/>
      </c>
      <c r="H306" s="35">
        <f>D306*VLOOKUP(B306,Inventory!$A$5:$J$104,10,FALSE)</f>
        <v/>
      </c>
      <c r="I306" s="35">
        <f>G306-F306-H306</f>
        <v/>
      </c>
      <c r="J306" s="30" t="inlineStr">
        <is>
          <t>Order batch 4</t>
        </is>
      </c>
    </row>
    <row r="307">
      <c r="A307" s="34" t="n">
        <v>46086</v>
      </c>
      <c r="B307" s="30" t="inlineStr">
        <is>
          <t>SKU-003</t>
        </is>
      </c>
      <c r="C307" s="30" t="inlineStr">
        <is>
          <t>Market</t>
        </is>
      </c>
      <c r="D307" s="22" t="n">
        <v>4</v>
      </c>
      <c r="E307" s="24" t="n">
        <v>3.82</v>
      </c>
      <c r="F307" s="24" t="n">
        <v>0.5</v>
      </c>
      <c r="G307" s="35">
        <f>D307*E307</f>
        <v/>
      </c>
      <c r="H307" s="35">
        <f>D307*VLOOKUP(B307,Inventory!$A$5:$J$104,10,FALSE)</f>
        <v/>
      </c>
      <c r="I307" s="35">
        <f>G307-F307-H307</f>
        <v/>
      </c>
      <c r="J307" s="30" t="inlineStr">
        <is>
          <t>Order batch 4</t>
        </is>
      </c>
    </row>
    <row r="308">
      <c r="A308" s="34" t="n">
        <v>46086</v>
      </c>
      <c r="B308" s="30" t="inlineStr">
        <is>
          <t>SKU-004</t>
        </is>
      </c>
      <c r="C308" s="30" t="inlineStr">
        <is>
          <t>Retail</t>
        </is>
      </c>
      <c r="D308" s="22" t="n">
        <v>5</v>
      </c>
      <c r="E308" s="24" t="n">
        <v>4.44</v>
      </c>
      <c r="F308" s="24" t="n">
        <v>0.58</v>
      </c>
      <c r="G308" s="35">
        <f>D308*E308</f>
        <v/>
      </c>
      <c r="H308" s="35">
        <f>D308*VLOOKUP(B308,Inventory!$A$5:$J$104,10,FALSE)</f>
        <v/>
      </c>
      <c r="I308" s="35">
        <f>G308-F308-H308</f>
        <v/>
      </c>
      <c r="J308" s="30" t="inlineStr">
        <is>
          <t>Order batch 4</t>
        </is>
      </c>
    </row>
    <row r="309">
      <c r="A309" s="34" t="n">
        <v>46086</v>
      </c>
      <c r="B309" s="30" t="inlineStr">
        <is>
          <t>SKU-005</t>
        </is>
      </c>
      <c r="C309" s="30" t="inlineStr">
        <is>
          <t>Wholesale</t>
        </is>
      </c>
      <c r="D309" s="22" t="n">
        <v>3</v>
      </c>
      <c r="E309" s="24" t="n">
        <v>5.09</v>
      </c>
      <c r="F309" s="24" t="n">
        <v>0.66</v>
      </c>
      <c r="G309" s="35">
        <f>D309*E309</f>
        <v/>
      </c>
      <c r="H309" s="35">
        <f>D309*VLOOKUP(B309,Inventory!$A$5:$J$104,10,FALSE)</f>
        <v/>
      </c>
      <c r="I309" s="35">
        <f>G309-F309-H309</f>
        <v/>
      </c>
      <c r="J309" s="30" t="inlineStr">
        <is>
          <t>Order batch 4</t>
        </is>
      </c>
    </row>
    <row r="310">
      <c r="A310" s="34" t="n">
        <v>46087</v>
      </c>
      <c r="B310" s="30" t="inlineStr">
        <is>
          <t>SKU-006</t>
        </is>
      </c>
      <c r="C310" s="30" t="inlineStr">
        <is>
          <t>Etsy</t>
        </is>
      </c>
      <c r="D310" s="22" t="n">
        <v>4</v>
      </c>
      <c r="E310" s="24" t="n">
        <v>6.72</v>
      </c>
      <c r="F310" s="24" t="n">
        <v>0.87</v>
      </c>
      <c r="G310" s="35">
        <f>D310*E310</f>
        <v/>
      </c>
      <c r="H310" s="35">
        <f>D310*VLOOKUP(B310,Inventory!$A$5:$J$104,10,FALSE)</f>
        <v/>
      </c>
      <c r="I310" s="35">
        <f>G310-F310-H310</f>
        <v/>
      </c>
      <c r="J310" s="30" t="inlineStr">
        <is>
          <t>Order batch 4</t>
        </is>
      </c>
    </row>
    <row r="311">
      <c r="A311" s="34" t="n">
        <v>46087</v>
      </c>
      <c r="B311" s="30" t="inlineStr">
        <is>
          <t>SKU-007</t>
        </is>
      </c>
      <c r="C311" s="30" t="inlineStr">
        <is>
          <t>Shop</t>
        </is>
      </c>
      <c r="D311" s="22" t="n">
        <v>3</v>
      </c>
      <c r="E311" s="24" t="n">
        <v>6.36</v>
      </c>
      <c r="F311" s="24" t="n">
        <v>0.83</v>
      </c>
      <c r="G311" s="35">
        <f>D311*E311</f>
        <v/>
      </c>
      <c r="H311" s="35">
        <f>D311*VLOOKUP(B311,Inventory!$A$5:$J$104,10,FALSE)</f>
        <v/>
      </c>
      <c r="I311" s="35">
        <f>G311-F311-H311</f>
        <v/>
      </c>
      <c r="J311" s="30" t="inlineStr">
        <is>
          <t>Order batch 4</t>
        </is>
      </c>
    </row>
    <row r="312">
      <c r="A312" s="34" t="n">
        <v>46087</v>
      </c>
      <c r="B312" s="30" t="inlineStr">
        <is>
          <t>SKU-008</t>
        </is>
      </c>
      <c r="C312" s="30" t="inlineStr">
        <is>
          <t>Market</t>
        </is>
      </c>
      <c r="D312" s="22" t="n">
        <v>4</v>
      </c>
      <c r="E312" s="24" t="n">
        <v>7.03</v>
      </c>
      <c r="F312" s="24" t="n">
        <v>0.91</v>
      </c>
      <c r="G312" s="35">
        <f>D312*E312</f>
        <v/>
      </c>
      <c r="H312" s="35">
        <f>D312*VLOOKUP(B312,Inventory!$A$5:$J$104,10,FALSE)</f>
        <v/>
      </c>
      <c r="I312" s="35">
        <f>G312-F312-H312</f>
        <v/>
      </c>
      <c r="J312" s="30" t="inlineStr">
        <is>
          <t>Order batch 4</t>
        </is>
      </c>
    </row>
    <row r="313">
      <c r="A313" s="34" t="n">
        <v>46087</v>
      </c>
      <c r="B313" s="30" t="inlineStr">
        <is>
          <t>SKU-009</t>
        </is>
      </c>
      <c r="C313" s="30" t="inlineStr">
        <is>
          <t>Retail</t>
        </is>
      </c>
      <c r="D313" s="22" t="n">
        <v>3</v>
      </c>
      <c r="E313" s="24" t="n">
        <v>7.73</v>
      </c>
      <c r="F313" s="24" t="n">
        <v>1</v>
      </c>
      <c r="G313" s="35">
        <f>D313*E313</f>
        <v/>
      </c>
      <c r="H313" s="35">
        <f>D313*VLOOKUP(B313,Inventory!$A$5:$J$104,10,FALSE)</f>
        <v/>
      </c>
      <c r="I313" s="35">
        <f>G313-F313-H313</f>
        <v/>
      </c>
      <c r="J313" s="30" t="inlineStr">
        <is>
          <t>Order batch 4</t>
        </is>
      </c>
    </row>
    <row r="314">
      <c r="A314" s="34" t="n">
        <v>46087</v>
      </c>
      <c r="B314" s="30" t="inlineStr">
        <is>
          <t>SKU-010</t>
        </is>
      </c>
      <c r="C314" s="30" t="inlineStr">
        <is>
          <t>Wholesale</t>
        </is>
      </c>
      <c r="D314" s="22" t="n">
        <v>4</v>
      </c>
      <c r="E314" s="24" t="n">
        <v>8.449999999999999</v>
      </c>
      <c r="F314" s="24" t="n">
        <v>1.1</v>
      </c>
      <c r="G314" s="35">
        <f>D314*E314</f>
        <v/>
      </c>
      <c r="H314" s="35">
        <f>D314*VLOOKUP(B314,Inventory!$A$5:$J$104,10,FALSE)</f>
        <v/>
      </c>
      <c r="I314" s="35">
        <f>G314-F314-H314</f>
        <v/>
      </c>
      <c r="J314" s="30" t="inlineStr">
        <is>
          <t>Order batch 4</t>
        </is>
      </c>
    </row>
    <row r="315">
      <c r="A315" s="34" t="n">
        <v>46088</v>
      </c>
      <c r="B315" s="30" t="inlineStr">
        <is>
          <t>SKU-011</t>
        </is>
      </c>
      <c r="C315" s="30" t="inlineStr">
        <is>
          <t>Etsy</t>
        </is>
      </c>
      <c r="D315" s="22" t="n">
        <v>2</v>
      </c>
      <c r="E315" s="24" t="n">
        <v>3.9</v>
      </c>
      <c r="F315" s="24" t="n">
        <v>0.51</v>
      </c>
      <c r="G315" s="35">
        <f>D315*E315</f>
        <v/>
      </c>
      <c r="H315" s="35">
        <f>D315*VLOOKUP(B315,Inventory!$A$5:$J$104,10,FALSE)</f>
        <v/>
      </c>
      <c r="I315" s="35">
        <f>G315-F315-H315</f>
        <v/>
      </c>
      <c r="J315" s="30" t="inlineStr">
        <is>
          <t>Order batch 4</t>
        </is>
      </c>
    </row>
    <row r="316">
      <c r="A316" s="34" t="n">
        <v>46088</v>
      </c>
      <c r="B316" s="30" t="inlineStr">
        <is>
          <t>SKU-012</t>
        </is>
      </c>
      <c r="C316" s="30" t="inlineStr">
        <is>
          <t>Shop</t>
        </is>
      </c>
      <c r="D316" s="22" t="n">
        <v>3</v>
      </c>
      <c r="E316" s="24" t="n">
        <v>4.54</v>
      </c>
      <c r="F316" s="24" t="n">
        <v>0.59</v>
      </c>
      <c r="G316" s="35">
        <f>D316*E316</f>
        <v/>
      </c>
      <c r="H316" s="35">
        <f>D316*VLOOKUP(B316,Inventory!$A$5:$J$104,10,FALSE)</f>
        <v/>
      </c>
      <c r="I316" s="35">
        <f>G316-F316-H316</f>
        <v/>
      </c>
      <c r="J316" s="30" t="inlineStr">
        <is>
          <t>Order batch 4</t>
        </is>
      </c>
    </row>
    <row r="317">
      <c r="A317" s="34" t="n">
        <v>46088</v>
      </c>
      <c r="B317" s="30" t="inlineStr">
        <is>
          <t>SKU-013</t>
        </is>
      </c>
      <c r="C317" s="30" t="inlineStr">
        <is>
          <t>Market</t>
        </is>
      </c>
      <c r="D317" s="22" t="n">
        <v>1</v>
      </c>
      <c r="E317" s="24" t="n">
        <v>4.45</v>
      </c>
      <c r="F317" s="24" t="n">
        <v>0.58</v>
      </c>
      <c r="G317" s="35">
        <f>D317*E317</f>
        <v/>
      </c>
      <c r="H317" s="35">
        <f>D317*VLOOKUP(B317,Inventory!$A$5:$J$104,10,FALSE)</f>
        <v/>
      </c>
      <c r="I317" s="35">
        <f>G317-F317-H317</f>
        <v/>
      </c>
      <c r="J317" s="30" t="inlineStr">
        <is>
          <t>Order batch 4</t>
        </is>
      </c>
    </row>
    <row r="318">
      <c r="A318" s="34" t="n">
        <v>46088</v>
      </c>
      <c r="B318" s="30" t="inlineStr">
        <is>
          <t>SKU-014</t>
        </is>
      </c>
      <c r="C318" s="30" t="inlineStr">
        <is>
          <t>Retail</t>
        </is>
      </c>
      <c r="D318" s="22" t="n">
        <v>2</v>
      </c>
      <c r="E318" s="24" t="n">
        <v>5.07</v>
      </c>
      <c r="F318" s="24" t="n">
        <v>0.66</v>
      </c>
      <c r="G318" s="35">
        <f>D318*E318</f>
        <v/>
      </c>
      <c r="H318" s="35">
        <f>D318*VLOOKUP(B318,Inventory!$A$5:$J$104,10,FALSE)</f>
        <v/>
      </c>
      <c r="I318" s="35">
        <f>G318-F318-H318</f>
        <v/>
      </c>
      <c r="J318" s="30" t="inlineStr">
        <is>
          <t>Order batch 4</t>
        </is>
      </c>
    </row>
    <row r="319">
      <c r="A319" s="34" t="n">
        <v>46088</v>
      </c>
      <c r="B319" s="30" t="inlineStr">
        <is>
          <t>SKU-015</t>
        </is>
      </c>
      <c r="C319" s="30" t="inlineStr">
        <is>
          <t>Wholesale</t>
        </is>
      </c>
      <c r="D319" s="22" t="n">
        <v>3</v>
      </c>
      <c r="E319" s="24" t="n">
        <v>5.71</v>
      </c>
      <c r="F319" s="24" t="n">
        <v>0.74</v>
      </c>
      <c r="G319" s="35">
        <f>D319*E319</f>
        <v/>
      </c>
      <c r="H319" s="35">
        <f>D319*VLOOKUP(B319,Inventory!$A$5:$J$104,10,FALSE)</f>
        <v/>
      </c>
      <c r="I319" s="35">
        <f>G319-F319-H319</f>
        <v/>
      </c>
      <c r="J319" s="30" t="inlineStr">
        <is>
          <t>Order batch 4</t>
        </is>
      </c>
    </row>
    <row r="320">
      <c r="A320" s="34" t="n">
        <v>46089</v>
      </c>
      <c r="B320" s="30" t="inlineStr">
        <is>
          <t>SKU-016</t>
        </is>
      </c>
      <c r="C320" s="30" t="inlineStr">
        <is>
          <t>Etsy</t>
        </is>
      </c>
      <c r="D320" s="22" t="n">
        <v>1</v>
      </c>
      <c r="E320" s="24" t="n">
        <v>0.67</v>
      </c>
      <c r="F320" s="24" t="n">
        <v>0.09</v>
      </c>
      <c r="G320" s="35">
        <f>D320*E320</f>
        <v/>
      </c>
      <c r="H320" s="35">
        <f>D320*VLOOKUP(B320,Inventory!$A$5:$J$104,10,FALSE)</f>
        <v/>
      </c>
      <c r="I320" s="35">
        <f>G320-F320-H320</f>
        <v/>
      </c>
      <c r="J320" s="30" t="inlineStr">
        <is>
          <t>Order batch 4</t>
        </is>
      </c>
    </row>
    <row r="321">
      <c r="A321" s="34" t="n">
        <v>46089</v>
      </c>
      <c r="B321" s="30" t="inlineStr">
        <is>
          <t>SKU-017</t>
        </is>
      </c>
      <c r="C321" s="30" t="inlineStr">
        <is>
          <t>Shop</t>
        </is>
      </c>
      <c r="D321" s="22" t="n">
        <v>2</v>
      </c>
      <c r="E321" s="24" t="n">
        <v>1.22</v>
      </c>
      <c r="F321" s="24" t="n">
        <v>0.16</v>
      </c>
      <c r="G321" s="35">
        <f>D321*E321</f>
        <v/>
      </c>
      <c r="H321" s="35">
        <f>D321*VLOOKUP(B321,Inventory!$A$5:$J$104,10,FALSE)</f>
        <v/>
      </c>
      <c r="I321" s="35">
        <f>G321-F321-H321</f>
        <v/>
      </c>
      <c r="J321" s="30" t="inlineStr">
        <is>
          <t>Order batch 4</t>
        </is>
      </c>
    </row>
    <row r="322">
      <c r="A322" s="34" t="n">
        <v>46089</v>
      </c>
      <c r="B322" s="30" t="inlineStr">
        <is>
          <t>SKU-018</t>
        </is>
      </c>
      <c r="C322" s="30" t="inlineStr">
        <is>
          <t>Market</t>
        </is>
      </c>
      <c r="D322" s="22" t="n">
        <v>3</v>
      </c>
      <c r="E322" s="24" t="n">
        <v>1.79</v>
      </c>
      <c r="F322" s="24" t="n">
        <v>0.23</v>
      </c>
      <c r="G322" s="35">
        <f>D322*E322</f>
        <v/>
      </c>
      <c r="H322" s="35">
        <f>D322*VLOOKUP(B322,Inventory!$A$5:$J$104,10,FALSE)</f>
        <v/>
      </c>
      <c r="I322" s="35">
        <f>G322-F322-H322</f>
        <v/>
      </c>
      <c r="J322" s="30" t="inlineStr">
        <is>
          <t>Order batch 4</t>
        </is>
      </c>
    </row>
    <row r="323">
      <c r="A323" s="34" t="n">
        <v>46089</v>
      </c>
      <c r="B323" s="30" t="inlineStr">
        <is>
          <t>SKU-019</t>
        </is>
      </c>
      <c r="C323" s="30" t="inlineStr">
        <is>
          <t>Retail</t>
        </is>
      </c>
      <c r="D323" s="22" t="n">
        <v>1</v>
      </c>
      <c r="E323" s="24" t="n">
        <v>2.04</v>
      </c>
      <c r="F323" s="24" t="n">
        <v>0.27</v>
      </c>
      <c r="G323" s="35">
        <f>D323*E323</f>
        <v/>
      </c>
      <c r="H323" s="35">
        <f>D323*VLOOKUP(B323,Inventory!$A$5:$J$104,10,FALSE)</f>
        <v/>
      </c>
      <c r="I323" s="35">
        <f>G323-F323-H323</f>
        <v/>
      </c>
      <c r="J323" s="30" t="inlineStr">
        <is>
          <t>Order batch 4</t>
        </is>
      </c>
    </row>
    <row r="324">
      <c r="A324" s="34" t="n">
        <v>46089</v>
      </c>
      <c r="B324" s="30" t="inlineStr">
        <is>
          <t>SKU-020</t>
        </is>
      </c>
      <c r="C324" s="30" t="inlineStr">
        <is>
          <t>Wholesale</t>
        </is>
      </c>
      <c r="D324" s="22" t="n">
        <v>2</v>
      </c>
      <c r="E324" s="24" t="n">
        <v>2.59</v>
      </c>
      <c r="F324" s="24" t="n">
        <v>0.34</v>
      </c>
      <c r="G324" s="35">
        <f>D324*E324</f>
        <v/>
      </c>
      <c r="H324" s="35">
        <f>D324*VLOOKUP(B324,Inventory!$A$5:$J$104,10,FALSE)</f>
        <v/>
      </c>
      <c r="I324" s="35">
        <f>G324-F324-H324</f>
        <v/>
      </c>
      <c r="J324" s="30" t="inlineStr">
        <is>
          <t>Order batch 4</t>
        </is>
      </c>
    </row>
    <row r="325">
      <c r="A325" s="34" t="n">
        <v>46090</v>
      </c>
      <c r="B325" s="30" t="inlineStr">
        <is>
          <t>SKU-021</t>
        </is>
      </c>
      <c r="C325" s="30" t="inlineStr">
        <is>
          <t>Etsy</t>
        </is>
      </c>
      <c r="D325" s="22" t="n">
        <v>3</v>
      </c>
      <c r="E325" s="24" t="n">
        <v>9.18</v>
      </c>
      <c r="F325" s="24" t="n">
        <v>1.19</v>
      </c>
      <c r="G325" s="35">
        <f>D325*E325</f>
        <v/>
      </c>
      <c r="H325" s="35">
        <f>D325*VLOOKUP(B325,Inventory!$A$5:$J$104,10,FALSE)</f>
        <v/>
      </c>
      <c r="I325" s="35">
        <f>G325-F325-H325</f>
        <v/>
      </c>
      <c r="J325" s="30" t="inlineStr">
        <is>
          <t>Order batch 4</t>
        </is>
      </c>
    </row>
    <row r="326">
      <c r="A326" s="34" t="n">
        <v>46090</v>
      </c>
      <c r="B326" s="30" t="inlineStr">
        <is>
          <t>SKU-022</t>
        </is>
      </c>
      <c r="C326" s="30" t="inlineStr">
        <is>
          <t>Shop</t>
        </is>
      </c>
      <c r="D326" s="22" t="n">
        <v>1</v>
      </c>
      <c r="E326" s="24" t="n">
        <v>9.94</v>
      </c>
      <c r="F326" s="24" t="n">
        <v>1.29</v>
      </c>
      <c r="G326" s="35">
        <f>D326*E326</f>
        <v/>
      </c>
      <c r="H326" s="35">
        <f>D326*VLOOKUP(B326,Inventory!$A$5:$J$104,10,FALSE)</f>
        <v/>
      </c>
      <c r="I326" s="35">
        <f>G326-F326-H326</f>
        <v/>
      </c>
      <c r="J326" s="30" t="inlineStr">
        <is>
          <t>Order batch 4</t>
        </is>
      </c>
    </row>
    <row r="327">
      <c r="A327" s="34" t="n">
        <v>46090</v>
      </c>
      <c r="B327" s="30" t="inlineStr">
        <is>
          <t>SKU-023</t>
        </is>
      </c>
      <c r="C327" s="30" t="inlineStr">
        <is>
          <t>Market</t>
        </is>
      </c>
      <c r="D327" s="22" t="n">
        <v>2</v>
      </c>
      <c r="E327" s="24" t="n">
        <v>10.73</v>
      </c>
      <c r="F327" s="24" t="n">
        <v>1.39</v>
      </c>
      <c r="G327" s="35">
        <f>D327*E327</f>
        <v/>
      </c>
      <c r="H327" s="35">
        <f>D327*VLOOKUP(B327,Inventory!$A$5:$J$104,10,FALSE)</f>
        <v/>
      </c>
      <c r="I327" s="35">
        <f>G327-F327-H327</f>
        <v/>
      </c>
      <c r="J327" s="30" t="inlineStr">
        <is>
          <t>Order batch 4</t>
        </is>
      </c>
    </row>
    <row r="328">
      <c r="A328" s="34" t="n">
        <v>46090</v>
      </c>
      <c r="B328" s="30" t="inlineStr">
        <is>
          <t>SKU-024</t>
        </is>
      </c>
      <c r="C328" s="30" t="inlineStr">
        <is>
          <t>Retail</t>
        </is>
      </c>
      <c r="D328" s="22" t="n">
        <v>3</v>
      </c>
      <c r="E328" s="24" t="n">
        <v>11.55</v>
      </c>
      <c r="F328" s="24" t="n">
        <v>1.5</v>
      </c>
      <c r="G328" s="35">
        <f>D328*E328</f>
        <v/>
      </c>
      <c r="H328" s="35">
        <f>D328*VLOOKUP(B328,Inventory!$A$5:$J$104,10,FALSE)</f>
        <v/>
      </c>
      <c r="I328" s="35">
        <f>G328-F328-H328</f>
        <v/>
      </c>
      <c r="J328" s="30" t="inlineStr">
        <is>
          <t>Order batch 4</t>
        </is>
      </c>
    </row>
    <row r="329">
      <c r="A329" s="34" t="n">
        <v>46090</v>
      </c>
      <c r="B329" s="30" t="inlineStr">
        <is>
          <t>SKU-025</t>
        </is>
      </c>
      <c r="C329" s="30" t="inlineStr">
        <is>
          <t>Wholesale</t>
        </is>
      </c>
      <c r="D329" s="22" t="n">
        <v>1</v>
      </c>
      <c r="E329" s="24" t="n">
        <v>10.58</v>
      </c>
      <c r="F329" s="24" t="n">
        <v>1.38</v>
      </c>
      <c r="G329" s="35">
        <f>D329*E329</f>
        <v/>
      </c>
      <c r="H329" s="35">
        <f>D329*VLOOKUP(B329,Inventory!$A$5:$J$104,10,FALSE)</f>
        <v/>
      </c>
      <c r="I329" s="35">
        <f>G329-F329-H329</f>
        <v/>
      </c>
      <c r="J329" s="30" t="inlineStr">
        <is>
          <t>Order batch 4</t>
        </is>
      </c>
    </row>
    <row r="330">
      <c r="A330" s="34" t="n">
        <v>46091</v>
      </c>
      <c r="B330" s="30" t="inlineStr">
        <is>
          <t>SKU-026</t>
        </is>
      </c>
      <c r="C330" s="30" t="inlineStr">
        <is>
          <t>Etsy</t>
        </is>
      </c>
      <c r="D330" s="22" t="n">
        <v>2</v>
      </c>
      <c r="E330" s="24" t="n">
        <v>1.61</v>
      </c>
      <c r="F330" s="24" t="n">
        <v>0.21</v>
      </c>
      <c r="G330" s="35">
        <f>D330*E330</f>
        <v/>
      </c>
      <c r="H330" s="35">
        <f>D330*VLOOKUP(B330,Inventory!$A$5:$J$104,10,FALSE)</f>
        <v/>
      </c>
      <c r="I330" s="35">
        <f>G330-F330-H330</f>
        <v/>
      </c>
      <c r="J330" s="30" t="inlineStr">
        <is>
          <t>Order batch 4</t>
        </is>
      </c>
    </row>
    <row r="331">
      <c r="A331" s="34" t="n">
        <v>46091</v>
      </c>
      <c r="B331" s="30" t="inlineStr">
        <is>
          <t>SKU-027</t>
        </is>
      </c>
      <c r="C331" s="30" t="inlineStr">
        <is>
          <t>Shop</t>
        </is>
      </c>
      <c r="D331" s="22" t="n">
        <v>3</v>
      </c>
      <c r="E331" s="24" t="n">
        <v>2.16</v>
      </c>
      <c r="F331" s="24" t="n">
        <v>0.28</v>
      </c>
      <c r="G331" s="35">
        <f>D331*E331</f>
        <v/>
      </c>
      <c r="H331" s="35">
        <f>D331*VLOOKUP(B331,Inventory!$A$5:$J$104,10,FALSE)</f>
        <v/>
      </c>
      <c r="I331" s="35">
        <f>G331-F331-H331</f>
        <v/>
      </c>
      <c r="J331" s="30" t="inlineStr">
        <is>
          <t>Order batch 4</t>
        </is>
      </c>
    </row>
    <row r="332">
      <c r="A332" s="34" t="n">
        <v>46091</v>
      </c>
      <c r="B332" s="30" t="inlineStr">
        <is>
          <t>SKU-028</t>
        </is>
      </c>
      <c r="C332" s="30" t="inlineStr">
        <is>
          <t>Market</t>
        </is>
      </c>
      <c r="D332" s="22" t="n">
        <v>1</v>
      </c>
      <c r="E332" s="24" t="n">
        <v>2.74</v>
      </c>
      <c r="F332" s="24" t="n">
        <v>0.36</v>
      </c>
      <c r="G332" s="35">
        <f>D332*E332</f>
        <v/>
      </c>
      <c r="H332" s="35">
        <f>D332*VLOOKUP(B332,Inventory!$A$5:$J$104,10,FALSE)</f>
        <v/>
      </c>
      <c r="I332" s="35">
        <f>G332-F332-H332</f>
        <v/>
      </c>
      <c r="J332" s="30" t="inlineStr">
        <is>
          <t>Order batch 4</t>
        </is>
      </c>
    </row>
    <row r="333">
      <c r="A333" s="34" t="n">
        <v>46091</v>
      </c>
      <c r="B333" s="30" t="inlineStr">
        <is>
          <t>SKU-029</t>
        </is>
      </c>
      <c r="C333" s="30" t="inlineStr">
        <is>
          <t>Retail</t>
        </is>
      </c>
      <c r="D333" s="22" t="n">
        <v>2</v>
      </c>
      <c r="E333" s="24" t="n">
        <v>3.34</v>
      </c>
      <c r="F333" s="24" t="n">
        <v>0.43</v>
      </c>
      <c r="G333" s="35">
        <f>D333*E333</f>
        <v/>
      </c>
      <c r="H333" s="35">
        <f>D333*VLOOKUP(B333,Inventory!$A$5:$J$104,10,FALSE)</f>
        <v/>
      </c>
      <c r="I333" s="35">
        <f>G333-F333-H333</f>
        <v/>
      </c>
      <c r="J333" s="30" t="inlineStr">
        <is>
          <t>Order batch 4</t>
        </is>
      </c>
    </row>
    <row r="334">
      <c r="A334" s="34" t="n">
        <v>46091</v>
      </c>
      <c r="B334" s="30" t="inlineStr">
        <is>
          <t>SKU-030</t>
        </is>
      </c>
      <c r="C334" s="30" t="inlineStr">
        <is>
          <t>Wholesale</t>
        </is>
      </c>
      <c r="D334" s="22" t="n">
        <v>3</v>
      </c>
      <c r="E334" s="24" t="n">
        <v>3.97</v>
      </c>
      <c r="F334" s="24" t="n">
        <v>0.52</v>
      </c>
      <c r="G334" s="35">
        <f>D334*E334</f>
        <v/>
      </c>
      <c r="H334" s="35">
        <f>D334*VLOOKUP(B334,Inventory!$A$5:$J$104,10,FALSE)</f>
        <v/>
      </c>
      <c r="I334" s="35">
        <f>G334-F334-H334</f>
        <v/>
      </c>
      <c r="J334" s="30" t="inlineStr">
        <is>
          <t>Order batch 4</t>
        </is>
      </c>
    </row>
    <row r="335">
      <c r="A335" s="34" t="n">
        <v>46092</v>
      </c>
      <c r="B335" s="30" t="inlineStr">
        <is>
          <t>SKU-031</t>
        </is>
      </c>
      <c r="C335" s="30" t="inlineStr">
        <is>
          <t>Etsy</t>
        </is>
      </c>
      <c r="D335" s="22" t="n">
        <v>1</v>
      </c>
      <c r="E335" s="24" t="n">
        <v>12.12</v>
      </c>
      <c r="F335" s="24" t="n">
        <v>1.58</v>
      </c>
      <c r="G335" s="35">
        <f>D335*E335</f>
        <v/>
      </c>
      <c r="H335" s="35">
        <f>D335*VLOOKUP(B335,Inventory!$A$5:$J$104,10,FALSE)</f>
        <v/>
      </c>
      <c r="I335" s="35">
        <f>G335-F335-H335</f>
        <v/>
      </c>
      <c r="J335" s="30" t="inlineStr">
        <is>
          <t>Order batch 4</t>
        </is>
      </c>
    </row>
    <row r="336">
      <c r="A336" s="34" t="n">
        <v>46092</v>
      </c>
      <c r="B336" s="30" t="inlineStr">
        <is>
          <t>SKU-032</t>
        </is>
      </c>
      <c r="C336" s="30" t="inlineStr">
        <is>
          <t>Shop</t>
        </is>
      </c>
      <c r="D336" s="22" t="n">
        <v>2</v>
      </c>
      <c r="E336" s="24" t="n">
        <v>12.96</v>
      </c>
      <c r="F336" s="24" t="n">
        <v>1.68</v>
      </c>
      <c r="G336" s="35">
        <f>D336*E336</f>
        <v/>
      </c>
      <c r="H336" s="35">
        <f>D336*VLOOKUP(B336,Inventory!$A$5:$J$104,10,FALSE)</f>
        <v/>
      </c>
      <c r="I336" s="35">
        <f>G336-F336-H336</f>
        <v/>
      </c>
      <c r="J336" s="30" t="inlineStr">
        <is>
          <t>Order batch 4</t>
        </is>
      </c>
    </row>
    <row r="337">
      <c r="A337" s="34" t="n">
        <v>46092</v>
      </c>
      <c r="B337" s="30" t="inlineStr">
        <is>
          <t>SKU-033</t>
        </is>
      </c>
      <c r="C337" s="30" t="inlineStr">
        <is>
          <t>Market</t>
        </is>
      </c>
      <c r="D337" s="22" t="n">
        <v>3</v>
      </c>
      <c r="E337" s="24" t="n">
        <v>13.82</v>
      </c>
      <c r="F337" s="24" t="n">
        <v>1.8</v>
      </c>
      <c r="G337" s="35">
        <f>D337*E337</f>
        <v/>
      </c>
      <c r="H337" s="35">
        <f>D337*VLOOKUP(B337,Inventory!$A$5:$J$104,10,FALSE)</f>
        <v/>
      </c>
      <c r="I337" s="35">
        <f>G337-F337-H337</f>
        <v/>
      </c>
      <c r="J337" s="30" t="inlineStr">
        <is>
          <t>Order batch 4</t>
        </is>
      </c>
    </row>
    <row r="338">
      <c r="A338" s="34" t="n">
        <v>46092</v>
      </c>
      <c r="B338" s="30" t="inlineStr">
        <is>
          <t>SKU-034</t>
        </is>
      </c>
      <c r="C338" s="30" t="inlineStr">
        <is>
          <t>Retail</t>
        </is>
      </c>
      <c r="D338" s="22" t="n">
        <v>1</v>
      </c>
      <c r="E338" s="24" t="n">
        <v>14.71</v>
      </c>
      <c r="F338" s="24" t="n">
        <v>1.91</v>
      </c>
      <c r="G338" s="35">
        <f>D338*E338</f>
        <v/>
      </c>
      <c r="H338" s="35">
        <f>D338*VLOOKUP(B338,Inventory!$A$5:$J$104,10,FALSE)</f>
        <v/>
      </c>
      <c r="I338" s="35">
        <f>G338-F338-H338</f>
        <v/>
      </c>
      <c r="J338" s="30" t="inlineStr">
        <is>
          <t>Order batch 4</t>
        </is>
      </c>
    </row>
    <row r="339">
      <c r="A339" s="34" t="n">
        <v>46092</v>
      </c>
      <c r="B339" s="30" t="inlineStr">
        <is>
          <t>SKU-035</t>
        </is>
      </c>
      <c r="C339" s="30" t="inlineStr">
        <is>
          <t>Wholesale</t>
        </is>
      </c>
      <c r="D339" s="22" t="n">
        <v>2</v>
      </c>
      <c r="E339" s="24" t="n">
        <v>15.63</v>
      </c>
      <c r="F339" s="24" t="n">
        <v>2.03</v>
      </c>
      <c r="G339" s="35">
        <f>D339*E339</f>
        <v/>
      </c>
      <c r="H339" s="35">
        <f>D339*VLOOKUP(B339,Inventory!$A$5:$J$104,10,FALSE)</f>
        <v/>
      </c>
      <c r="I339" s="35">
        <f>G339-F339-H339</f>
        <v/>
      </c>
      <c r="J339" s="30" t="inlineStr">
        <is>
          <t>Order batch 4</t>
        </is>
      </c>
    </row>
    <row r="340">
      <c r="A340" s="34" t="n">
        <v>46093</v>
      </c>
      <c r="B340" s="30" t="inlineStr">
        <is>
          <t>SKU-036</t>
        </is>
      </c>
      <c r="C340" s="30" t="inlineStr">
        <is>
          <t>Etsy</t>
        </is>
      </c>
      <c r="D340" s="22" t="n">
        <v>3</v>
      </c>
      <c r="E340" s="24" t="n">
        <v>6.02</v>
      </c>
      <c r="F340" s="24" t="n">
        <v>0.78</v>
      </c>
      <c r="G340" s="35">
        <f>D340*E340</f>
        <v/>
      </c>
      <c r="H340" s="35">
        <f>D340*VLOOKUP(B340,Inventory!$A$5:$J$104,10,FALSE)</f>
        <v/>
      </c>
      <c r="I340" s="35">
        <f>G340-F340-H340</f>
        <v/>
      </c>
      <c r="J340" s="30" t="inlineStr">
        <is>
          <t>Order batch 4</t>
        </is>
      </c>
    </row>
    <row r="341">
      <c r="A341" s="34" t="n">
        <v>46093</v>
      </c>
      <c r="B341" s="30" t="inlineStr">
        <is>
          <t>SKU-037</t>
        </is>
      </c>
      <c r="C341" s="30" t="inlineStr">
        <is>
          <t>Shop</t>
        </is>
      </c>
      <c r="D341" s="22" t="n">
        <v>1</v>
      </c>
      <c r="E341" s="24" t="n">
        <v>5.74</v>
      </c>
      <c r="F341" s="24" t="n">
        <v>0.75</v>
      </c>
      <c r="G341" s="35">
        <f>D341*E341</f>
        <v/>
      </c>
      <c r="H341" s="35">
        <f>D341*VLOOKUP(B341,Inventory!$A$5:$J$104,10,FALSE)</f>
        <v/>
      </c>
      <c r="I341" s="35">
        <f>G341-F341-H341</f>
        <v/>
      </c>
      <c r="J341" s="30" t="inlineStr">
        <is>
          <t>Order batch 4</t>
        </is>
      </c>
    </row>
    <row r="342">
      <c r="A342" s="34" t="n">
        <v>46093</v>
      </c>
      <c r="B342" s="30" t="inlineStr">
        <is>
          <t>SKU-038</t>
        </is>
      </c>
      <c r="C342" s="30" t="inlineStr">
        <is>
          <t>Market</t>
        </is>
      </c>
      <c r="D342" s="22" t="n">
        <v>2</v>
      </c>
      <c r="E342" s="24" t="n">
        <v>6.39</v>
      </c>
      <c r="F342" s="24" t="n">
        <v>0.83</v>
      </c>
      <c r="G342" s="35">
        <f>D342*E342</f>
        <v/>
      </c>
      <c r="H342" s="35">
        <f>D342*VLOOKUP(B342,Inventory!$A$5:$J$104,10,FALSE)</f>
        <v/>
      </c>
      <c r="I342" s="35">
        <f>G342-F342-H342</f>
        <v/>
      </c>
      <c r="J342" s="30" t="inlineStr">
        <is>
          <t>Order batch 4</t>
        </is>
      </c>
    </row>
    <row r="343">
      <c r="A343" s="34" t="n">
        <v>46093</v>
      </c>
      <c r="B343" s="30" t="inlineStr">
        <is>
          <t>SKU-039</t>
        </is>
      </c>
      <c r="C343" s="30" t="inlineStr">
        <is>
          <t>Retail</t>
        </is>
      </c>
      <c r="D343" s="22" t="n">
        <v>3</v>
      </c>
      <c r="E343" s="24" t="n">
        <v>7.07</v>
      </c>
      <c r="F343" s="24" t="n">
        <v>0.92</v>
      </c>
      <c r="G343" s="35">
        <f>D343*E343</f>
        <v/>
      </c>
      <c r="H343" s="35">
        <f>D343*VLOOKUP(B343,Inventory!$A$5:$J$104,10,FALSE)</f>
        <v/>
      </c>
      <c r="I343" s="35">
        <f>G343-F343-H343</f>
        <v/>
      </c>
      <c r="J343" s="30" t="inlineStr">
        <is>
          <t>Order batch 4</t>
        </is>
      </c>
    </row>
    <row r="344">
      <c r="A344" s="34" t="n">
        <v>46093</v>
      </c>
      <c r="B344" s="30" t="inlineStr">
        <is>
          <t>SKU-040</t>
        </is>
      </c>
      <c r="C344" s="30" t="inlineStr">
        <is>
          <t>Wholesale</t>
        </is>
      </c>
      <c r="D344" s="22" t="n">
        <v>1</v>
      </c>
      <c r="E344" s="24" t="n">
        <v>7.78</v>
      </c>
      <c r="F344" s="24" t="n">
        <v>1.01</v>
      </c>
      <c r="G344" s="35">
        <f>D344*E344</f>
        <v/>
      </c>
      <c r="H344" s="35">
        <f>D344*VLOOKUP(B344,Inventory!$A$5:$J$104,10,FALSE)</f>
        <v/>
      </c>
      <c r="I344" s="35">
        <f>G344-F344-H344</f>
        <v/>
      </c>
      <c r="J344" s="30" t="inlineStr">
        <is>
          <t>Order batch 4</t>
        </is>
      </c>
    </row>
    <row r="345">
      <c r="A345" s="34" t="n">
        <v>46094</v>
      </c>
      <c r="B345" s="30" t="inlineStr">
        <is>
          <t>SKU-041</t>
        </is>
      </c>
      <c r="C345" s="30" t="inlineStr">
        <is>
          <t>Etsy</t>
        </is>
      </c>
      <c r="D345" s="22" t="n">
        <v>2</v>
      </c>
      <c r="E345" s="24" t="n">
        <v>2.18</v>
      </c>
      <c r="F345" s="24" t="n">
        <v>0.28</v>
      </c>
      <c r="G345" s="35">
        <f>D345*E345</f>
        <v/>
      </c>
      <c r="H345" s="35">
        <f>D345*VLOOKUP(B345,Inventory!$A$5:$J$104,10,FALSE)</f>
        <v/>
      </c>
      <c r="I345" s="35">
        <f>G345-F345-H345</f>
        <v/>
      </c>
      <c r="J345" s="30" t="inlineStr">
        <is>
          <t>Order batch 4</t>
        </is>
      </c>
    </row>
    <row r="346">
      <c r="A346" s="34" t="n">
        <v>46094</v>
      </c>
      <c r="B346" s="30" t="inlineStr">
        <is>
          <t>SKU-042</t>
        </is>
      </c>
      <c r="C346" s="30" t="inlineStr">
        <is>
          <t>Shop</t>
        </is>
      </c>
      <c r="D346" s="22" t="n">
        <v>3</v>
      </c>
      <c r="E346" s="24" t="n">
        <v>2.78</v>
      </c>
      <c r="F346" s="24" t="n">
        <v>0.36</v>
      </c>
      <c r="G346" s="35">
        <f>D346*E346</f>
        <v/>
      </c>
      <c r="H346" s="35">
        <f>D346*VLOOKUP(B346,Inventory!$A$5:$J$104,10,FALSE)</f>
        <v/>
      </c>
      <c r="I346" s="35">
        <f>G346-F346-H346</f>
        <v/>
      </c>
      <c r="J346" s="30" t="inlineStr">
        <is>
          <t>Order batch 4</t>
        </is>
      </c>
    </row>
    <row r="347">
      <c r="A347" s="34" t="n">
        <v>46094</v>
      </c>
      <c r="B347" s="30" t="inlineStr">
        <is>
          <t>SKU-043</t>
        </is>
      </c>
      <c r="C347" s="30" t="inlineStr">
        <is>
          <t>Market</t>
        </is>
      </c>
      <c r="D347" s="22" t="n">
        <v>1</v>
      </c>
      <c r="E347" s="24" t="n">
        <v>2.91</v>
      </c>
      <c r="F347" s="24" t="n">
        <v>0.38</v>
      </c>
      <c r="G347" s="35">
        <f>D347*E347</f>
        <v/>
      </c>
      <c r="H347" s="35">
        <f>D347*VLOOKUP(B347,Inventory!$A$5:$J$104,10,FALSE)</f>
        <v/>
      </c>
      <c r="I347" s="35">
        <f>G347-F347-H347</f>
        <v/>
      </c>
      <c r="J347" s="30" t="inlineStr">
        <is>
          <t>Order batch 4</t>
        </is>
      </c>
    </row>
    <row r="348">
      <c r="A348" s="34" t="n">
        <v>46094</v>
      </c>
      <c r="B348" s="30" t="inlineStr">
        <is>
          <t>SKU-044</t>
        </is>
      </c>
      <c r="C348" s="30" t="inlineStr">
        <is>
          <t>Retail</t>
        </is>
      </c>
      <c r="D348" s="22" t="n">
        <v>2</v>
      </c>
      <c r="E348" s="24" t="n">
        <v>3.48</v>
      </c>
      <c r="F348" s="24" t="n">
        <v>0.45</v>
      </c>
      <c r="G348" s="35">
        <f>D348*E348</f>
        <v/>
      </c>
      <c r="H348" s="35">
        <f>D348*VLOOKUP(B348,Inventory!$A$5:$J$104,10,FALSE)</f>
        <v/>
      </c>
      <c r="I348" s="35">
        <f>G348-F348-H348</f>
        <v/>
      </c>
      <c r="J348" s="30" t="inlineStr">
        <is>
          <t>Order batch 4</t>
        </is>
      </c>
    </row>
    <row r="349">
      <c r="A349" s="34" t="n">
        <v>46094</v>
      </c>
      <c r="B349" s="30" t="inlineStr">
        <is>
          <t>SKU-045</t>
        </is>
      </c>
      <c r="C349" s="30" t="inlineStr">
        <is>
          <t>Wholesale</t>
        </is>
      </c>
      <c r="D349" s="22" t="n">
        <v>3</v>
      </c>
      <c r="E349" s="24" t="n">
        <v>4.08</v>
      </c>
      <c r="F349" s="24" t="n">
        <v>0.53</v>
      </c>
      <c r="G349" s="35">
        <f>D349*E349</f>
        <v/>
      </c>
      <c r="H349" s="35">
        <f>D349*VLOOKUP(B349,Inventory!$A$5:$J$104,10,FALSE)</f>
        <v/>
      </c>
      <c r="I349" s="35">
        <f>G349-F349-H349</f>
        <v/>
      </c>
      <c r="J349" s="30" t="inlineStr">
        <is>
          <t>Order batch 4</t>
        </is>
      </c>
    </row>
    <row r="350">
      <c r="A350" s="34" t="n">
        <v>46095</v>
      </c>
      <c r="B350" s="30" t="inlineStr">
        <is>
          <t>SKU-046</t>
        </is>
      </c>
      <c r="C350" s="30" t="inlineStr">
        <is>
          <t>Etsy</t>
        </is>
      </c>
      <c r="D350" s="22" t="n">
        <v>1</v>
      </c>
      <c r="E350" s="24" t="n">
        <v>5.41</v>
      </c>
      <c r="F350" s="24" t="n">
        <v>0.7</v>
      </c>
      <c r="G350" s="35">
        <f>D350*E350</f>
        <v/>
      </c>
      <c r="H350" s="35">
        <f>D350*VLOOKUP(B350,Inventory!$A$5:$J$104,10,FALSE)</f>
        <v/>
      </c>
      <c r="I350" s="35">
        <f>G350-F350-H350</f>
        <v/>
      </c>
      <c r="J350" s="30" t="inlineStr">
        <is>
          <t>Order batch 4</t>
        </is>
      </c>
    </row>
    <row r="351">
      <c r="A351" s="34" t="n">
        <v>46095</v>
      </c>
      <c r="B351" s="30" t="inlineStr">
        <is>
          <t>SKU-047</t>
        </is>
      </c>
      <c r="C351" s="30" t="inlineStr">
        <is>
          <t>Shop</t>
        </is>
      </c>
      <c r="D351" s="22" t="n">
        <v>2</v>
      </c>
      <c r="E351" s="24" t="n">
        <v>6.08</v>
      </c>
      <c r="F351" s="24" t="n">
        <v>0.79</v>
      </c>
      <c r="G351" s="35">
        <f>D351*E351</f>
        <v/>
      </c>
      <c r="H351" s="35">
        <f>D351*VLOOKUP(B351,Inventory!$A$5:$J$104,10,FALSE)</f>
        <v/>
      </c>
      <c r="I351" s="35">
        <f>G351-F351-H351</f>
        <v/>
      </c>
      <c r="J351" s="30" t="inlineStr">
        <is>
          <t>Order batch 4</t>
        </is>
      </c>
    </row>
    <row r="352">
      <c r="A352" s="34" t="n">
        <v>46095</v>
      </c>
      <c r="B352" s="30" t="inlineStr">
        <is>
          <t>SKU-048</t>
        </is>
      </c>
      <c r="C352" s="30" t="inlineStr">
        <is>
          <t>Market</t>
        </is>
      </c>
      <c r="D352" s="22" t="n">
        <v>3</v>
      </c>
      <c r="E352" s="24" t="n">
        <v>6.78</v>
      </c>
      <c r="F352" s="24" t="n">
        <v>0.88</v>
      </c>
      <c r="G352" s="35">
        <f>D352*E352</f>
        <v/>
      </c>
      <c r="H352" s="35">
        <f>D352*VLOOKUP(B352,Inventory!$A$5:$J$104,10,FALSE)</f>
        <v/>
      </c>
      <c r="I352" s="35">
        <f>G352-F352-H352</f>
        <v/>
      </c>
      <c r="J352" s="30" t="inlineStr">
        <is>
          <t>Order batch 4</t>
        </is>
      </c>
    </row>
    <row r="353">
      <c r="A353" s="34" t="n">
        <v>46095</v>
      </c>
      <c r="B353" s="30" t="inlineStr">
        <is>
          <t>SKU-049</t>
        </is>
      </c>
      <c r="C353" s="30" t="inlineStr">
        <is>
          <t>Retail</t>
        </is>
      </c>
      <c r="D353" s="22" t="n">
        <v>1</v>
      </c>
      <c r="E353" s="24" t="n">
        <v>6.41</v>
      </c>
      <c r="F353" s="24" t="n">
        <v>0.83</v>
      </c>
      <c r="G353" s="35">
        <f>D353*E353</f>
        <v/>
      </c>
      <c r="H353" s="35">
        <f>D353*VLOOKUP(B353,Inventory!$A$5:$J$104,10,FALSE)</f>
        <v/>
      </c>
      <c r="I353" s="35">
        <f>G353-F353-H353</f>
        <v/>
      </c>
      <c r="J353" s="30" t="inlineStr">
        <is>
          <t>Order batch 4</t>
        </is>
      </c>
    </row>
    <row r="354">
      <c r="A354" s="34" t="n">
        <v>46095</v>
      </c>
      <c r="B354" s="30" t="inlineStr">
        <is>
          <t>SKU-050</t>
        </is>
      </c>
      <c r="C354" s="30" t="inlineStr">
        <is>
          <t>Wholesale</t>
        </is>
      </c>
      <c r="D354" s="22" t="n">
        <v>2</v>
      </c>
      <c r="E354" s="24" t="n">
        <v>7.08</v>
      </c>
      <c r="F354" s="24" t="n">
        <v>0.92</v>
      </c>
      <c r="G354" s="35">
        <f>D354*E354</f>
        <v/>
      </c>
      <c r="H354" s="35">
        <f>D354*VLOOKUP(B354,Inventory!$A$5:$J$104,10,FALSE)</f>
        <v/>
      </c>
      <c r="I354" s="35">
        <f>G354-F354-H354</f>
        <v/>
      </c>
      <c r="J354" s="30" t="inlineStr">
        <is>
          <t>Order batch 4</t>
        </is>
      </c>
    </row>
    <row r="355">
      <c r="A355" s="34" t="n">
        <v>46096</v>
      </c>
      <c r="B355" s="30" t="inlineStr">
        <is>
          <t>SKU-051</t>
        </is>
      </c>
      <c r="C355" s="30" t="inlineStr">
        <is>
          <t>Etsy</t>
        </is>
      </c>
      <c r="D355" s="22" t="n">
        <v>3</v>
      </c>
      <c r="E355" s="24" t="n">
        <v>7.28</v>
      </c>
      <c r="F355" s="24" t="n">
        <v>0.95</v>
      </c>
      <c r="G355" s="35">
        <f>D355*E355</f>
        <v/>
      </c>
      <c r="H355" s="35">
        <f>D355*VLOOKUP(B355,Inventory!$A$5:$J$104,10,FALSE)</f>
        <v/>
      </c>
      <c r="I355" s="35">
        <f>G355-F355-H355</f>
        <v/>
      </c>
      <c r="J355" s="30" t="inlineStr">
        <is>
          <t>Order batch 4</t>
        </is>
      </c>
    </row>
    <row r="356">
      <c r="A356" s="34" t="n">
        <v>46096</v>
      </c>
      <c r="B356" s="30" t="inlineStr">
        <is>
          <t>SKU-052</t>
        </is>
      </c>
      <c r="C356" s="30" t="inlineStr">
        <is>
          <t>Shop</t>
        </is>
      </c>
      <c r="D356" s="22" t="n">
        <v>1</v>
      </c>
      <c r="E356" s="24" t="n">
        <v>8</v>
      </c>
      <c r="F356" s="24" t="n">
        <v>1.04</v>
      </c>
      <c r="G356" s="35">
        <f>D356*E356</f>
        <v/>
      </c>
      <c r="H356" s="35">
        <f>D356*VLOOKUP(B356,Inventory!$A$5:$J$104,10,FALSE)</f>
        <v/>
      </c>
      <c r="I356" s="35">
        <f>G356-F356-H356</f>
        <v/>
      </c>
      <c r="J356" s="30" t="inlineStr">
        <is>
          <t>Order batch 4</t>
        </is>
      </c>
    </row>
    <row r="357">
      <c r="A357" s="34" t="n">
        <v>46096</v>
      </c>
      <c r="B357" s="30" t="inlineStr">
        <is>
          <t>SKU-053</t>
        </is>
      </c>
      <c r="C357" s="30" t="inlineStr">
        <is>
          <t>Market</t>
        </is>
      </c>
      <c r="D357" s="22" t="n">
        <v>2</v>
      </c>
      <c r="E357" s="24" t="n">
        <v>8.74</v>
      </c>
      <c r="F357" s="24" t="n">
        <v>1.14</v>
      </c>
      <c r="G357" s="35">
        <f>D357*E357</f>
        <v/>
      </c>
      <c r="H357" s="35">
        <f>D357*VLOOKUP(B357,Inventory!$A$5:$J$104,10,FALSE)</f>
        <v/>
      </c>
      <c r="I357" s="35">
        <f>G357-F357-H357</f>
        <v/>
      </c>
      <c r="J357" s="30" t="inlineStr">
        <is>
          <t>Order batch 4</t>
        </is>
      </c>
    </row>
    <row r="358">
      <c r="A358" s="34" t="n">
        <v>46096</v>
      </c>
      <c r="B358" s="30" t="inlineStr">
        <is>
          <t>SKU-054</t>
        </is>
      </c>
      <c r="C358" s="30" t="inlineStr">
        <is>
          <t>Retail</t>
        </is>
      </c>
      <c r="D358" s="22" t="n">
        <v>3</v>
      </c>
      <c r="E358" s="24" t="n">
        <v>9.5</v>
      </c>
      <c r="F358" s="24" t="n">
        <v>1.24</v>
      </c>
      <c r="G358" s="35">
        <f>D358*E358</f>
        <v/>
      </c>
      <c r="H358" s="35">
        <f>D358*VLOOKUP(B358,Inventory!$A$5:$J$104,10,FALSE)</f>
        <v/>
      </c>
      <c r="I358" s="35">
        <f>G358-F358-H358</f>
        <v/>
      </c>
      <c r="J358" s="30" t="inlineStr">
        <is>
          <t>Order batch 4</t>
        </is>
      </c>
    </row>
    <row r="359">
      <c r="A359" s="34" t="n">
        <v>46096</v>
      </c>
      <c r="B359" s="30" t="inlineStr">
        <is>
          <t>SKU-055</t>
        </is>
      </c>
      <c r="C359" s="30" t="inlineStr">
        <is>
          <t>Wholesale</t>
        </is>
      </c>
      <c r="D359" s="22" t="n">
        <v>1</v>
      </c>
      <c r="E359" s="24" t="n">
        <v>8.789999999999999</v>
      </c>
      <c r="F359" s="24" t="n">
        <v>1.14</v>
      </c>
      <c r="G359" s="35">
        <f>D359*E359</f>
        <v/>
      </c>
      <c r="H359" s="35">
        <f>D359*VLOOKUP(B359,Inventory!$A$5:$J$104,10,FALSE)</f>
        <v/>
      </c>
      <c r="I359" s="35">
        <f>G359-F359-H359</f>
        <v/>
      </c>
      <c r="J359" s="30" t="inlineStr">
        <is>
          <t>Order batch 4</t>
        </is>
      </c>
    </row>
    <row r="360">
      <c r="A360" s="34" t="n">
        <v>46097</v>
      </c>
      <c r="B360" s="30" t="inlineStr">
        <is>
          <t>SKU-056</t>
        </is>
      </c>
      <c r="C360" s="30" t="inlineStr">
        <is>
          <t>Etsy</t>
        </is>
      </c>
      <c r="D360" s="22" t="n">
        <v>2</v>
      </c>
      <c r="E360" s="24" t="n">
        <v>2.91</v>
      </c>
      <c r="F360" s="24" t="n">
        <v>0.38</v>
      </c>
      <c r="G360" s="35">
        <f>D360*E360</f>
        <v/>
      </c>
      <c r="H360" s="35">
        <f>D360*VLOOKUP(B360,Inventory!$A$5:$J$104,10,FALSE)</f>
        <v/>
      </c>
      <c r="I360" s="35">
        <f>G360-F360-H360</f>
        <v/>
      </c>
      <c r="J360" s="30" t="inlineStr">
        <is>
          <t>Order batch 4</t>
        </is>
      </c>
    </row>
    <row r="361">
      <c r="A361" s="34" t="n">
        <v>46097</v>
      </c>
      <c r="B361" s="30" t="inlineStr">
        <is>
          <t>SKU-057</t>
        </is>
      </c>
      <c r="C361" s="30" t="inlineStr">
        <is>
          <t>Shop</t>
        </is>
      </c>
      <c r="D361" s="22" t="n">
        <v>3</v>
      </c>
      <c r="E361" s="24" t="n">
        <v>3.49</v>
      </c>
      <c r="F361" s="24" t="n">
        <v>0.45</v>
      </c>
      <c r="G361" s="35">
        <f>D361*E361</f>
        <v/>
      </c>
      <c r="H361" s="35">
        <f>D361*VLOOKUP(B361,Inventory!$A$5:$J$104,10,FALSE)</f>
        <v/>
      </c>
      <c r="I361" s="35">
        <f>G361-F361-H361</f>
        <v/>
      </c>
      <c r="J361" s="30" t="inlineStr">
        <is>
          <t>Order batch 4</t>
        </is>
      </c>
    </row>
    <row r="362">
      <c r="A362" s="34" t="n">
        <v>46097</v>
      </c>
      <c r="B362" s="30" t="inlineStr">
        <is>
          <t>SKU-058</t>
        </is>
      </c>
      <c r="C362" s="30" t="inlineStr">
        <is>
          <t>Market</t>
        </is>
      </c>
      <c r="D362" s="22" t="n">
        <v>1</v>
      </c>
      <c r="E362" s="24" t="n">
        <v>4.1</v>
      </c>
      <c r="F362" s="24" t="n">
        <v>0.53</v>
      </c>
      <c r="G362" s="35">
        <f>D362*E362</f>
        <v/>
      </c>
      <c r="H362" s="35">
        <f>D362*VLOOKUP(B362,Inventory!$A$5:$J$104,10,FALSE)</f>
        <v/>
      </c>
      <c r="I362" s="35">
        <f>G362-F362-H362</f>
        <v/>
      </c>
      <c r="J362" s="30" t="inlineStr">
        <is>
          <t>Order batch 4</t>
        </is>
      </c>
    </row>
    <row r="363">
      <c r="A363" s="34" t="n">
        <v>46097</v>
      </c>
      <c r="B363" s="30" t="inlineStr">
        <is>
          <t>SKU-059</t>
        </is>
      </c>
      <c r="C363" s="30" t="inlineStr">
        <is>
          <t>Retail</t>
        </is>
      </c>
      <c r="D363" s="22" t="n">
        <v>2</v>
      </c>
      <c r="E363" s="24" t="n">
        <v>4.74</v>
      </c>
      <c r="F363" s="24" t="n">
        <v>0.62</v>
      </c>
      <c r="G363" s="35">
        <f>D363*E363</f>
        <v/>
      </c>
      <c r="H363" s="35">
        <f>D363*VLOOKUP(B363,Inventory!$A$5:$J$104,10,FALSE)</f>
        <v/>
      </c>
      <c r="I363" s="35">
        <f>G363-F363-H363</f>
        <v/>
      </c>
      <c r="J363" s="30" t="inlineStr">
        <is>
          <t>Order batch 4</t>
        </is>
      </c>
    </row>
    <row r="364">
      <c r="A364" s="34" t="n">
        <v>46097</v>
      </c>
      <c r="B364" s="30" t="inlineStr">
        <is>
          <t>SKU-060</t>
        </is>
      </c>
      <c r="C364" s="30" t="inlineStr">
        <is>
          <t>Wholesale</t>
        </is>
      </c>
      <c r="D364" s="22" t="n">
        <v>3</v>
      </c>
      <c r="E364" s="24" t="n">
        <v>5.41</v>
      </c>
      <c r="F364" s="24" t="n">
        <v>0.7</v>
      </c>
      <c r="G364" s="35">
        <f>D364*E364</f>
        <v/>
      </c>
      <c r="H364" s="35">
        <f>D364*VLOOKUP(B364,Inventory!$A$5:$J$104,10,FALSE)</f>
        <v/>
      </c>
      <c r="I364" s="35">
        <f>G364-F364-H364</f>
        <v/>
      </c>
      <c r="J364" s="30" t="inlineStr">
        <is>
          <t>Order batch 4</t>
        </is>
      </c>
    </row>
    <row r="365">
      <c r="A365" s="34" t="n">
        <v>46098</v>
      </c>
      <c r="B365" s="30" t="inlineStr">
        <is>
          <t>SKU-061</t>
        </is>
      </c>
      <c r="C365" s="30" t="inlineStr">
        <is>
          <t>Etsy</t>
        </is>
      </c>
      <c r="D365" s="22" t="n">
        <v>1</v>
      </c>
      <c r="E365" s="24" t="n">
        <v>9.970000000000001</v>
      </c>
      <c r="F365" s="24" t="n">
        <v>1.3</v>
      </c>
      <c r="G365" s="35">
        <f>D365*E365</f>
        <v/>
      </c>
      <c r="H365" s="35">
        <f>D365*VLOOKUP(B365,Inventory!$A$5:$J$104,10,FALSE)</f>
        <v/>
      </c>
      <c r="I365" s="35">
        <f>G365-F365-H365</f>
        <v/>
      </c>
      <c r="J365" s="30" t="inlineStr">
        <is>
          <t>Order batch 4</t>
        </is>
      </c>
    </row>
    <row r="366">
      <c r="A366" s="34" t="n">
        <v>46098</v>
      </c>
      <c r="B366" s="30" t="inlineStr">
        <is>
          <t>SKU-062</t>
        </is>
      </c>
      <c r="C366" s="30" t="inlineStr">
        <is>
          <t>Shop</t>
        </is>
      </c>
      <c r="D366" s="22" t="n">
        <v>2</v>
      </c>
      <c r="E366" s="24" t="n">
        <v>10.74</v>
      </c>
      <c r="F366" s="24" t="n">
        <v>1.4</v>
      </c>
      <c r="G366" s="35">
        <f>D366*E366</f>
        <v/>
      </c>
      <c r="H366" s="35">
        <f>D366*VLOOKUP(B366,Inventory!$A$5:$J$104,10,FALSE)</f>
        <v/>
      </c>
      <c r="I366" s="35">
        <f>G366-F366-H366</f>
        <v/>
      </c>
      <c r="J366" s="30" t="inlineStr">
        <is>
          <t>Order batch 4</t>
        </is>
      </c>
    </row>
    <row r="367">
      <c r="A367" s="34" t="n">
        <v>46098</v>
      </c>
      <c r="B367" s="30" t="inlineStr">
        <is>
          <t>SKU-063</t>
        </is>
      </c>
      <c r="C367" s="30" t="inlineStr">
        <is>
          <t>Market</t>
        </is>
      </c>
      <c r="D367" s="22" t="n">
        <v>3</v>
      </c>
      <c r="E367" s="24" t="n">
        <v>11.54</v>
      </c>
      <c r="F367" s="24" t="n">
        <v>1.5</v>
      </c>
      <c r="G367" s="35">
        <f>D367*E367</f>
        <v/>
      </c>
      <c r="H367" s="35">
        <f>D367*VLOOKUP(B367,Inventory!$A$5:$J$104,10,FALSE)</f>
        <v/>
      </c>
      <c r="I367" s="35">
        <f>G367-F367-H367</f>
        <v/>
      </c>
      <c r="J367" s="30" t="inlineStr">
        <is>
          <t>Order batch 4</t>
        </is>
      </c>
    </row>
    <row r="368">
      <c r="A368" s="34" t="n">
        <v>46098</v>
      </c>
      <c r="B368" s="30" t="inlineStr">
        <is>
          <t>SKU-064</t>
        </is>
      </c>
      <c r="C368" s="30" t="inlineStr">
        <is>
          <t>Retail</t>
        </is>
      </c>
      <c r="D368" s="22" t="n">
        <v>1</v>
      </c>
      <c r="E368" s="24" t="n">
        <v>12.37</v>
      </c>
      <c r="F368" s="24" t="n">
        <v>1.61</v>
      </c>
      <c r="G368" s="35">
        <f>D368*E368</f>
        <v/>
      </c>
      <c r="H368" s="35">
        <f>D368*VLOOKUP(B368,Inventory!$A$5:$J$104,10,FALSE)</f>
        <v/>
      </c>
      <c r="I368" s="35">
        <f>G368-F368-H368</f>
        <v/>
      </c>
      <c r="J368" s="30" t="inlineStr">
        <is>
          <t>Order batch 4</t>
        </is>
      </c>
    </row>
    <row r="369">
      <c r="A369" s="34" t="n">
        <v>46098</v>
      </c>
      <c r="B369" s="30" t="inlineStr">
        <is>
          <t>SKU-065</t>
        </is>
      </c>
      <c r="C369" s="30" t="inlineStr">
        <is>
          <t>Wholesale</t>
        </is>
      </c>
      <c r="D369" s="22" t="n">
        <v>2</v>
      </c>
      <c r="E369" s="24" t="n">
        <v>13.23</v>
      </c>
      <c r="F369" s="24" t="n">
        <v>1.72</v>
      </c>
      <c r="G369" s="35">
        <f>D369*E369</f>
        <v/>
      </c>
      <c r="H369" s="35">
        <f>D369*VLOOKUP(B369,Inventory!$A$5:$J$104,10,FALSE)</f>
        <v/>
      </c>
      <c r="I369" s="35">
        <f>G369-F369-H369</f>
        <v/>
      </c>
      <c r="J369" s="30" t="inlineStr">
        <is>
          <t>Order batch 4</t>
        </is>
      </c>
    </row>
    <row r="370">
      <c r="A370" s="34" t="n">
        <v>46099</v>
      </c>
      <c r="B370" s="30" t="inlineStr">
        <is>
          <t>SKU-066</t>
        </is>
      </c>
      <c r="C370" s="30" t="inlineStr">
        <is>
          <t>Etsy</t>
        </is>
      </c>
      <c r="D370" s="22" t="n">
        <v>3</v>
      </c>
      <c r="E370" s="24" t="n">
        <v>17.15</v>
      </c>
      <c r="F370" s="24" t="n">
        <v>2.23</v>
      </c>
      <c r="G370" s="35">
        <f>D370*E370</f>
        <v/>
      </c>
      <c r="H370" s="35">
        <f>D370*VLOOKUP(B370,Inventory!$A$5:$J$104,10,FALSE)</f>
        <v/>
      </c>
      <c r="I370" s="35">
        <f>G370-F370-H370</f>
        <v/>
      </c>
      <c r="J370" s="30" t="inlineStr">
        <is>
          <t>Order batch 4</t>
        </is>
      </c>
    </row>
    <row r="371">
      <c r="A371" s="34" t="n">
        <v>46099</v>
      </c>
      <c r="B371" s="30" t="inlineStr">
        <is>
          <t>SKU-067</t>
        </is>
      </c>
      <c r="C371" s="30" t="inlineStr">
        <is>
          <t>Shop</t>
        </is>
      </c>
      <c r="D371" s="22" t="n">
        <v>1</v>
      </c>
      <c r="E371" s="24" t="n">
        <v>15.48</v>
      </c>
      <c r="F371" s="24" t="n">
        <v>2.01</v>
      </c>
      <c r="G371" s="35">
        <f>D371*E371</f>
        <v/>
      </c>
      <c r="H371" s="35">
        <f>D371*VLOOKUP(B371,Inventory!$A$5:$J$104,10,FALSE)</f>
        <v/>
      </c>
      <c r="I371" s="35">
        <f>G371-F371-H371</f>
        <v/>
      </c>
      <c r="J371" s="30" t="inlineStr">
        <is>
          <t>Order batch 4</t>
        </is>
      </c>
    </row>
    <row r="372">
      <c r="A372" s="34" t="n">
        <v>46099</v>
      </c>
      <c r="B372" s="30" t="inlineStr">
        <is>
          <t>SKU-068</t>
        </is>
      </c>
      <c r="C372" s="30" t="inlineStr">
        <is>
          <t>Market</t>
        </is>
      </c>
      <c r="D372" s="22" t="n">
        <v>2</v>
      </c>
      <c r="E372" s="24" t="n">
        <v>16.42</v>
      </c>
      <c r="F372" s="24" t="n">
        <v>2.13</v>
      </c>
      <c r="G372" s="35">
        <f>D372*E372</f>
        <v/>
      </c>
      <c r="H372" s="35">
        <f>D372*VLOOKUP(B372,Inventory!$A$5:$J$104,10,FALSE)</f>
        <v/>
      </c>
      <c r="I372" s="35">
        <f>G372-F372-H372</f>
        <v/>
      </c>
      <c r="J372" s="30" t="inlineStr">
        <is>
          <t>Order batch 4</t>
        </is>
      </c>
    </row>
    <row r="373">
      <c r="A373" s="34" t="n">
        <v>46099</v>
      </c>
      <c r="B373" s="30" t="inlineStr">
        <is>
          <t>SKU-069</t>
        </is>
      </c>
      <c r="C373" s="30" t="inlineStr">
        <is>
          <t>Retail</t>
        </is>
      </c>
      <c r="D373" s="22" t="n">
        <v>3</v>
      </c>
      <c r="E373" s="24" t="n">
        <v>17.38</v>
      </c>
      <c r="F373" s="24" t="n">
        <v>2.26</v>
      </c>
      <c r="G373" s="35">
        <f>D373*E373</f>
        <v/>
      </c>
      <c r="H373" s="35">
        <f>D373*VLOOKUP(B373,Inventory!$A$5:$J$104,10,FALSE)</f>
        <v/>
      </c>
      <c r="I373" s="35">
        <f>G373-F373-H373</f>
        <v/>
      </c>
      <c r="J373" s="30" t="inlineStr">
        <is>
          <t>Order batch 4</t>
        </is>
      </c>
    </row>
    <row r="374">
      <c r="A374" s="34" t="n">
        <v>46099</v>
      </c>
      <c r="B374" s="30" t="inlineStr">
        <is>
          <t>SKU-070</t>
        </is>
      </c>
      <c r="C374" s="30" t="inlineStr">
        <is>
          <t>Wholesale</t>
        </is>
      </c>
      <c r="D374" s="22" t="n">
        <v>1</v>
      </c>
      <c r="E374" s="24" t="n">
        <v>18.36</v>
      </c>
      <c r="F374" s="24" t="n">
        <v>2.39</v>
      </c>
      <c r="G374" s="35">
        <f>D374*E374</f>
        <v/>
      </c>
      <c r="H374" s="35">
        <f>D374*VLOOKUP(B374,Inventory!$A$5:$J$104,10,FALSE)</f>
        <v/>
      </c>
      <c r="I374" s="35">
        <f>G374-F374-H374</f>
        <v/>
      </c>
      <c r="J374" s="30" t="inlineStr">
        <is>
          <t>Order batch 4</t>
        </is>
      </c>
    </row>
    <row r="375">
      <c r="A375" s="34" t="n">
        <v>46100</v>
      </c>
      <c r="B375" s="30" t="inlineStr">
        <is>
          <t>SKU-071</t>
        </is>
      </c>
      <c r="C375" s="30" t="inlineStr">
        <is>
          <t>Etsy</t>
        </is>
      </c>
      <c r="D375" s="22" t="n">
        <v>2</v>
      </c>
      <c r="E375" s="24" t="n">
        <v>2.31</v>
      </c>
      <c r="F375" s="24" t="n">
        <v>0.3</v>
      </c>
      <c r="G375" s="35">
        <f>D375*E375</f>
        <v/>
      </c>
      <c r="H375" s="35">
        <f>D375*VLOOKUP(B375,Inventory!$A$5:$J$104,10,FALSE)</f>
        <v/>
      </c>
      <c r="I375" s="35">
        <f>G375-F375-H375</f>
        <v/>
      </c>
      <c r="J375" s="30" t="inlineStr">
        <is>
          <t>Order batch 4</t>
        </is>
      </c>
    </row>
    <row r="376">
      <c r="A376" s="34" t="n">
        <v>46100</v>
      </c>
      <c r="B376" s="30" t="inlineStr">
        <is>
          <t>SKU-072</t>
        </is>
      </c>
      <c r="C376" s="30" t="inlineStr">
        <is>
          <t>Shop</t>
        </is>
      </c>
      <c r="D376" s="22" t="n">
        <v>3</v>
      </c>
      <c r="E376" s="24" t="n">
        <v>2.91</v>
      </c>
      <c r="F376" s="24" t="n">
        <v>0.38</v>
      </c>
      <c r="G376" s="35">
        <f>D376*E376</f>
        <v/>
      </c>
      <c r="H376" s="35">
        <f>D376*VLOOKUP(B376,Inventory!$A$5:$J$104,10,FALSE)</f>
        <v/>
      </c>
      <c r="I376" s="35">
        <f>G376-F376-H376</f>
        <v/>
      </c>
      <c r="J376" s="30" t="inlineStr">
        <is>
          <t>Order batch 4</t>
        </is>
      </c>
    </row>
    <row r="377">
      <c r="A377" s="34" t="n">
        <v>46100</v>
      </c>
      <c r="B377" s="30" t="inlineStr">
        <is>
          <t>SKU-073</t>
        </is>
      </c>
      <c r="C377" s="30" t="inlineStr">
        <is>
          <t>Market</t>
        </is>
      </c>
      <c r="D377" s="22" t="n">
        <v>1</v>
      </c>
      <c r="E377" s="24" t="n">
        <v>3.02</v>
      </c>
      <c r="F377" s="24" t="n">
        <v>0.39</v>
      </c>
      <c r="G377" s="35">
        <f>D377*E377</f>
        <v/>
      </c>
      <c r="H377" s="35">
        <f>D377*VLOOKUP(B377,Inventory!$A$5:$J$104,10,FALSE)</f>
        <v/>
      </c>
      <c r="I377" s="35">
        <f>G377-F377-H377</f>
        <v/>
      </c>
      <c r="J377" s="30" t="inlineStr">
        <is>
          <t>Order batch 4</t>
        </is>
      </c>
    </row>
    <row r="378">
      <c r="A378" s="34" t="n">
        <v>46100</v>
      </c>
      <c r="B378" s="30" t="inlineStr">
        <is>
          <t>SKU-074</t>
        </is>
      </c>
      <c r="C378" s="30" t="inlineStr">
        <is>
          <t>Retail</t>
        </is>
      </c>
      <c r="D378" s="22" t="n">
        <v>2</v>
      </c>
      <c r="E378" s="24" t="n">
        <v>3.6</v>
      </c>
      <c r="F378" s="24" t="n">
        <v>0.47</v>
      </c>
      <c r="G378" s="35">
        <f>D378*E378</f>
        <v/>
      </c>
      <c r="H378" s="35">
        <f>D378*VLOOKUP(B378,Inventory!$A$5:$J$104,10,FALSE)</f>
        <v/>
      </c>
      <c r="I378" s="35">
        <f>G378-F378-H378</f>
        <v/>
      </c>
      <c r="J378" s="30" t="inlineStr">
        <is>
          <t>Order batch 4</t>
        </is>
      </c>
    </row>
    <row r="379">
      <c r="A379" s="34" t="n">
        <v>46100</v>
      </c>
      <c r="B379" s="30" t="inlineStr">
        <is>
          <t>SKU-075</t>
        </is>
      </c>
      <c r="C379" s="30" t="inlineStr">
        <is>
          <t>Wholesale</t>
        </is>
      </c>
      <c r="D379" s="22" t="n">
        <v>3</v>
      </c>
      <c r="E379" s="24" t="n">
        <v>4.2</v>
      </c>
      <c r="F379" s="24" t="n">
        <v>0.55</v>
      </c>
      <c r="G379" s="35">
        <f>D379*E379</f>
        <v/>
      </c>
      <c r="H379" s="35">
        <f>D379*VLOOKUP(B379,Inventory!$A$5:$J$104,10,FALSE)</f>
        <v/>
      </c>
      <c r="I379" s="35">
        <f>G379-F379-H379</f>
        <v/>
      </c>
      <c r="J379" s="30" t="inlineStr">
        <is>
          <t>Order batch 4</t>
        </is>
      </c>
    </row>
    <row r="380">
      <c r="A380" s="34" t="n">
        <v>46101</v>
      </c>
      <c r="B380" s="30" t="inlineStr">
        <is>
          <t>SKU-076</t>
        </is>
      </c>
      <c r="C380" s="30" t="inlineStr">
        <is>
          <t>Etsy</t>
        </is>
      </c>
      <c r="D380" s="22" t="n">
        <v>1</v>
      </c>
      <c r="E380" s="24" t="n">
        <v>2.92</v>
      </c>
      <c r="F380" s="24" t="n">
        <v>0.38</v>
      </c>
      <c r="G380" s="35">
        <f>D380*E380</f>
        <v/>
      </c>
      <c r="H380" s="35">
        <f>D380*VLOOKUP(B380,Inventory!$A$5:$J$104,10,FALSE)</f>
        <v/>
      </c>
      <c r="I380" s="35">
        <f>G380-F380-H380</f>
        <v/>
      </c>
      <c r="J380" s="30" t="inlineStr">
        <is>
          <t>Order batch 4</t>
        </is>
      </c>
    </row>
    <row r="381">
      <c r="A381" s="34" t="n">
        <v>46101</v>
      </c>
      <c r="B381" s="30" t="inlineStr">
        <is>
          <t>SKU-077</t>
        </is>
      </c>
      <c r="C381" s="30" t="inlineStr">
        <is>
          <t>Shop</t>
        </is>
      </c>
      <c r="D381" s="22" t="n">
        <v>2</v>
      </c>
      <c r="E381" s="24" t="n">
        <v>3.53</v>
      </c>
      <c r="F381" s="24" t="n">
        <v>0.46</v>
      </c>
      <c r="G381" s="35">
        <f>D381*E381</f>
        <v/>
      </c>
      <c r="H381" s="35">
        <f>D381*VLOOKUP(B381,Inventory!$A$5:$J$104,10,FALSE)</f>
        <v/>
      </c>
      <c r="I381" s="35">
        <f>G381-F381-H381</f>
        <v/>
      </c>
      <c r="J381" s="30" t="inlineStr">
        <is>
          <t>Order batch 4</t>
        </is>
      </c>
    </row>
    <row r="382">
      <c r="A382" s="34" t="n">
        <v>46101</v>
      </c>
      <c r="B382" s="30" t="inlineStr">
        <is>
          <t>SKU-078</t>
        </is>
      </c>
      <c r="C382" s="30" t="inlineStr">
        <is>
          <t>Market</t>
        </is>
      </c>
      <c r="D382" s="22" t="n">
        <v>3</v>
      </c>
      <c r="E382" s="24" t="n">
        <v>4.16</v>
      </c>
      <c r="F382" s="24" t="n">
        <v>0.54</v>
      </c>
      <c r="G382" s="35">
        <f>D382*E382</f>
        <v/>
      </c>
      <c r="H382" s="35">
        <f>D382*VLOOKUP(B382,Inventory!$A$5:$J$104,10,FALSE)</f>
        <v/>
      </c>
      <c r="I382" s="35">
        <f>G382-F382-H382</f>
        <v/>
      </c>
      <c r="J382" s="30" t="inlineStr">
        <is>
          <t>Order batch 4</t>
        </is>
      </c>
    </row>
    <row r="383">
      <c r="A383" s="34" t="n">
        <v>46101</v>
      </c>
      <c r="B383" s="30" t="inlineStr">
        <is>
          <t>SKU-079</t>
        </is>
      </c>
      <c r="C383" s="30" t="inlineStr">
        <is>
          <t>Retail</t>
        </is>
      </c>
      <c r="D383" s="22" t="n">
        <v>1</v>
      </c>
      <c r="E383" s="24" t="n">
        <v>4.12</v>
      </c>
      <c r="F383" s="24" t="n">
        <v>0.54</v>
      </c>
      <c r="G383" s="35">
        <f>D383*E383</f>
        <v/>
      </c>
      <c r="H383" s="35">
        <f>D383*VLOOKUP(B383,Inventory!$A$5:$J$104,10,FALSE)</f>
        <v/>
      </c>
      <c r="I383" s="35">
        <f>G383-F383-H383</f>
        <v/>
      </c>
      <c r="J383" s="30" t="inlineStr">
        <is>
          <t>Order batch 4</t>
        </is>
      </c>
    </row>
    <row r="384">
      <c r="A384" s="34" t="n">
        <v>46101</v>
      </c>
      <c r="B384" s="30" t="inlineStr">
        <is>
          <t>SKU-080</t>
        </is>
      </c>
      <c r="C384" s="30" t="inlineStr">
        <is>
          <t>Wholesale</t>
        </is>
      </c>
      <c r="D384" s="22" t="n">
        <v>2</v>
      </c>
      <c r="E384" s="24" t="n">
        <v>4.72</v>
      </c>
      <c r="F384" s="24" t="n">
        <v>0.61</v>
      </c>
      <c r="G384" s="35">
        <f>D384*E384</f>
        <v/>
      </c>
      <c r="H384" s="35">
        <f>D384*VLOOKUP(B384,Inventory!$A$5:$J$104,10,FALSE)</f>
        <v/>
      </c>
      <c r="I384" s="35">
        <f>G384-F384-H384</f>
        <v/>
      </c>
      <c r="J384" s="30" t="inlineStr">
        <is>
          <t>Order batch 4</t>
        </is>
      </c>
    </row>
    <row r="385">
      <c r="A385" s="34" t="n">
        <v>46102</v>
      </c>
      <c r="B385" s="30" t="inlineStr">
        <is>
          <t>SKU-081</t>
        </is>
      </c>
      <c r="C385" s="30" t="inlineStr">
        <is>
          <t>Etsy</t>
        </is>
      </c>
      <c r="D385" s="22" t="n">
        <v>3</v>
      </c>
      <c r="E385" s="24" t="n">
        <v>3.97</v>
      </c>
      <c r="F385" s="24" t="n">
        <v>0.52</v>
      </c>
      <c r="G385" s="35">
        <f>D385*E385</f>
        <v/>
      </c>
      <c r="H385" s="35">
        <f>D385*VLOOKUP(B385,Inventory!$A$5:$J$104,10,FALSE)</f>
        <v/>
      </c>
      <c r="I385" s="35">
        <f>G385-F385-H385</f>
        <v/>
      </c>
      <c r="J385" s="30" t="inlineStr">
        <is>
          <t>Order batch 4</t>
        </is>
      </c>
    </row>
    <row r="386">
      <c r="A386" s="34" t="n">
        <v>46102</v>
      </c>
      <c r="B386" s="30" t="inlineStr">
        <is>
          <t>SKU-082</t>
        </is>
      </c>
      <c r="C386" s="30" t="inlineStr">
        <is>
          <t>Shop</t>
        </is>
      </c>
      <c r="D386" s="22" t="n">
        <v>1</v>
      </c>
      <c r="E386" s="24" t="n">
        <v>4.59</v>
      </c>
      <c r="F386" s="24" t="n">
        <v>0.6</v>
      </c>
      <c r="G386" s="35">
        <f>D386*E386</f>
        <v/>
      </c>
      <c r="H386" s="35">
        <f>D386*VLOOKUP(B386,Inventory!$A$5:$J$104,10,FALSE)</f>
        <v/>
      </c>
      <c r="I386" s="35">
        <f>G386-F386-H386</f>
        <v/>
      </c>
      <c r="J386" s="30" t="inlineStr">
        <is>
          <t>Order batch 4</t>
        </is>
      </c>
    </row>
    <row r="387">
      <c r="A387" s="34" t="n">
        <v>46102</v>
      </c>
      <c r="B387" s="30" t="inlineStr">
        <is>
          <t>SKU-083</t>
        </is>
      </c>
      <c r="C387" s="30" t="inlineStr">
        <is>
          <t>Market</t>
        </is>
      </c>
      <c r="D387" s="22" t="n">
        <v>2</v>
      </c>
      <c r="E387" s="24" t="n">
        <v>5.24</v>
      </c>
      <c r="F387" s="24" t="n">
        <v>0.68</v>
      </c>
      <c r="G387" s="35">
        <f>D387*E387</f>
        <v/>
      </c>
      <c r="H387" s="35">
        <f>D387*VLOOKUP(B387,Inventory!$A$5:$J$104,10,FALSE)</f>
        <v/>
      </c>
      <c r="I387" s="35">
        <f>G387-F387-H387</f>
        <v/>
      </c>
      <c r="J387" s="30" t="inlineStr">
        <is>
          <t>Order batch 4</t>
        </is>
      </c>
    </row>
    <row r="388">
      <c r="A388" s="34" t="n">
        <v>46102</v>
      </c>
      <c r="B388" s="30" t="inlineStr">
        <is>
          <t>SKU-084</t>
        </is>
      </c>
      <c r="C388" s="30" t="inlineStr">
        <is>
          <t>Retail</t>
        </is>
      </c>
      <c r="D388" s="22" t="n">
        <v>3</v>
      </c>
      <c r="E388" s="24" t="n">
        <v>5.92</v>
      </c>
      <c r="F388" s="24" t="n">
        <v>0.77</v>
      </c>
      <c r="G388" s="35">
        <f>D388*E388</f>
        <v/>
      </c>
      <c r="H388" s="35">
        <f>D388*VLOOKUP(B388,Inventory!$A$5:$J$104,10,FALSE)</f>
        <v/>
      </c>
      <c r="I388" s="35">
        <f>G388-F388-H388</f>
        <v/>
      </c>
      <c r="J388" s="30" t="inlineStr">
        <is>
          <t>Order batch 4</t>
        </is>
      </c>
    </row>
    <row r="389">
      <c r="A389" s="34" t="n">
        <v>46102</v>
      </c>
      <c r="B389" s="30" t="inlineStr">
        <is>
          <t>SKU-085</t>
        </is>
      </c>
      <c r="C389" s="30" t="inlineStr">
        <is>
          <t>Wholesale</t>
        </is>
      </c>
      <c r="D389" s="22" t="n">
        <v>1</v>
      </c>
      <c r="E389" s="24" t="n">
        <v>5.66</v>
      </c>
      <c r="F389" s="24" t="n">
        <v>0.74</v>
      </c>
      <c r="G389" s="35">
        <f>D389*E389</f>
        <v/>
      </c>
      <c r="H389" s="35">
        <f>D389*VLOOKUP(B389,Inventory!$A$5:$J$104,10,FALSE)</f>
        <v/>
      </c>
      <c r="I389" s="35">
        <f>G389-F389-H389</f>
        <v/>
      </c>
      <c r="J389" s="30" t="inlineStr">
        <is>
          <t>Order batch 4</t>
        </is>
      </c>
    </row>
    <row r="390">
      <c r="A390" s="34" t="n">
        <v>46103</v>
      </c>
      <c r="B390" s="30" t="inlineStr">
        <is>
          <t>SKU-086</t>
        </is>
      </c>
      <c r="C390" s="30" t="inlineStr">
        <is>
          <t>Etsy</t>
        </is>
      </c>
      <c r="D390" s="22" t="n">
        <v>2</v>
      </c>
      <c r="E390" s="24" t="n">
        <v>1.84</v>
      </c>
      <c r="F390" s="24" t="n">
        <v>0.24</v>
      </c>
      <c r="G390" s="35">
        <f>D390*E390</f>
        <v/>
      </c>
      <c r="H390" s="35">
        <f>D390*VLOOKUP(B390,Inventory!$A$5:$J$104,10,FALSE)</f>
        <v/>
      </c>
      <c r="I390" s="35">
        <f>G390-F390-H390</f>
        <v/>
      </c>
      <c r="J390" s="30" t="inlineStr">
        <is>
          <t>Order batch 4</t>
        </is>
      </c>
    </row>
    <row r="391">
      <c r="A391" s="34" t="n">
        <v>46103</v>
      </c>
      <c r="B391" s="30" t="inlineStr">
        <is>
          <t>SKU-087</t>
        </is>
      </c>
      <c r="C391" s="30" t="inlineStr">
        <is>
          <t>Shop</t>
        </is>
      </c>
      <c r="D391" s="22" t="n">
        <v>3</v>
      </c>
      <c r="E391" s="24" t="n">
        <v>2.4</v>
      </c>
      <c r="F391" s="24" t="n">
        <v>0.31</v>
      </c>
      <c r="G391" s="35">
        <f>D391*E391</f>
        <v/>
      </c>
      <c r="H391" s="35">
        <f>D391*VLOOKUP(B391,Inventory!$A$5:$J$104,10,FALSE)</f>
        <v/>
      </c>
      <c r="I391" s="35">
        <f>G391-F391-H391</f>
        <v/>
      </c>
      <c r="J391" s="30" t="inlineStr">
        <is>
          <t>Order batch 4</t>
        </is>
      </c>
    </row>
    <row r="392">
      <c r="A392" s="34" t="n">
        <v>46103</v>
      </c>
      <c r="B392" s="30" t="inlineStr">
        <is>
          <t>SKU-088</t>
        </is>
      </c>
      <c r="C392" s="30" t="inlineStr">
        <is>
          <t>Market</t>
        </is>
      </c>
      <c r="D392" s="22" t="n">
        <v>1</v>
      </c>
      <c r="E392" s="24" t="n">
        <v>2.98</v>
      </c>
      <c r="F392" s="24" t="n">
        <v>0.39</v>
      </c>
      <c r="G392" s="35">
        <f>D392*E392</f>
        <v/>
      </c>
      <c r="H392" s="35">
        <f>D392*VLOOKUP(B392,Inventory!$A$5:$J$104,10,FALSE)</f>
        <v/>
      </c>
      <c r="I392" s="35">
        <f>G392-F392-H392</f>
        <v/>
      </c>
      <c r="J392" s="30" t="inlineStr">
        <is>
          <t>Order batch 4</t>
        </is>
      </c>
    </row>
    <row r="393">
      <c r="A393" s="34" t="n">
        <v>46103</v>
      </c>
      <c r="B393" s="30" t="inlineStr">
        <is>
          <t>SKU-089</t>
        </is>
      </c>
      <c r="C393" s="30" t="inlineStr">
        <is>
          <t>Retail</t>
        </is>
      </c>
      <c r="D393" s="22" t="n">
        <v>2</v>
      </c>
      <c r="E393" s="24" t="n">
        <v>3.59</v>
      </c>
      <c r="F393" s="24" t="n">
        <v>0.47</v>
      </c>
      <c r="G393" s="35">
        <f>D393*E393</f>
        <v/>
      </c>
      <c r="H393" s="35">
        <f>D393*VLOOKUP(B393,Inventory!$A$5:$J$104,10,FALSE)</f>
        <v/>
      </c>
      <c r="I393" s="35">
        <f>G393-F393-H393</f>
        <v/>
      </c>
      <c r="J393" s="30" t="inlineStr">
        <is>
          <t>Order batch 4</t>
        </is>
      </c>
    </row>
    <row r="394">
      <c r="A394" s="34" t="n">
        <v>46103</v>
      </c>
      <c r="B394" s="30" t="inlineStr">
        <is>
          <t>SKU-090</t>
        </is>
      </c>
      <c r="C394" s="30" t="inlineStr">
        <is>
          <t>Wholesale</t>
        </is>
      </c>
      <c r="D394" s="22" t="n">
        <v>3</v>
      </c>
      <c r="E394" s="24" t="n">
        <v>4.22</v>
      </c>
      <c r="F394" s="24" t="n">
        <v>0.55</v>
      </c>
      <c r="G394" s="35">
        <f>D394*E394</f>
        <v/>
      </c>
      <c r="H394" s="35">
        <f>D394*VLOOKUP(B394,Inventory!$A$5:$J$104,10,FALSE)</f>
        <v/>
      </c>
      <c r="I394" s="35">
        <f>G394-F394-H394</f>
        <v/>
      </c>
      <c r="J394" s="30" t="inlineStr">
        <is>
          <t>Order batch 4</t>
        </is>
      </c>
    </row>
    <row r="395">
      <c r="A395" s="34" t="n">
        <v>46104</v>
      </c>
      <c r="B395" s="30" t="inlineStr">
        <is>
          <t>SKU-091</t>
        </is>
      </c>
      <c r="C395" s="30" t="inlineStr">
        <is>
          <t>Etsy</t>
        </is>
      </c>
      <c r="D395" s="22" t="n">
        <v>1</v>
      </c>
      <c r="E395" s="24" t="n">
        <v>8.789999999999999</v>
      </c>
      <c r="F395" s="24" t="n">
        <v>1.14</v>
      </c>
      <c r="G395" s="35">
        <f>D395*E395</f>
        <v/>
      </c>
      <c r="H395" s="35">
        <f>D395*VLOOKUP(B395,Inventory!$A$5:$J$104,10,FALSE)</f>
        <v/>
      </c>
      <c r="I395" s="35">
        <f>G395-F395-H395</f>
        <v/>
      </c>
      <c r="J395" s="30" t="inlineStr">
        <is>
          <t>Order batch 4</t>
        </is>
      </c>
    </row>
    <row r="396">
      <c r="A396" s="34" t="n">
        <v>46104</v>
      </c>
      <c r="B396" s="30" t="inlineStr">
        <is>
          <t>SKU-092</t>
        </is>
      </c>
      <c r="C396" s="30" t="inlineStr">
        <is>
          <t>Shop</t>
        </is>
      </c>
      <c r="D396" s="22" t="n">
        <v>2</v>
      </c>
      <c r="E396" s="24" t="n">
        <v>9.529999999999999</v>
      </c>
      <c r="F396" s="24" t="n">
        <v>1.24</v>
      </c>
      <c r="G396" s="35">
        <f>D396*E396</f>
        <v/>
      </c>
      <c r="H396" s="35">
        <f>D396*VLOOKUP(B396,Inventory!$A$5:$J$104,10,FALSE)</f>
        <v/>
      </c>
      <c r="I396" s="35">
        <f>G396-F396-H396</f>
        <v/>
      </c>
      <c r="J396" s="30" t="inlineStr">
        <is>
          <t>Order batch 4</t>
        </is>
      </c>
    </row>
    <row r="397">
      <c r="A397" s="34" t="n">
        <v>46104</v>
      </c>
      <c r="B397" s="30" t="inlineStr">
        <is>
          <t>SKU-093</t>
        </is>
      </c>
      <c r="C397" s="30" t="inlineStr">
        <is>
          <t>Market</t>
        </is>
      </c>
      <c r="D397" s="22" t="n">
        <v>3</v>
      </c>
      <c r="E397" s="24" t="n">
        <v>10.3</v>
      </c>
      <c r="F397" s="24" t="n">
        <v>1.34</v>
      </c>
      <c r="G397" s="35">
        <f>D397*E397</f>
        <v/>
      </c>
      <c r="H397" s="35">
        <f>D397*VLOOKUP(B397,Inventory!$A$5:$J$104,10,FALSE)</f>
        <v/>
      </c>
      <c r="I397" s="35">
        <f>G397-F397-H397</f>
        <v/>
      </c>
      <c r="J397" s="30" t="inlineStr">
        <is>
          <t>Order batch 4</t>
        </is>
      </c>
    </row>
    <row r="398">
      <c r="A398" s="34" t="n">
        <v>46104</v>
      </c>
      <c r="B398" s="30" t="inlineStr">
        <is>
          <t>SKU-094</t>
        </is>
      </c>
      <c r="C398" s="30" t="inlineStr">
        <is>
          <t>Retail</t>
        </is>
      </c>
      <c r="D398" s="22" t="n">
        <v>1</v>
      </c>
      <c r="E398" s="24" t="n">
        <v>11.1</v>
      </c>
      <c r="F398" s="24" t="n">
        <v>1.44</v>
      </c>
      <c r="G398" s="35">
        <f>D398*E398</f>
        <v/>
      </c>
      <c r="H398" s="35">
        <f>D398*VLOOKUP(B398,Inventory!$A$5:$J$104,10,FALSE)</f>
        <v/>
      </c>
      <c r="I398" s="35">
        <f>G398-F398-H398</f>
        <v/>
      </c>
      <c r="J398" s="30" t="inlineStr">
        <is>
          <t>Order batch 4</t>
        </is>
      </c>
    </row>
    <row r="399">
      <c r="A399" s="34" t="n">
        <v>46104</v>
      </c>
      <c r="B399" s="30" t="inlineStr">
        <is>
          <t>SKU-095</t>
        </is>
      </c>
      <c r="C399" s="30" t="inlineStr">
        <is>
          <t>Wholesale</t>
        </is>
      </c>
      <c r="D399" s="22" t="n">
        <v>2</v>
      </c>
      <c r="E399" s="24" t="n">
        <v>11.92</v>
      </c>
      <c r="F399" s="24" t="n">
        <v>1.55</v>
      </c>
      <c r="G399" s="35">
        <f>D399*E399</f>
        <v/>
      </c>
      <c r="H399" s="35">
        <f>D399*VLOOKUP(B399,Inventory!$A$5:$J$104,10,FALSE)</f>
        <v/>
      </c>
      <c r="I399" s="35">
        <f>G399-F399-H399</f>
        <v/>
      </c>
      <c r="J399" s="30" t="inlineStr">
        <is>
          <t>Order batch 4</t>
        </is>
      </c>
    </row>
    <row r="400">
      <c r="A400" s="34" t="n">
        <v>46105</v>
      </c>
      <c r="B400" s="30" t="inlineStr">
        <is>
          <t>SKU-096</t>
        </is>
      </c>
      <c r="C400" s="30" t="inlineStr">
        <is>
          <t>Etsy</t>
        </is>
      </c>
      <c r="D400" s="22" t="n">
        <v>3</v>
      </c>
      <c r="E400" s="24" t="n">
        <v>7.01</v>
      </c>
      <c r="F400" s="24" t="n">
        <v>0.91</v>
      </c>
      <c r="G400" s="35">
        <f>D400*E400</f>
        <v/>
      </c>
      <c r="H400" s="35">
        <f>D400*VLOOKUP(B400,Inventory!$A$5:$J$104,10,FALSE)</f>
        <v/>
      </c>
      <c r="I400" s="35">
        <f>G400-F400-H400</f>
        <v/>
      </c>
      <c r="J400" s="30" t="inlineStr">
        <is>
          <t>Order batch 4</t>
        </is>
      </c>
    </row>
    <row r="401">
      <c r="A401" s="34" t="n">
        <v>46105</v>
      </c>
      <c r="B401" s="30" t="inlineStr">
        <is>
          <t>SKU-097</t>
        </is>
      </c>
      <c r="C401" s="30" t="inlineStr">
        <is>
          <t>Shop</t>
        </is>
      </c>
      <c r="D401" s="22" t="n">
        <v>1</v>
      </c>
      <c r="E401" s="24" t="n">
        <v>6.61</v>
      </c>
      <c r="F401" s="24" t="n">
        <v>0.86</v>
      </c>
      <c r="G401" s="35">
        <f>D401*E401</f>
        <v/>
      </c>
      <c r="H401" s="35">
        <f>D401*VLOOKUP(B401,Inventory!$A$5:$J$104,10,FALSE)</f>
        <v/>
      </c>
      <c r="I401" s="35">
        <f>G401-F401-H401</f>
        <v/>
      </c>
      <c r="J401" s="30" t="inlineStr">
        <is>
          <t>Order batch 4</t>
        </is>
      </c>
    </row>
    <row r="402">
      <c r="A402" s="34" t="n">
        <v>46105</v>
      </c>
      <c r="B402" s="30" t="inlineStr">
        <is>
          <t>SKU-098</t>
        </is>
      </c>
      <c r="C402" s="30" t="inlineStr">
        <is>
          <t>Market</t>
        </is>
      </c>
      <c r="D402" s="22" t="n">
        <v>2</v>
      </c>
      <c r="E402" s="24" t="n">
        <v>7.29</v>
      </c>
      <c r="F402" s="24" t="n">
        <v>0.95</v>
      </c>
      <c r="G402" s="35">
        <f>D402*E402</f>
        <v/>
      </c>
      <c r="H402" s="35">
        <f>D402*VLOOKUP(B402,Inventory!$A$5:$J$104,10,FALSE)</f>
        <v/>
      </c>
      <c r="I402" s="35">
        <f>G402-F402-H402</f>
        <v/>
      </c>
      <c r="J402" s="30" t="inlineStr">
        <is>
          <t>Order batch 4</t>
        </is>
      </c>
    </row>
    <row r="403">
      <c r="A403" s="34" t="n">
        <v>46105</v>
      </c>
      <c r="B403" s="30" t="inlineStr">
        <is>
          <t>SKU-099</t>
        </is>
      </c>
      <c r="C403" s="30" t="inlineStr">
        <is>
          <t>Retail</t>
        </is>
      </c>
      <c r="D403" s="22" t="n">
        <v>3</v>
      </c>
      <c r="E403" s="24" t="n">
        <v>7.99</v>
      </c>
      <c r="F403" s="24" t="n">
        <v>1.04</v>
      </c>
      <c r="G403" s="35">
        <f>D403*E403</f>
        <v/>
      </c>
      <c r="H403" s="35">
        <f>D403*VLOOKUP(B403,Inventory!$A$5:$J$104,10,FALSE)</f>
        <v/>
      </c>
      <c r="I403" s="35">
        <f>G403-F403-H403</f>
        <v/>
      </c>
      <c r="J403" s="30" t="inlineStr">
        <is>
          <t>Order batch 4</t>
        </is>
      </c>
    </row>
    <row r="404">
      <c r="A404" s="34" t="n">
        <v>46105</v>
      </c>
      <c r="B404" s="30" t="inlineStr">
        <is>
          <t>SKU-100</t>
        </is>
      </c>
      <c r="C404" s="30" t="inlineStr">
        <is>
          <t>Wholesale</t>
        </is>
      </c>
      <c r="D404" s="22" t="n">
        <v>1</v>
      </c>
      <c r="E404" s="24" t="n">
        <v>8.720000000000001</v>
      </c>
      <c r="F404" s="24" t="n">
        <v>1.13</v>
      </c>
      <c r="G404" s="35">
        <f>D404*E404</f>
        <v/>
      </c>
      <c r="H404" s="35">
        <f>D404*VLOOKUP(B404,Inventory!$A$5:$J$104,10,FALSE)</f>
        <v/>
      </c>
      <c r="I404" s="35">
        <f>G404-F404-H404</f>
        <v/>
      </c>
      <c r="J404" s="30" t="inlineStr">
        <is>
          <t>Order batch 4</t>
        </is>
      </c>
    </row>
    <row r="405">
      <c r="A405" s="34" t="n">
        <v>46106</v>
      </c>
      <c r="B405" s="30" t="inlineStr">
        <is>
          <t>SKU-001</t>
        </is>
      </c>
      <c r="C405" s="30" t="inlineStr">
        <is>
          <t>Etsy</t>
        </is>
      </c>
      <c r="D405" s="22" t="n">
        <v>4</v>
      </c>
      <c r="E405" s="24" t="n">
        <v>2.96</v>
      </c>
      <c r="F405" s="24" t="n">
        <v>0.38</v>
      </c>
      <c r="G405" s="35">
        <f>D405*E405</f>
        <v/>
      </c>
      <c r="H405" s="35">
        <f>D405*VLOOKUP(B405,Inventory!$A$5:$J$104,10,FALSE)</f>
        <v/>
      </c>
      <c r="I405" s="35">
        <f>G405-F405-H405</f>
        <v/>
      </c>
      <c r="J405" s="30" t="inlineStr">
        <is>
          <t>Order batch 5</t>
        </is>
      </c>
    </row>
    <row r="406">
      <c r="A406" s="34" t="n">
        <v>46106</v>
      </c>
      <c r="B406" s="30" t="inlineStr">
        <is>
          <t>SKU-002</t>
        </is>
      </c>
      <c r="C406" s="30" t="inlineStr">
        <is>
          <t>Shop</t>
        </is>
      </c>
      <c r="D406" s="22" t="n">
        <v>5</v>
      </c>
      <c r="E406" s="24" t="n">
        <v>3.58</v>
      </c>
      <c r="F406" s="24" t="n">
        <v>0.47</v>
      </c>
      <c r="G406" s="35">
        <f>D406*E406</f>
        <v/>
      </c>
      <c r="H406" s="35">
        <f>D406*VLOOKUP(B406,Inventory!$A$5:$J$104,10,FALSE)</f>
        <v/>
      </c>
      <c r="I406" s="35">
        <f>G406-F406-H406</f>
        <v/>
      </c>
      <c r="J406" s="30" t="inlineStr">
        <is>
          <t>Order batch 5</t>
        </is>
      </c>
    </row>
    <row r="407">
      <c r="A407" s="34" t="n">
        <v>46106</v>
      </c>
      <c r="B407" s="30" t="inlineStr">
        <is>
          <t>SKU-003</t>
        </is>
      </c>
      <c r="C407" s="30" t="inlineStr">
        <is>
          <t>Market</t>
        </is>
      </c>
      <c r="D407" s="22" t="n">
        <v>4</v>
      </c>
      <c r="E407" s="24" t="n">
        <v>3.61</v>
      </c>
      <c r="F407" s="24" t="n">
        <v>0.47</v>
      </c>
      <c r="G407" s="35">
        <f>D407*E407</f>
        <v/>
      </c>
      <c r="H407" s="35">
        <f>D407*VLOOKUP(B407,Inventory!$A$5:$J$104,10,FALSE)</f>
        <v/>
      </c>
      <c r="I407" s="35">
        <f>G407-F407-H407</f>
        <v/>
      </c>
      <c r="J407" s="30" t="inlineStr">
        <is>
          <t>Order batch 5</t>
        </is>
      </c>
    </row>
    <row r="408">
      <c r="A408" s="34" t="n">
        <v>46106</v>
      </c>
      <c r="B408" s="30" t="inlineStr">
        <is>
          <t>SKU-004</t>
        </is>
      </c>
      <c r="C408" s="30" t="inlineStr">
        <is>
          <t>Retail</t>
        </is>
      </c>
      <c r="D408" s="22" t="n">
        <v>5</v>
      </c>
      <c r="E408" s="24" t="n">
        <v>4.2</v>
      </c>
      <c r="F408" s="24" t="n">
        <v>0.55</v>
      </c>
      <c r="G408" s="35">
        <f>D408*E408</f>
        <v/>
      </c>
      <c r="H408" s="35">
        <f>D408*VLOOKUP(B408,Inventory!$A$5:$J$104,10,FALSE)</f>
        <v/>
      </c>
      <c r="I408" s="35">
        <f>G408-F408-H408</f>
        <v/>
      </c>
      <c r="J408" s="30" t="inlineStr">
        <is>
          <t>Order batch 5</t>
        </is>
      </c>
    </row>
    <row r="409">
      <c r="A409" s="34" t="n">
        <v>46106</v>
      </c>
      <c r="B409" s="30" t="inlineStr">
        <is>
          <t>SKU-005</t>
        </is>
      </c>
      <c r="C409" s="30" t="inlineStr">
        <is>
          <t>Wholesale</t>
        </is>
      </c>
      <c r="D409" s="22" t="n">
        <v>3</v>
      </c>
      <c r="E409" s="24" t="n">
        <v>4.82</v>
      </c>
      <c r="F409" s="24" t="n">
        <v>0.63</v>
      </c>
      <c r="G409" s="35">
        <f>D409*E409</f>
        <v/>
      </c>
      <c r="H409" s="35">
        <f>D409*VLOOKUP(B409,Inventory!$A$5:$J$104,10,FALSE)</f>
        <v/>
      </c>
      <c r="I409" s="35">
        <f>G409-F409-H409</f>
        <v/>
      </c>
      <c r="J409" s="30" t="inlineStr">
        <is>
          <t>Order batch 5</t>
        </is>
      </c>
    </row>
    <row r="410">
      <c r="A410" s="34" t="n">
        <v>46107</v>
      </c>
      <c r="B410" s="30" t="inlineStr">
        <is>
          <t>SKU-006</t>
        </is>
      </c>
      <c r="C410" s="30" t="inlineStr">
        <is>
          <t>Etsy</t>
        </is>
      </c>
      <c r="D410" s="22" t="n">
        <v>4</v>
      </c>
      <c r="E410" s="24" t="n">
        <v>6.38</v>
      </c>
      <c r="F410" s="24" t="n">
        <v>0.83</v>
      </c>
      <c r="G410" s="35">
        <f>D410*E410</f>
        <v/>
      </c>
      <c r="H410" s="35">
        <f>D410*VLOOKUP(B410,Inventory!$A$5:$J$104,10,FALSE)</f>
        <v/>
      </c>
      <c r="I410" s="35">
        <f>G410-F410-H410</f>
        <v/>
      </c>
      <c r="J410" s="30" t="inlineStr">
        <is>
          <t>Order batch 5</t>
        </is>
      </c>
    </row>
    <row r="411">
      <c r="A411" s="34" t="n">
        <v>46107</v>
      </c>
      <c r="B411" s="30" t="inlineStr">
        <is>
          <t>SKU-007</t>
        </is>
      </c>
      <c r="C411" s="30" t="inlineStr">
        <is>
          <t>Shop</t>
        </is>
      </c>
      <c r="D411" s="22" t="n">
        <v>3</v>
      </c>
      <c r="E411" s="24" t="n">
        <v>7.08</v>
      </c>
      <c r="F411" s="24" t="n">
        <v>0.92</v>
      </c>
      <c r="G411" s="35">
        <f>D411*E411</f>
        <v/>
      </c>
      <c r="H411" s="35">
        <f>D411*VLOOKUP(B411,Inventory!$A$5:$J$104,10,FALSE)</f>
        <v/>
      </c>
      <c r="I411" s="35">
        <f>G411-F411-H411</f>
        <v/>
      </c>
      <c r="J411" s="30" t="inlineStr">
        <is>
          <t>Order batch 5</t>
        </is>
      </c>
    </row>
    <row r="412">
      <c r="A412" s="34" t="n">
        <v>46107</v>
      </c>
      <c r="B412" s="30" t="inlineStr">
        <is>
          <t>SKU-008</t>
        </is>
      </c>
      <c r="C412" s="30" t="inlineStr">
        <is>
          <t>Market</t>
        </is>
      </c>
      <c r="D412" s="22" t="n">
        <v>4</v>
      </c>
      <c r="E412" s="24" t="n">
        <v>7.81</v>
      </c>
      <c r="F412" s="24" t="n">
        <v>1.02</v>
      </c>
      <c r="G412" s="35">
        <f>D412*E412</f>
        <v/>
      </c>
      <c r="H412" s="35">
        <f>D412*VLOOKUP(B412,Inventory!$A$5:$J$104,10,FALSE)</f>
        <v/>
      </c>
      <c r="I412" s="35">
        <f>G412-F412-H412</f>
        <v/>
      </c>
      <c r="J412" s="30" t="inlineStr">
        <is>
          <t>Order batch 5</t>
        </is>
      </c>
    </row>
    <row r="413">
      <c r="A413" s="34" t="n">
        <v>46107</v>
      </c>
      <c r="B413" s="30" t="inlineStr">
        <is>
          <t>SKU-009</t>
        </is>
      </c>
      <c r="C413" s="30" t="inlineStr">
        <is>
          <t>Retail</t>
        </is>
      </c>
      <c r="D413" s="22" t="n">
        <v>3</v>
      </c>
      <c r="E413" s="24" t="n">
        <v>7.31</v>
      </c>
      <c r="F413" s="24" t="n">
        <v>0.95</v>
      </c>
      <c r="G413" s="35">
        <f>D413*E413</f>
        <v/>
      </c>
      <c r="H413" s="35">
        <f>D413*VLOOKUP(B413,Inventory!$A$5:$J$104,10,FALSE)</f>
        <v/>
      </c>
      <c r="I413" s="35">
        <f>G413-F413-H413</f>
        <v/>
      </c>
      <c r="J413" s="30" t="inlineStr">
        <is>
          <t>Order batch 5</t>
        </is>
      </c>
    </row>
    <row r="414">
      <c r="A414" s="34" t="n">
        <v>46107</v>
      </c>
      <c r="B414" s="30" t="inlineStr">
        <is>
          <t>SKU-010</t>
        </is>
      </c>
      <c r="C414" s="30" t="inlineStr">
        <is>
          <t>Wholesale</t>
        </is>
      </c>
      <c r="D414" s="22" t="n">
        <v>4</v>
      </c>
      <c r="E414" s="24" t="n">
        <v>8.01</v>
      </c>
      <c r="F414" s="24" t="n">
        <v>1.04</v>
      </c>
      <c r="G414" s="35">
        <f>D414*E414</f>
        <v/>
      </c>
      <c r="H414" s="35">
        <f>D414*VLOOKUP(B414,Inventory!$A$5:$J$104,10,FALSE)</f>
        <v/>
      </c>
      <c r="I414" s="35">
        <f>G414-F414-H414</f>
        <v/>
      </c>
      <c r="J414" s="30" t="inlineStr">
        <is>
          <t>Order batch 5</t>
        </is>
      </c>
    </row>
    <row r="415">
      <c r="A415" s="34" t="n">
        <v>46108</v>
      </c>
      <c r="B415" s="30" t="inlineStr">
        <is>
          <t>SKU-011</t>
        </is>
      </c>
      <c r="C415" s="30" t="inlineStr">
        <is>
          <t>Etsy</t>
        </is>
      </c>
      <c r="D415" s="22" t="n">
        <v>3</v>
      </c>
      <c r="E415" s="24" t="n">
        <v>3.7</v>
      </c>
      <c r="F415" s="24" t="n">
        <v>0.48</v>
      </c>
      <c r="G415" s="35">
        <f>D415*E415</f>
        <v/>
      </c>
      <c r="H415" s="35">
        <f>D415*VLOOKUP(B415,Inventory!$A$5:$J$104,10,FALSE)</f>
        <v/>
      </c>
      <c r="I415" s="35">
        <f>G415-F415-H415</f>
        <v/>
      </c>
      <c r="J415" s="30" t="inlineStr">
        <is>
          <t>Order batch 5</t>
        </is>
      </c>
    </row>
    <row r="416">
      <c r="A416" s="34" t="n">
        <v>46108</v>
      </c>
      <c r="B416" s="30" t="inlineStr">
        <is>
          <t>SKU-012</t>
        </is>
      </c>
      <c r="C416" s="30" t="inlineStr">
        <is>
          <t>Shop</t>
        </is>
      </c>
      <c r="D416" s="22" t="n">
        <v>1</v>
      </c>
      <c r="E416" s="24" t="n">
        <v>4.32</v>
      </c>
      <c r="F416" s="24" t="n">
        <v>0.5600000000000001</v>
      </c>
      <c r="G416" s="35">
        <f>D416*E416</f>
        <v/>
      </c>
      <c r="H416" s="35">
        <f>D416*VLOOKUP(B416,Inventory!$A$5:$J$104,10,FALSE)</f>
        <v/>
      </c>
      <c r="I416" s="35">
        <f>G416-F416-H416</f>
        <v/>
      </c>
      <c r="J416" s="30" t="inlineStr">
        <is>
          <t>Order batch 5</t>
        </is>
      </c>
    </row>
    <row r="417">
      <c r="A417" s="34" t="n">
        <v>46108</v>
      </c>
      <c r="B417" s="30" t="inlineStr">
        <is>
          <t>SKU-013</t>
        </is>
      </c>
      <c r="C417" s="30" t="inlineStr">
        <is>
          <t>Market</t>
        </is>
      </c>
      <c r="D417" s="22" t="n">
        <v>2</v>
      </c>
      <c r="E417" s="24" t="n">
        <v>4.96</v>
      </c>
      <c r="F417" s="24" t="n">
        <v>0.64</v>
      </c>
      <c r="G417" s="35">
        <f>D417*E417</f>
        <v/>
      </c>
      <c r="H417" s="35">
        <f>D417*VLOOKUP(B417,Inventory!$A$5:$J$104,10,FALSE)</f>
        <v/>
      </c>
      <c r="I417" s="35">
        <f>G417-F417-H417</f>
        <v/>
      </c>
      <c r="J417" s="30" t="inlineStr">
        <is>
          <t>Order batch 5</t>
        </is>
      </c>
    </row>
    <row r="418">
      <c r="A418" s="34" t="n">
        <v>46108</v>
      </c>
      <c r="B418" s="30" t="inlineStr">
        <is>
          <t>SKU-014</t>
        </is>
      </c>
      <c r="C418" s="30" t="inlineStr">
        <is>
          <t>Retail</t>
        </is>
      </c>
      <c r="D418" s="22" t="n">
        <v>3</v>
      </c>
      <c r="E418" s="24" t="n">
        <v>5.63</v>
      </c>
      <c r="F418" s="24" t="n">
        <v>0.73</v>
      </c>
      <c r="G418" s="35">
        <f>D418*E418</f>
        <v/>
      </c>
      <c r="H418" s="35">
        <f>D418*VLOOKUP(B418,Inventory!$A$5:$J$104,10,FALSE)</f>
        <v/>
      </c>
      <c r="I418" s="35">
        <f>G418-F418-H418</f>
        <v/>
      </c>
      <c r="J418" s="30" t="inlineStr">
        <is>
          <t>Order batch 5</t>
        </is>
      </c>
    </row>
    <row r="419">
      <c r="A419" s="34" t="n">
        <v>46108</v>
      </c>
      <c r="B419" s="30" t="inlineStr">
        <is>
          <t>SKU-015</t>
        </is>
      </c>
      <c r="C419" s="30" t="inlineStr">
        <is>
          <t>Wholesale</t>
        </is>
      </c>
      <c r="D419" s="22" t="n">
        <v>1</v>
      </c>
      <c r="E419" s="24" t="n">
        <v>5.4</v>
      </c>
      <c r="F419" s="24" t="n">
        <v>0.7</v>
      </c>
      <c r="G419" s="35">
        <f>D419*E419</f>
        <v/>
      </c>
      <c r="H419" s="35">
        <f>D419*VLOOKUP(B419,Inventory!$A$5:$J$104,10,FALSE)</f>
        <v/>
      </c>
      <c r="I419" s="35">
        <f>G419-F419-H419</f>
        <v/>
      </c>
      <c r="J419" s="30" t="inlineStr">
        <is>
          <t>Order batch 5</t>
        </is>
      </c>
    </row>
    <row r="420">
      <c r="A420" s="34" t="n">
        <v>46109</v>
      </c>
      <c r="B420" s="30" t="inlineStr">
        <is>
          <t>SKU-016</t>
        </is>
      </c>
      <c r="C420" s="30" t="inlineStr">
        <is>
          <t>Etsy</t>
        </is>
      </c>
      <c r="D420" s="22" t="n">
        <v>2</v>
      </c>
      <c r="E420" s="24" t="n">
        <v>0.63</v>
      </c>
      <c r="F420" s="24" t="n">
        <v>0.08</v>
      </c>
      <c r="G420" s="35">
        <f>D420*E420</f>
        <v/>
      </c>
      <c r="H420" s="35">
        <f>D420*VLOOKUP(B420,Inventory!$A$5:$J$104,10,FALSE)</f>
        <v/>
      </c>
      <c r="I420" s="35">
        <f>G420-F420-H420</f>
        <v/>
      </c>
      <c r="J420" s="30" t="inlineStr">
        <is>
          <t>Order batch 5</t>
        </is>
      </c>
    </row>
    <row r="421">
      <c r="A421" s="34" t="n">
        <v>46109</v>
      </c>
      <c r="B421" s="30" t="inlineStr">
        <is>
          <t>SKU-017</t>
        </is>
      </c>
      <c r="C421" s="30" t="inlineStr">
        <is>
          <t>Shop</t>
        </is>
      </c>
      <c r="D421" s="22" t="n">
        <v>3</v>
      </c>
      <c r="E421" s="24" t="n">
        <v>1.15</v>
      </c>
      <c r="F421" s="24" t="n">
        <v>0.15</v>
      </c>
      <c r="G421" s="35">
        <f>D421*E421</f>
        <v/>
      </c>
      <c r="H421" s="35">
        <f>D421*VLOOKUP(B421,Inventory!$A$5:$J$104,10,FALSE)</f>
        <v/>
      </c>
      <c r="I421" s="35">
        <f>G421-F421-H421</f>
        <v/>
      </c>
      <c r="J421" s="30" t="inlineStr">
        <is>
          <t>Order batch 5</t>
        </is>
      </c>
    </row>
    <row r="422">
      <c r="A422" s="34" t="n">
        <v>46109</v>
      </c>
      <c r="B422" s="30" t="inlineStr">
        <is>
          <t>SKU-018</t>
        </is>
      </c>
      <c r="C422" s="30" t="inlineStr">
        <is>
          <t>Market</t>
        </is>
      </c>
      <c r="D422" s="22" t="n">
        <v>1</v>
      </c>
      <c r="E422" s="24" t="n">
        <v>1.7</v>
      </c>
      <c r="F422" s="24" t="n">
        <v>0.22</v>
      </c>
      <c r="G422" s="35">
        <f>D422*E422</f>
        <v/>
      </c>
      <c r="H422" s="35">
        <f>D422*VLOOKUP(B422,Inventory!$A$5:$J$104,10,FALSE)</f>
        <v/>
      </c>
      <c r="I422" s="35">
        <f>G422-F422-H422</f>
        <v/>
      </c>
      <c r="J422" s="30" t="inlineStr">
        <is>
          <t>Order batch 5</t>
        </is>
      </c>
    </row>
    <row r="423">
      <c r="A423" s="34" t="n">
        <v>46109</v>
      </c>
      <c r="B423" s="30" t="inlineStr">
        <is>
          <t>SKU-019</t>
        </is>
      </c>
      <c r="C423" s="30" t="inlineStr">
        <is>
          <t>Retail</t>
        </is>
      </c>
      <c r="D423" s="22" t="n">
        <v>2</v>
      </c>
      <c r="E423" s="24" t="n">
        <v>2.28</v>
      </c>
      <c r="F423" s="24" t="n">
        <v>0.3</v>
      </c>
      <c r="G423" s="35">
        <f>D423*E423</f>
        <v/>
      </c>
      <c r="H423" s="35">
        <f>D423*VLOOKUP(B423,Inventory!$A$5:$J$104,10,FALSE)</f>
        <v/>
      </c>
      <c r="I423" s="35">
        <f>G423-F423-H423</f>
        <v/>
      </c>
      <c r="J423" s="30" t="inlineStr">
        <is>
          <t>Order batch 5</t>
        </is>
      </c>
    </row>
    <row r="424">
      <c r="A424" s="34" t="n">
        <v>46109</v>
      </c>
      <c r="B424" s="30" t="inlineStr">
        <is>
          <t>SKU-020</t>
        </is>
      </c>
      <c r="C424" s="30" t="inlineStr">
        <is>
          <t>Wholesale</t>
        </is>
      </c>
      <c r="D424" s="22" t="n">
        <v>3</v>
      </c>
      <c r="E424" s="24" t="n">
        <v>2.88</v>
      </c>
      <c r="F424" s="24" t="n">
        <v>0.37</v>
      </c>
      <c r="G424" s="35">
        <f>D424*E424</f>
        <v/>
      </c>
      <c r="H424" s="35">
        <f>D424*VLOOKUP(B424,Inventory!$A$5:$J$104,10,FALSE)</f>
        <v/>
      </c>
      <c r="I424" s="35">
        <f>G424-F424-H424</f>
        <v/>
      </c>
      <c r="J424" s="30" t="inlineStr">
        <is>
          <t>Order batch 5</t>
        </is>
      </c>
    </row>
    <row r="425">
      <c r="A425" s="34" t="n">
        <v>46110</v>
      </c>
      <c r="B425" s="30" t="inlineStr">
        <is>
          <t>SKU-021</t>
        </is>
      </c>
      <c r="C425" s="30" t="inlineStr">
        <is>
          <t>Etsy</t>
        </is>
      </c>
      <c r="D425" s="22" t="n">
        <v>1</v>
      </c>
      <c r="E425" s="24" t="n">
        <v>8.68</v>
      </c>
      <c r="F425" s="24" t="n">
        <v>1.13</v>
      </c>
      <c r="G425" s="35">
        <f>D425*E425</f>
        <v/>
      </c>
      <c r="H425" s="35">
        <f>D425*VLOOKUP(B425,Inventory!$A$5:$J$104,10,FALSE)</f>
        <v/>
      </c>
      <c r="I425" s="35">
        <f>G425-F425-H425</f>
        <v/>
      </c>
      <c r="J425" s="30" t="inlineStr">
        <is>
          <t>Order batch 5</t>
        </is>
      </c>
    </row>
    <row r="426">
      <c r="A426" s="34" t="n">
        <v>46110</v>
      </c>
      <c r="B426" s="30" t="inlineStr">
        <is>
          <t>SKU-022</t>
        </is>
      </c>
      <c r="C426" s="30" t="inlineStr">
        <is>
          <t>Shop</t>
        </is>
      </c>
      <c r="D426" s="22" t="n">
        <v>2</v>
      </c>
      <c r="E426" s="24" t="n">
        <v>9.42</v>
      </c>
      <c r="F426" s="24" t="n">
        <v>1.22</v>
      </c>
      <c r="G426" s="35">
        <f>D426*E426</f>
        <v/>
      </c>
      <c r="H426" s="35">
        <f>D426*VLOOKUP(B426,Inventory!$A$5:$J$104,10,FALSE)</f>
        <v/>
      </c>
      <c r="I426" s="35">
        <f>G426-F426-H426</f>
        <v/>
      </c>
      <c r="J426" s="30" t="inlineStr">
        <is>
          <t>Order batch 5</t>
        </is>
      </c>
    </row>
    <row r="427">
      <c r="A427" s="34" t="n">
        <v>46110</v>
      </c>
      <c r="B427" s="30" t="inlineStr">
        <is>
          <t>SKU-023</t>
        </is>
      </c>
      <c r="C427" s="30" t="inlineStr">
        <is>
          <t>Market</t>
        </is>
      </c>
      <c r="D427" s="22" t="n">
        <v>3</v>
      </c>
      <c r="E427" s="24" t="n">
        <v>10.18</v>
      </c>
      <c r="F427" s="24" t="n">
        <v>1.32</v>
      </c>
      <c r="G427" s="35">
        <f>D427*E427</f>
        <v/>
      </c>
      <c r="H427" s="35">
        <f>D427*VLOOKUP(B427,Inventory!$A$5:$J$104,10,FALSE)</f>
        <v/>
      </c>
      <c r="I427" s="35">
        <f>G427-F427-H427</f>
        <v/>
      </c>
      <c r="J427" s="30" t="inlineStr">
        <is>
          <t>Order batch 5</t>
        </is>
      </c>
    </row>
    <row r="428">
      <c r="A428" s="34" t="n">
        <v>46110</v>
      </c>
      <c r="B428" s="30" t="inlineStr">
        <is>
          <t>SKU-024</t>
        </is>
      </c>
      <c r="C428" s="30" t="inlineStr">
        <is>
          <t>Retail</t>
        </is>
      </c>
      <c r="D428" s="22" t="n">
        <v>1</v>
      </c>
      <c r="E428" s="24" t="n">
        <v>10.97</v>
      </c>
      <c r="F428" s="24" t="n">
        <v>1.43</v>
      </c>
      <c r="G428" s="35">
        <f>D428*E428</f>
        <v/>
      </c>
      <c r="H428" s="35">
        <f>D428*VLOOKUP(B428,Inventory!$A$5:$J$104,10,FALSE)</f>
        <v/>
      </c>
      <c r="I428" s="35">
        <f>G428-F428-H428</f>
        <v/>
      </c>
      <c r="J428" s="30" t="inlineStr">
        <is>
          <t>Order batch 5</t>
        </is>
      </c>
    </row>
    <row r="429">
      <c r="A429" s="34" t="n">
        <v>46110</v>
      </c>
      <c r="B429" s="30" t="inlineStr">
        <is>
          <t>SKU-025</t>
        </is>
      </c>
      <c r="C429" s="30" t="inlineStr">
        <is>
          <t>Wholesale</t>
        </is>
      </c>
      <c r="D429" s="22" t="n">
        <v>2</v>
      </c>
      <c r="E429" s="24" t="n">
        <v>11.79</v>
      </c>
      <c r="F429" s="24" t="n">
        <v>1.53</v>
      </c>
      <c r="G429" s="35">
        <f>D429*E429</f>
        <v/>
      </c>
      <c r="H429" s="35">
        <f>D429*VLOOKUP(B429,Inventory!$A$5:$J$104,10,FALSE)</f>
        <v/>
      </c>
      <c r="I429" s="35">
        <f>G429-F429-H429</f>
        <v/>
      </c>
      <c r="J429" s="30" t="inlineStr">
        <is>
          <t>Order batch 5</t>
        </is>
      </c>
    </row>
    <row r="430">
      <c r="A430" s="34" t="n">
        <v>46111</v>
      </c>
      <c r="B430" s="30" t="inlineStr">
        <is>
          <t>SKU-026</t>
        </is>
      </c>
      <c r="C430" s="30" t="inlineStr">
        <is>
          <t>Etsy</t>
        </is>
      </c>
      <c r="D430" s="22" t="n">
        <v>3</v>
      </c>
      <c r="E430" s="24" t="n">
        <v>1.79</v>
      </c>
      <c r="F430" s="24" t="n">
        <v>0.23</v>
      </c>
      <c r="G430" s="35">
        <f>D430*E430</f>
        <v/>
      </c>
      <c r="H430" s="35">
        <f>D430*VLOOKUP(B430,Inventory!$A$5:$J$104,10,FALSE)</f>
        <v/>
      </c>
      <c r="I430" s="35">
        <f>G430-F430-H430</f>
        <v/>
      </c>
      <c r="J430" s="30" t="inlineStr">
        <is>
          <t>Order batch 5</t>
        </is>
      </c>
    </row>
    <row r="431">
      <c r="A431" s="34" t="n">
        <v>46111</v>
      </c>
      <c r="B431" s="30" t="inlineStr">
        <is>
          <t>SKU-027</t>
        </is>
      </c>
      <c r="C431" s="30" t="inlineStr">
        <is>
          <t>Shop</t>
        </is>
      </c>
      <c r="D431" s="22" t="n">
        <v>1</v>
      </c>
      <c r="E431" s="24" t="n">
        <v>2.04</v>
      </c>
      <c r="F431" s="24" t="n">
        <v>0.27</v>
      </c>
      <c r="G431" s="35">
        <f>D431*E431</f>
        <v/>
      </c>
      <c r="H431" s="35">
        <f>D431*VLOOKUP(B431,Inventory!$A$5:$J$104,10,FALSE)</f>
        <v/>
      </c>
      <c r="I431" s="35">
        <f>G431-F431-H431</f>
        <v/>
      </c>
      <c r="J431" s="30" t="inlineStr">
        <is>
          <t>Order batch 5</t>
        </is>
      </c>
    </row>
    <row r="432">
      <c r="A432" s="34" t="n">
        <v>46111</v>
      </c>
      <c r="B432" s="30" t="inlineStr">
        <is>
          <t>SKU-028</t>
        </is>
      </c>
      <c r="C432" s="30" t="inlineStr">
        <is>
          <t>Market</t>
        </is>
      </c>
      <c r="D432" s="22" t="n">
        <v>2</v>
      </c>
      <c r="E432" s="24" t="n">
        <v>2.59</v>
      </c>
      <c r="F432" s="24" t="n">
        <v>0.34</v>
      </c>
      <c r="G432" s="35">
        <f>D432*E432</f>
        <v/>
      </c>
      <c r="H432" s="35">
        <f>D432*VLOOKUP(B432,Inventory!$A$5:$J$104,10,FALSE)</f>
        <v/>
      </c>
      <c r="I432" s="35">
        <f>G432-F432-H432</f>
        <v/>
      </c>
      <c r="J432" s="30" t="inlineStr">
        <is>
          <t>Order batch 5</t>
        </is>
      </c>
    </row>
    <row r="433">
      <c r="A433" s="34" t="n">
        <v>46111</v>
      </c>
      <c r="B433" s="30" t="inlineStr">
        <is>
          <t>SKU-029</t>
        </is>
      </c>
      <c r="C433" s="30" t="inlineStr">
        <is>
          <t>Retail</t>
        </is>
      </c>
      <c r="D433" s="22" t="n">
        <v>3</v>
      </c>
      <c r="E433" s="24" t="n">
        <v>3.17</v>
      </c>
      <c r="F433" s="24" t="n">
        <v>0.41</v>
      </c>
      <c r="G433" s="35">
        <f>D433*E433</f>
        <v/>
      </c>
      <c r="H433" s="35">
        <f>D433*VLOOKUP(B433,Inventory!$A$5:$J$104,10,FALSE)</f>
        <v/>
      </c>
      <c r="I433" s="35">
        <f>G433-F433-H433</f>
        <v/>
      </c>
      <c r="J433" s="30" t="inlineStr">
        <is>
          <t>Order batch 5</t>
        </is>
      </c>
    </row>
    <row r="434">
      <c r="A434" s="34" t="n">
        <v>46111</v>
      </c>
      <c r="B434" s="30" t="inlineStr">
        <is>
          <t>SKU-030</t>
        </is>
      </c>
      <c r="C434" s="30" t="inlineStr">
        <is>
          <t>Wholesale</t>
        </is>
      </c>
      <c r="D434" s="22" t="n">
        <v>1</v>
      </c>
      <c r="E434" s="24" t="n">
        <v>3.77</v>
      </c>
      <c r="F434" s="24" t="n">
        <v>0.49</v>
      </c>
      <c r="G434" s="35">
        <f>D434*E434</f>
        <v/>
      </c>
      <c r="H434" s="35">
        <f>D434*VLOOKUP(B434,Inventory!$A$5:$J$104,10,FALSE)</f>
        <v/>
      </c>
      <c r="I434" s="35">
        <f>G434-F434-H434</f>
        <v/>
      </c>
      <c r="J434" s="30" t="inlineStr">
        <is>
          <t>Order batch 5</t>
        </is>
      </c>
    </row>
    <row r="435">
      <c r="A435" s="34" t="n">
        <v>46112</v>
      </c>
      <c r="B435" s="30" t="inlineStr">
        <is>
          <t>SKU-031</t>
        </is>
      </c>
      <c r="C435" s="30" t="inlineStr">
        <is>
          <t>Etsy</t>
        </is>
      </c>
      <c r="D435" s="22" t="n">
        <v>2</v>
      </c>
      <c r="E435" s="24" t="n">
        <v>13.51</v>
      </c>
      <c r="F435" s="24" t="n">
        <v>1.76</v>
      </c>
      <c r="G435" s="35">
        <f>D435*E435</f>
        <v/>
      </c>
      <c r="H435" s="35">
        <f>D435*VLOOKUP(B435,Inventory!$A$5:$J$104,10,FALSE)</f>
        <v/>
      </c>
      <c r="I435" s="35">
        <f>G435-F435-H435</f>
        <v/>
      </c>
      <c r="J435" s="30" t="inlineStr">
        <is>
          <t>Order batch 5</t>
        </is>
      </c>
    </row>
    <row r="436">
      <c r="A436" s="34" t="n">
        <v>46112</v>
      </c>
      <c r="B436" s="30" t="inlineStr">
        <is>
          <t>SKU-032</t>
        </is>
      </c>
      <c r="C436" s="30" t="inlineStr">
        <is>
          <t>Shop</t>
        </is>
      </c>
      <c r="D436" s="22" t="n">
        <v>3</v>
      </c>
      <c r="E436" s="24" t="n">
        <v>14.4</v>
      </c>
      <c r="F436" s="24" t="n">
        <v>1.87</v>
      </c>
      <c r="G436" s="35">
        <f>D436*E436</f>
        <v/>
      </c>
      <c r="H436" s="35">
        <f>D436*VLOOKUP(B436,Inventory!$A$5:$J$104,10,FALSE)</f>
        <v/>
      </c>
      <c r="I436" s="35">
        <f>G436-F436-H436</f>
        <v/>
      </c>
      <c r="J436" s="30" t="inlineStr">
        <is>
          <t>Order batch 5</t>
        </is>
      </c>
    </row>
    <row r="437">
      <c r="A437" s="34" t="n">
        <v>46112</v>
      </c>
      <c r="B437" s="30" t="inlineStr">
        <is>
          <t>SKU-033</t>
        </is>
      </c>
      <c r="C437" s="30" t="inlineStr">
        <is>
          <t>Market</t>
        </is>
      </c>
      <c r="D437" s="22" t="n">
        <v>1</v>
      </c>
      <c r="E437" s="24" t="n">
        <v>13.08</v>
      </c>
      <c r="F437" s="24" t="n">
        <v>1.7</v>
      </c>
      <c r="G437" s="35">
        <f>D437*E437</f>
        <v/>
      </c>
      <c r="H437" s="35">
        <f>D437*VLOOKUP(B437,Inventory!$A$5:$J$104,10,FALSE)</f>
        <v/>
      </c>
      <c r="I437" s="35">
        <f>G437-F437-H437</f>
        <v/>
      </c>
      <c r="J437" s="30" t="inlineStr">
        <is>
          <t>Order batch 5</t>
        </is>
      </c>
    </row>
    <row r="438">
      <c r="A438" s="34" t="n">
        <v>46112</v>
      </c>
      <c r="B438" s="30" t="inlineStr">
        <is>
          <t>SKU-034</t>
        </is>
      </c>
      <c r="C438" s="30" t="inlineStr">
        <is>
          <t>Retail</t>
        </is>
      </c>
      <c r="D438" s="22" t="n">
        <v>2</v>
      </c>
      <c r="E438" s="24" t="n">
        <v>13.94</v>
      </c>
      <c r="F438" s="24" t="n">
        <v>1.81</v>
      </c>
      <c r="G438" s="35">
        <f>D438*E438</f>
        <v/>
      </c>
      <c r="H438" s="35">
        <f>D438*VLOOKUP(B438,Inventory!$A$5:$J$104,10,FALSE)</f>
        <v/>
      </c>
      <c r="I438" s="35">
        <f>G438-F438-H438</f>
        <v/>
      </c>
      <c r="J438" s="30" t="inlineStr">
        <is>
          <t>Order batch 5</t>
        </is>
      </c>
    </row>
    <row r="439">
      <c r="A439" s="34" t="n">
        <v>46112</v>
      </c>
      <c r="B439" s="30" t="inlineStr">
        <is>
          <t>SKU-035</t>
        </is>
      </c>
      <c r="C439" s="30" t="inlineStr">
        <is>
          <t>Wholesale</t>
        </is>
      </c>
      <c r="D439" s="22" t="n">
        <v>3</v>
      </c>
      <c r="E439" s="24" t="n">
        <v>14.83</v>
      </c>
      <c r="F439" s="24" t="n">
        <v>1.93</v>
      </c>
      <c r="G439" s="35">
        <f>D439*E439</f>
        <v/>
      </c>
      <c r="H439" s="35">
        <f>D439*VLOOKUP(B439,Inventory!$A$5:$J$104,10,FALSE)</f>
        <v/>
      </c>
      <c r="I439" s="35">
        <f>G439-F439-H439</f>
        <v/>
      </c>
      <c r="J439" s="30" t="inlineStr">
        <is>
          <t>Order batch 5</t>
        </is>
      </c>
    </row>
    <row r="440">
      <c r="A440" s="34" t="n">
        <v>46113</v>
      </c>
      <c r="B440" s="30" t="inlineStr">
        <is>
          <t>SKU-036</t>
        </is>
      </c>
      <c r="C440" s="30" t="inlineStr">
        <is>
          <t>Etsy</t>
        </is>
      </c>
      <c r="D440" s="22" t="n">
        <v>1</v>
      </c>
      <c r="E440" s="24" t="n">
        <v>5.72</v>
      </c>
      <c r="F440" s="24" t="n">
        <v>0.74</v>
      </c>
      <c r="G440" s="35">
        <f>D440*E440</f>
        <v/>
      </c>
      <c r="H440" s="35">
        <f>D440*VLOOKUP(B440,Inventory!$A$5:$J$104,10,FALSE)</f>
        <v/>
      </c>
      <c r="I440" s="35">
        <f>G440-F440-H440</f>
        <v/>
      </c>
      <c r="J440" s="30" t="inlineStr">
        <is>
          <t>Order batch 5</t>
        </is>
      </c>
    </row>
    <row r="441">
      <c r="A441" s="34" t="n">
        <v>46113</v>
      </c>
      <c r="B441" s="30" t="inlineStr">
        <is>
          <t>SKU-037</t>
        </is>
      </c>
      <c r="C441" s="30" t="inlineStr">
        <is>
          <t>Shop</t>
        </is>
      </c>
      <c r="D441" s="22" t="n">
        <v>2</v>
      </c>
      <c r="E441" s="24" t="n">
        <v>6.4</v>
      </c>
      <c r="F441" s="24" t="n">
        <v>0.83</v>
      </c>
      <c r="G441" s="35">
        <f>D441*E441</f>
        <v/>
      </c>
      <c r="H441" s="35">
        <f>D441*VLOOKUP(B441,Inventory!$A$5:$J$104,10,FALSE)</f>
        <v/>
      </c>
      <c r="I441" s="35">
        <f>G441-F441-H441</f>
        <v/>
      </c>
      <c r="J441" s="30" t="inlineStr">
        <is>
          <t>Order batch 5</t>
        </is>
      </c>
    </row>
    <row r="442">
      <c r="A442" s="34" t="n">
        <v>46113</v>
      </c>
      <c r="B442" s="30" t="inlineStr">
        <is>
          <t>SKU-038</t>
        </is>
      </c>
      <c r="C442" s="30" t="inlineStr">
        <is>
          <t>Market</t>
        </is>
      </c>
      <c r="D442" s="22" t="n">
        <v>3</v>
      </c>
      <c r="E442" s="24" t="n">
        <v>7.1</v>
      </c>
      <c r="F442" s="24" t="n">
        <v>0.92</v>
      </c>
      <c r="G442" s="35">
        <f>D442*E442</f>
        <v/>
      </c>
      <c r="H442" s="35">
        <f>D442*VLOOKUP(B442,Inventory!$A$5:$J$104,10,FALSE)</f>
        <v/>
      </c>
      <c r="I442" s="35">
        <f>G442-F442-H442</f>
        <v/>
      </c>
      <c r="J442" s="30" t="inlineStr">
        <is>
          <t>Order batch 5</t>
        </is>
      </c>
    </row>
    <row r="443">
      <c r="A443" s="34" t="n">
        <v>46113</v>
      </c>
      <c r="B443" s="30" t="inlineStr">
        <is>
          <t>SKU-039</t>
        </is>
      </c>
      <c r="C443" s="30" t="inlineStr">
        <is>
          <t>Retail</t>
        </is>
      </c>
      <c r="D443" s="22" t="n">
        <v>1</v>
      </c>
      <c r="E443" s="24" t="n">
        <v>6.69</v>
      </c>
      <c r="F443" s="24" t="n">
        <v>0.87</v>
      </c>
      <c r="G443" s="35">
        <f>D443*E443</f>
        <v/>
      </c>
      <c r="H443" s="35">
        <f>D443*VLOOKUP(B443,Inventory!$A$5:$J$104,10,FALSE)</f>
        <v/>
      </c>
      <c r="I443" s="35">
        <f>G443-F443-H443</f>
        <v/>
      </c>
      <c r="J443" s="30" t="inlineStr">
        <is>
          <t>Order batch 5</t>
        </is>
      </c>
    </row>
    <row r="444">
      <c r="A444" s="34" t="n">
        <v>46113</v>
      </c>
      <c r="B444" s="30" t="inlineStr">
        <is>
          <t>SKU-040</t>
        </is>
      </c>
      <c r="C444" s="30" t="inlineStr">
        <is>
          <t>Wholesale</t>
        </is>
      </c>
      <c r="D444" s="22" t="n">
        <v>2</v>
      </c>
      <c r="E444" s="24" t="n">
        <v>7.37</v>
      </c>
      <c r="F444" s="24" t="n">
        <v>0.96</v>
      </c>
      <c r="G444" s="35">
        <f>D444*E444</f>
        <v/>
      </c>
      <c r="H444" s="35">
        <f>D444*VLOOKUP(B444,Inventory!$A$5:$J$104,10,FALSE)</f>
        <v/>
      </c>
      <c r="I444" s="35">
        <f>G444-F444-H444</f>
        <v/>
      </c>
      <c r="J444" s="30" t="inlineStr">
        <is>
          <t>Order batch 5</t>
        </is>
      </c>
    </row>
    <row r="445">
      <c r="A445" s="34" t="n">
        <v>46114</v>
      </c>
      <c r="B445" s="30" t="inlineStr">
        <is>
          <t>SKU-041</t>
        </is>
      </c>
      <c r="C445" s="30" t="inlineStr">
        <is>
          <t>Etsy</t>
        </is>
      </c>
      <c r="D445" s="22" t="n">
        <v>3</v>
      </c>
      <c r="E445" s="24" t="n">
        <v>2.07</v>
      </c>
      <c r="F445" s="24" t="n">
        <v>0.27</v>
      </c>
      <c r="G445" s="35">
        <f>D445*E445</f>
        <v/>
      </c>
      <c r="H445" s="35">
        <f>D445*VLOOKUP(B445,Inventory!$A$5:$J$104,10,FALSE)</f>
        <v/>
      </c>
      <c r="I445" s="35">
        <f>G445-F445-H445</f>
        <v/>
      </c>
      <c r="J445" s="30" t="inlineStr">
        <is>
          <t>Order batch 5</t>
        </is>
      </c>
    </row>
    <row r="446">
      <c r="A446" s="34" t="n">
        <v>46114</v>
      </c>
      <c r="B446" s="30" t="inlineStr">
        <is>
          <t>SKU-042</t>
        </is>
      </c>
      <c r="C446" s="30" t="inlineStr">
        <is>
          <t>Shop</t>
        </is>
      </c>
      <c r="D446" s="22" t="n">
        <v>1</v>
      </c>
      <c r="E446" s="24" t="n">
        <v>2.64</v>
      </c>
      <c r="F446" s="24" t="n">
        <v>0.34</v>
      </c>
      <c r="G446" s="35">
        <f>D446*E446</f>
        <v/>
      </c>
      <c r="H446" s="35">
        <f>D446*VLOOKUP(B446,Inventory!$A$5:$J$104,10,FALSE)</f>
        <v/>
      </c>
      <c r="I446" s="35">
        <f>G446-F446-H446</f>
        <v/>
      </c>
      <c r="J446" s="30" t="inlineStr">
        <is>
          <t>Order batch 5</t>
        </is>
      </c>
    </row>
    <row r="447">
      <c r="A447" s="34" t="n">
        <v>46114</v>
      </c>
      <c r="B447" s="30" t="inlineStr">
        <is>
          <t>SKU-043</t>
        </is>
      </c>
      <c r="C447" s="30" t="inlineStr">
        <is>
          <t>Market</t>
        </is>
      </c>
      <c r="D447" s="22" t="n">
        <v>2</v>
      </c>
      <c r="E447" s="24" t="n">
        <v>3.24</v>
      </c>
      <c r="F447" s="24" t="n">
        <v>0.42</v>
      </c>
      <c r="G447" s="35">
        <f>D447*E447</f>
        <v/>
      </c>
      <c r="H447" s="35">
        <f>D447*VLOOKUP(B447,Inventory!$A$5:$J$104,10,FALSE)</f>
        <v/>
      </c>
      <c r="I447" s="35">
        <f>G447-F447-H447</f>
        <v/>
      </c>
      <c r="J447" s="30" t="inlineStr">
        <is>
          <t>Order batch 5</t>
        </is>
      </c>
    </row>
    <row r="448">
      <c r="A448" s="34" t="n">
        <v>46114</v>
      </c>
      <c r="B448" s="30" t="inlineStr">
        <is>
          <t>SKU-044</t>
        </is>
      </c>
      <c r="C448" s="30" t="inlineStr">
        <is>
          <t>Retail</t>
        </is>
      </c>
      <c r="D448" s="22" t="n">
        <v>3</v>
      </c>
      <c r="E448" s="24" t="n">
        <v>3.87</v>
      </c>
      <c r="F448" s="24" t="n">
        <v>0.5</v>
      </c>
      <c r="G448" s="35">
        <f>D448*E448</f>
        <v/>
      </c>
      <c r="H448" s="35">
        <f>D448*VLOOKUP(B448,Inventory!$A$5:$J$104,10,FALSE)</f>
        <v/>
      </c>
      <c r="I448" s="35">
        <f>G448-F448-H448</f>
        <v/>
      </c>
      <c r="J448" s="30" t="inlineStr">
        <is>
          <t>Order batch 5</t>
        </is>
      </c>
    </row>
    <row r="449">
      <c r="A449" s="34" t="n">
        <v>46114</v>
      </c>
      <c r="B449" s="30" t="inlineStr">
        <is>
          <t>SKU-045</t>
        </is>
      </c>
      <c r="C449" s="30" t="inlineStr">
        <is>
          <t>Wholesale</t>
        </is>
      </c>
      <c r="D449" s="22" t="n">
        <v>1</v>
      </c>
      <c r="E449" s="24" t="n">
        <v>3.86</v>
      </c>
      <c r="F449" s="24" t="n">
        <v>0.5</v>
      </c>
      <c r="G449" s="35">
        <f>D449*E449</f>
        <v/>
      </c>
      <c r="H449" s="35">
        <f>D449*VLOOKUP(B449,Inventory!$A$5:$J$104,10,FALSE)</f>
        <v/>
      </c>
      <c r="I449" s="35">
        <f>G449-F449-H449</f>
        <v/>
      </c>
      <c r="J449" s="30" t="inlineStr">
        <is>
          <t>Order batch 5</t>
        </is>
      </c>
    </row>
    <row r="450">
      <c r="A450" s="34" t="n">
        <v>46115</v>
      </c>
      <c r="B450" s="30" t="inlineStr">
        <is>
          <t>SKU-046</t>
        </is>
      </c>
      <c r="C450" s="30" t="inlineStr">
        <is>
          <t>Etsy</t>
        </is>
      </c>
      <c r="D450" s="22" t="n">
        <v>2</v>
      </c>
      <c r="E450" s="24" t="n">
        <v>5.13</v>
      </c>
      <c r="F450" s="24" t="n">
        <v>0.67</v>
      </c>
      <c r="G450" s="35">
        <f>D450*E450</f>
        <v/>
      </c>
      <c r="H450" s="35">
        <f>D450*VLOOKUP(B450,Inventory!$A$5:$J$104,10,FALSE)</f>
        <v/>
      </c>
      <c r="I450" s="35">
        <f>G450-F450-H450</f>
        <v/>
      </c>
      <c r="J450" s="30" t="inlineStr">
        <is>
          <t>Order batch 5</t>
        </is>
      </c>
    </row>
    <row r="451">
      <c r="A451" s="34" t="n">
        <v>46115</v>
      </c>
      <c r="B451" s="30" t="inlineStr">
        <is>
          <t>SKU-047</t>
        </is>
      </c>
      <c r="C451" s="30" t="inlineStr">
        <is>
          <t>Shop</t>
        </is>
      </c>
      <c r="D451" s="22" t="n">
        <v>3</v>
      </c>
      <c r="E451" s="24" t="n">
        <v>5.77</v>
      </c>
      <c r="F451" s="24" t="n">
        <v>0.75</v>
      </c>
      <c r="G451" s="35">
        <f>D451*E451</f>
        <v/>
      </c>
      <c r="H451" s="35">
        <f>D451*VLOOKUP(B451,Inventory!$A$5:$J$104,10,FALSE)</f>
        <v/>
      </c>
      <c r="I451" s="35">
        <f>G451-F451-H451</f>
        <v/>
      </c>
      <c r="J451" s="30" t="inlineStr">
        <is>
          <t>Order batch 5</t>
        </is>
      </c>
    </row>
    <row r="452">
      <c r="A452" s="34" t="n">
        <v>46115</v>
      </c>
      <c r="B452" s="30" t="inlineStr">
        <is>
          <t>SKU-048</t>
        </is>
      </c>
      <c r="C452" s="30" t="inlineStr">
        <is>
          <t>Market</t>
        </is>
      </c>
      <c r="D452" s="22" t="n">
        <v>1</v>
      </c>
      <c r="E452" s="24" t="n">
        <v>6.44</v>
      </c>
      <c r="F452" s="24" t="n">
        <v>0.84</v>
      </c>
      <c r="G452" s="35">
        <f>D452*E452</f>
        <v/>
      </c>
      <c r="H452" s="35">
        <f>D452*VLOOKUP(B452,Inventory!$A$5:$J$104,10,FALSE)</f>
        <v/>
      </c>
      <c r="I452" s="35">
        <f>G452-F452-H452</f>
        <v/>
      </c>
      <c r="J452" s="30" t="inlineStr">
        <is>
          <t>Order batch 5</t>
        </is>
      </c>
    </row>
    <row r="453">
      <c r="A453" s="34" t="n">
        <v>46115</v>
      </c>
      <c r="B453" s="30" t="inlineStr">
        <is>
          <t>SKU-049</t>
        </is>
      </c>
      <c r="C453" s="30" t="inlineStr">
        <is>
          <t>Retail</t>
        </is>
      </c>
      <c r="D453" s="22" t="n">
        <v>2</v>
      </c>
      <c r="E453" s="24" t="n">
        <v>7.14</v>
      </c>
      <c r="F453" s="24" t="n">
        <v>0.93</v>
      </c>
      <c r="G453" s="35">
        <f>D453*E453</f>
        <v/>
      </c>
      <c r="H453" s="35">
        <f>D453*VLOOKUP(B453,Inventory!$A$5:$J$104,10,FALSE)</f>
        <v/>
      </c>
      <c r="I453" s="35">
        <f>G453-F453-H453</f>
        <v/>
      </c>
      <c r="J453" s="30" t="inlineStr">
        <is>
          <t>Order batch 5</t>
        </is>
      </c>
    </row>
    <row r="454">
      <c r="A454" s="34" t="n">
        <v>46115</v>
      </c>
      <c r="B454" s="30" t="inlineStr">
        <is>
          <t>SKU-050</t>
        </is>
      </c>
      <c r="C454" s="30" t="inlineStr">
        <is>
          <t>Wholesale</t>
        </is>
      </c>
      <c r="D454" s="22" t="n">
        <v>3</v>
      </c>
      <c r="E454" s="24" t="n">
        <v>7.87</v>
      </c>
      <c r="F454" s="24" t="n">
        <v>1.02</v>
      </c>
      <c r="G454" s="35">
        <f>D454*E454</f>
        <v/>
      </c>
      <c r="H454" s="35">
        <f>D454*VLOOKUP(B454,Inventory!$A$5:$J$104,10,FALSE)</f>
        <v/>
      </c>
      <c r="I454" s="35">
        <f>G454-F454-H454</f>
        <v/>
      </c>
      <c r="J454" s="30" t="inlineStr">
        <is>
          <t>Order batch 5</t>
        </is>
      </c>
    </row>
    <row r="455">
      <c r="A455" s="34" t="n">
        <v>46116</v>
      </c>
      <c r="B455" s="30" t="inlineStr">
        <is>
          <t>SKU-051</t>
        </is>
      </c>
      <c r="C455" s="30" t="inlineStr">
        <is>
          <t>Etsy</t>
        </is>
      </c>
      <c r="D455" s="22" t="n">
        <v>1</v>
      </c>
      <c r="E455" s="24" t="n">
        <v>6.89</v>
      </c>
      <c r="F455" s="24" t="n">
        <v>0.9</v>
      </c>
      <c r="G455" s="35">
        <f>D455*E455</f>
        <v/>
      </c>
      <c r="H455" s="35">
        <f>D455*VLOOKUP(B455,Inventory!$A$5:$J$104,10,FALSE)</f>
        <v/>
      </c>
      <c r="I455" s="35">
        <f>G455-F455-H455</f>
        <v/>
      </c>
      <c r="J455" s="30" t="inlineStr">
        <is>
          <t>Order batch 5</t>
        </is>
      </c>
    </row>
    <row r="456">
      <c r="A456" s="34" t="n">
        <v>46116</v>
      </c>
      <c r="B456" s="30" t="inlineStr">
        <is>
          <t>SKU-052</t>
        </is>
      </c>
      <c r="C456" s="30" t="inlineStr">
        <is>
          <t>Shop</t>
        </is>
      </c>
      <c r="D456" s="22" t="n">
        <v>2</v>
      </c>
      <c r="E456" s="24" t="n">
        <v>7.57</v>
      </c>
      <c r="F456" s="24" t="n">
        <v>0.98</v>
      </c>
      <c r="G456" s="35">
        <f>D456*E456</f>
        <v/>
      </c>
      <c r="H456" s="35">
        <f>D456*VLOOKUP(B456,Inventory!$A$5:$J$104,10,FALSE)</f>
        <v/>
      </c>
      <c r="I456" s="35">
        <f>G456-F456-H456</f>
        <v/>
      </c>
      <c r="J456" s="30" t="inlineStr">
        <is>
          <t>Order batch 5</t>
        </is>
      </c>
    </row>
    <row r="457">
      <c r="A457" s="34" t="n">
        <v>46116</v>
      </c>
      <c r="B457" s="30" t="inlineStr">
        <is>
          <t>SKU-053</t>
        </is>
      </c>
      <c r="C457" s="30" t="inlineStr">
        <is>
          <t>Market</t>
        </is>
      </c>
      <c r="D457" s="22" t="n">
        <v>3</v>
      </c>
      <c r="E457" s="24" t="n">
        <v>8.289999999999999</v>
      </c>
      <c r="F457" s="24" t="n">
        <v>1.08</v>
      </c>
      <c r="G457" s="35">
        <f>D457*E457</f>
        <v/>
      </c>
      <c r="H457" s="35">
        <f>D457*VLOOKUP(B457,Inventory!$A$5:$J$104,10,FALSE)</f>
        <v/>
      </c>
      <c r="I457" s="35">
        <f>G457-F457-H457</f>
        <v/>
      </c>
      <c r="J457" s="30" t="inlineStr">
        <is>
          <t>Order batch 5</t>
        </is>
      </c>
    </row>
    <row r="458">
      <c r="A458" s="34" t="n">
        <v>46116</v>
      </c>
      <c r="B458" s="30" t="inlineStr">
        <is>
          <t>SKU-054</t>
        </is>
      </c>
      <c r="C458" s="30" t="inlineStr">
        <is>
          <t>Retail</t>
        </is>
      </c>
      <c r="D458" s="22" t="n">
        <v>1</v>
      </c>
      <c r="E458" s="24" t="n">
        <v>9.029999999999999</v>
      </c>
      <c r="F458" s="24" t="n">
        <v>1.17</v>
      </c>
      <c r="G458" s="35">
        <f>D458*E458</f>
        <v/>
      </c>
      <c r="H458" s="35">
        <f>D458*VLOOKUP(B458,Inventory!$A$5:$J$104,10,FALSE)</f>
        <v/>
      </c>
      <c r="I458" s="35">
        <f>G458-F458-H458</f>
        <v/>
      </c>
      <c r="J458" s="30" t="inlineStr">
        <is>
          <t>Order batch 5</t>
        </is>
      </c>
    </row>
    <row r="459">
      <c r="A459" s="34" t="n">
        <v>46116</v>
      </c>
      <c r="B459" s="30" t="inlineStr">
        <is>
          <t>SKU-055</t>
        </is>
      </c>
      <c r="C459" s="30" t="inlineStr">
        <is>
          <t>Wholesale</t>
        </is>
      </c>
      <c r="D459" s="22" t="n">
        <v>2</v>
      </c>
      <c r="E459" s="24" t="n">
        <v>9.800000000000001</v>
      </c>
      <c r="F459" s="24" t="n">
        <v>1.27</v>
      </c>
      <c r="G459" s="35">
        <f>D459*E459</f>
        <v/>
      </c>
      <c r="H459" s="35">
        <f>D459*VLOOKUP(B459,Inventory!$A$5:$J$104,10,FALSE)</f>
        <v/>
      </c>
      <c r="I459" s="35">
        <f>G459-F459-H459</f>
        <v/>
      </c>
      <c r="J459" s="30" t="inlineStr">
        <is>
          <t>Order batch 5</t>
        </is>
      </c>
    </row>
    <row r="460">
      <c r="A460" s="34" t="n">
        <v>46117</v>
      </c>
      <c r="B460" s="30" t="inlineStr">
        <is>
          <t>SKU-056</t>
        </is>
      </c>
      <c r="C460" s="30" t="inlineStr">
        <is>
          <t>Etsy</t>
        </is>
      </c>
      <c r="D460" s="22" t="n">
        <v>3</v>
      </c>
      <c r="E460" s="24" t="n">
        <v>3.23</v>
      </c>
      <c r="F460" s="24" t="n">
        <v>0.42</v>
      </c>
      <c r="G460" s="35">
        <f>D460*E460</f>
        <v/>
      </c>
      <c r="H460" s="35">
        <f>D460*VLOOKUP(B460,Inventory!$A$5:$J$104,10,FALSE)</f>
        <v/>
      </c>
      <c r="I460" s="35">
        <f>G460-F460-H460</f>
        <v/>
      </c>
      <c r="J460" s="30" t="inlineStr">
        <is>
          <t>Order batch 5</t>
        </is>
      </c>
    </row>
    <row r="461">
      <c r="A461" s="34" t="n">
        <v>46117</v>
      </c>
      <c r="B461" s="30" t="inlineStr">
        <is>
          <t>SKU-057</t>
        </is>
      </c>
      <c r="C461" s="30" t="inlineStr">
        <is>
          <t>Shop</t>
        </is>
      </c>
      <c r="D461" s="22" t="n">
        <v>1</v>
      </c>
      <c r="E461" s="24" t="n">
        <v>3.3</v>
      </c>
      <c r="F461" s="24" t="n">
        <v>0.43</v>
      </c>
      <c r="G461" s="35">
        <f>D461*E461</f>
        <v/>
      </c>
      <c r="H461" s="35">
        <f>D461*VLOOKUP(B461,Inventory!$A$5:$J$104,10,FALSE)</f>
        <v/>
      </c>
      <c r="I461" s="35">
        <f>G461-F461-H461</f>
        <v/>
      </c>
      <c r="J461" s="30" t="inlineStr">
        <is>
          <t>Order batch 5</t>
        </is>
      </c>
    </row>
    <row r="462">
      <c r="A462" s="34" t="n">
        <v>46117</v>
      </c>
      <c r="B462" s="30" t="inlineStr">
        <is>
          <t>SKU-058</t>
        </is>
      </c>
      <c r="C462" s="30" t="inlineStr">
        <is>
          <t>Market</t>
        </is>
      </c>
      <c r="D462" s="22" t="n">
        <v>2</v>
      </c>
      <c r="E462" s="24" t="n">
        <v>3.89</v>
      </c>
      <c r="F462" s="24" t="n">
        <v>0.51</v>
      </c>
      <c r="G462" s="35">
        <f>D462*E462</f>
        <v/>
      </c>
      <c r="H462" s="35">
        <f>D462*VLOOKUP(B462,Inventory!$A$5:$J$104,10,FALSE)</f>
        <v/>
      </c>
      <c r="I462" s="35">
        <f>G462-F462-H462</f>
        <v/>
      </c>
      <c r="J462" s="30" t="inlineStr">
        <is>
          <t>Order batch 5</t>
        </is>
      </c>
    </row>
    <row r="463">
      <c r="A463" s="34" t="n">
        <v>46117</v>
      </c>
      <c r="B463" s="30" t="inlineStr">
        <is>
          <t>SKU-059</t>
        </is>
      </c>
      <c r="C463" s="30" t="inlineStr">
        <is>
          <t>Retail</t>
        </is>
      </c>
      <c r="D463" s="22" t="n">
        <v>3</v>
      </c>
      <c r="E463" s="24" t="n">
        <v>4.5</v>
      </c>
      <c r="F463" s="24" t="n">
        <v>0.58</v>
      </c>
      <c r="G463" s="35">
        <f>D463*E463</f>
        <v/>
      </c>
      <c r="H463" s="35">
        <f>D463*VLOOKUP(B463,Inventory!$A$5:$J$104,10,FALSE)</f>
        <v/>
      </c>
      <c r="I463" s="35">
        <f>G463-F463-H463</f>
        <v/>
      </c>
      <c r="J463" s="30" t="inlineStr">
        <is>
          <t>Order batch 5</t>
        </is>
      </c>
    </row>
    <row r="464">
      <c r="A464" s="34" t="n">
        <v>46117</v>
      </c>
      <c r="B464" s="30" t="inlineStr">
        <is>
          <t>SKU-060</t>
        </is>
      </c>
      <c r="C464" s="30" t="inlineStr">
        <is>
          <t>Wholesale</t>
        </is>
      </c>
      <c r="D464" s="22" t="n">
        <v>1</v>
      </c>
      <c r="E464" s="24" t="n">
        <v>5.14</v>
      </c>
      <c r="F464" s="24" t="n">
        <v>0.67</v>
      </c>
      <c r="G464" s="35">
        <f>D464*E464</f>
        <v/>
      </c>
      <c r="H464" s="35">
        <f>D464*VLOOKUP(B464,Inventory!$A$5:$J$104,10,FALSE)</f>
        <v/>
      </c>
      <c r="I464" s="35">
        <f>G464-F464-H464</f>
        <v/>
      </c>
      <c r="J464" s="30" t="inlineStr">
        <is>
          <t>Order batch 5</t>
        </is>
      </c>
    </row>
    <row r="465">
      <c r="A465" s="34" t="n">
        <v>46118</v>
      </c>
      <c r="B465" s="30" t="inlineStr">
        <is>
          <t>SKU-061</t>
        </is>
      </c>
      <c r="C465" s="30" t="inlineStr">
        <is>
          <t>Etsy</t>
        </is>
      </c>
      <c r="D465" s="22" t="n">
        <v>2</v>
      </c>
      <c r="E465" s="24" t="n">
        <v>11.11</v>
      </c>
      <c r="F465" s="24" t="n">
        <v>1.44</v>
      </c>
      <c r="G465" s="35">
        <f>D465*E465</f>
        <v/>
      </c>
      <c r="H465" s="35">
        <f>D465*VLOOKUP(B465,Inventory!$A$5:$J$104,10,FALSE)</f>
        <v/>
      </c>
      <c r="I465" s="35">
        <f>G465-F465-H465</f>
        <v/>
      </c>
      <c r="J465" s="30" t="inlineStr">
        <is>
          <t>Order batch 5</t>
        </is>
      </c>
    </row>
    <row r="466">
      <c r="A466" s="34" t="n">
        <v>46118</v>
      </c>
      <c r="B466" s="30" t="inlineStr">
        <is>
          <t>SKU-062</t>
        </is>
      </c>
      <c r="C466" s="30" t="inlineStr">
        <is>
          <t>Shop</t>
        </is>
      </c>
      <c r="D466" s="22" t="n">
        <v>3</v>
      </c>
      <c r="E466" s="24" t="n">
        <v>11.94</v>
      </c>
      <c r="F466" s="24" t="n">
        <v>1.55</v>
      </c>
      <c r="G466" s="35">
        <f>D466*E466</f>
        <v/>
      </c>
      <c r="H466" s="35">
        <f>D466*VLOOKUP(B466,Inventory!$A$5:$J$104,10,FALSE)</f>
        <v/>
      </c>
      <c r="I466" s="35">
        <f>G466-F466-H466</f>
        <v/>
      </c>
      <c r="J466" s="30" t="inlineStr">
        <is>
          <t>Order batch 5</t>
        </is>
      </c>
    </row>
    <row r="467">
      <c r="A467" s="34" t="n">
        <v>46118</v>
      </c>
      <c r="B467" s="30" t="inlineStr">
        <is>
          <t>SKU-063</t>
        </is>
      </c>
      <c r="C467" s="30" t="inlineStr">
        <is>
          <t>Market</t>
        </is>
      </c>
      <c r="D467" s="22" t="n">
        <v>1</v>
      </c>
      <c r="E467" s="24" t="n">
        <v>10.92</v>
      </c>
      <c r="F467" s="24" t="n">
        <v>1.42</v>
      </c>
      <c r="G467" s="35">
        <f>D467*E467</f>
        <v/>
      </c>
      <c r="H467" s="35">
        <f>D467*VLOOKUP(B467,Inventory!$A$5:$J$104,10,FALSE)</f>
        <v/>
      </c>
      <c r="I467" s="35">
        <f>G467-F467-H467</f>
        <v/>
      </c>
      <c r="J467" s="30" t="inlineStr">
        <is>
          <t>Order batch 5</t>
        </is>
      </c>
    </row>
    <row r="468">
      <c r="A468" s="34" t="n">
        <v>46118</v>
      </c>
      <c r="B468" s="30" t="inlineStr">
        <is>
          <t>SKU-064</t>
        </is>
      </c>
      <c r="C468" s="30" t="inlineStr">
        <is>
          <t>Retail</t>
        </is>
      </c>
      <c r="D468" s="22" t="n">
        <v>2</v>
      </c>
      <c r="E468" s="24" t="n">
        <v>11.72</v>
      </c>
      <c r="F468" s="24" t="n">
        <v>1.52</v>
      </c>
      <c r="G468" s="35">
        <f>D468*E468</f>
        <v/>
      </c>
      <c r="H468" s="35">
        <f>D468*VLOOKUP(B468,Inventory!$A$5:$J$104,10,FALSE)</f>
        <v/>
      </c>
      <c r="I468" s="35">
        <f>G468-F468-H468</f>
        <v/>
      </c>
      <c r="J468" s="30" t="inlineStr">
        <is>
          <t>Order batch 5</t>
        </is>
      </c>
    </row>
    <row r="469">
      <c r="A469" s="34" t="n">
        <v>46118</v>
      </c>
      <c r="B469" s="30" t="inlineStr">
        <is>
          <t>SKU-065</t>
        </is>
      </c>
      <c r="C469" s="30" t="inlineStr">
        <is>
          <t>Wholesale</t>
        </is>
      </c>
      <c r="D469" s="22" t="n">
        <v>3</v>
      </c>
      <c r="E469" s="24" t="n">
        <v>12.55</v>
      </c>
      <c r="F469" s="24" t="n">
        <v>1.63</v>
      </c>
      <c r="G469" s="35">
        <f>D469*E469</f>
        <v/>
      </c>
      <c r="H469" s="35">
        <f>D469*VLOOKUP(B469,Inventory!$A$5:$J$104,10,FALSE)</f>
        <v/>
      </c>
      <c r="I469" s="35">
        <f>G469-F469-H469</f>
        <v/>
      </c>
      <c r="J469" s="30" t="inlineStr">
        <is>
          <t>Order batch 5</t>
        </is>
      </c>
    </row>
    <row r="470">
      <c r="A470" s="34" t="n">
        <v>46119</v>
      </c>
      <c r="B470" s="30" t="inlineStr">
        <is>
          <t>SKU-066</t>
        </is>
      </c>
      <c r="C470" s="30" t="inlineStr">
        <is>
          <t>Etsy</t>
        </is>
      </c>
      <c r="D470" s="22" t="n">
        <v>1</v>
      </c>
      <c r="E470" s="24" t="n">
        <v>16.29</v>
      </c>
      <c r="F470" s="24" t="n">
        <v>2.12</v>
      </c>
      <c r="G470" s="35">
        <f>D470*E470</f>
        <v/>
      </c>
      <c r="H470" s="35">
        <f>D470*VLOOKUP(B470,Inventory!$A$5:$J$104,10,FALSE)</f>
        <v/>
      </c>
      <c r="I470" s="35">
        <f>G470-F470-H470</f>
        <v/>
      </c>
      <c r="J470" s="30" t="inlineStr">
        <is>
          <t>Order batch 5</t>
        </is>
      </c>
    </row>
    <row r="471">
      <c r="A471" s="34" t="n">
        <v>46119</v>
      </c>
      <c r="B471" s="30" t="inlineStr">
        <is>
          <t>SKU-067</t>
        </is>
      </c>
      <c r="C471" s="30" t="inlineStr">
        <is>
          <t>Shop</t>
        </is>
      </c>
      <c r="D471" s="22" t="n">
        <v>2</v>
      </c>
      <c r="E471" s="24" t="n">
        <v>17.25</v>
      </c>
      <c r="F471" s="24" t="n">
        <v>2.24</v>
      </c>
      <c r="G471" s="35">
        <f>D471*E471</f>
        <v/>
      </c>
      <c r="H471" s="35">
        <f>D471*VLOOKUP(B471,Inventory!$A$5:$J$104,10,FALSE)</f>
        <v/>
      </c>
      <c r="I471" s="35">
        <f>G471-F471-H471</f>
        <v/>
      </c>
      <c r="J471" s="30" t="inlineStr">
        <is>
          <t>Order batch 5</t>
        </is>
      </c>
    </row>
    <row r="472">
      <c r="A472" s="34" t="n">
        <v>46119</v>
      </c>
      <c r="B472" s="30" t="inlineStr">
        <is>
          <t>SKU-068</t>
        </is>
      </c>
      <c r="C472" s="30" t="inlineStr">
        <is>
          <t>Market</t>
        </is>
      </c>
      <c r="D472" s="22" t="n">
        <v>3</v>
      </c>
      <c r="E472" s="24" t="n">
        <v>18.24</v>
      </c>
      <c r="F472" s="24" t="n">
        <v>2.37</v>
      </c>
      <c r="G472" s="35">
        <f>D472*E472</f>
        <v/>
      </c>
      <c r="H472" s="35">
        <f>D472*VLOOKUP(B472,Inventory!$A$5:$J$104,10,FALSE)</f>
        <v/>
      </c>
      <c r="I472" s="35">
        <f>G472-F472-H472</f>
        <v/>
      </c>
      <c r="J472" s="30" t="inlineStr">
        <is>
          <t>Order batch 5</t>
        </is>
      </c>
    </row>
    <row r="473">
      <c r="A473" s="34" t="n">
        <v>46119</v>
      </c>
      <c r="B473" s="30" t="inlineStr">
        <is>
          <t>SKU-069</t>
        </is>
      </c>
      <c r="C473" s="30" t="inlineStr">
        <is>
          <t>Retail</t>
        </is>
      </c>
      <c r="D473" s="22" t="n">
        <v>1</v>
      </c>
      <c r="E473" s="24" t="n">
        <v>16.44</v>
      </c>
      <c r="F473" s="24" t="n">
        <v>2.14</v>
      </c>
      <c r="G473" s="35">
        <f>D473*E473</f>
        <v/>
      </c>
      <c r="H473" s="35">
        <f>D473*VLOOKUP(B473,Inventory!$A$5:$J$104,10,FALSE)</f>
        <v/>
      </c>
      <c r="I473" s="35">
        <f>G473-F473-H473</f>
        <v/>
      </c>
      <c r="J473" s="30" t="inlineStr">
        <is>
          <t>Order batch 5</t>
        </is>
      </c>
    </row>
    <row r="474">
      <c r="A474" s="34" t="n">
        <v>46119</v>
      </c>
      <c r="B474" s="30" t="inlineStr">
        <is>
          <t>SKU-070</t>
        </is>
      </c>
      <c r="C474" s="30" t="inlineStr">
        <is>
          <t>Wholesale</t>
        </is>
      </c>
      <c r="D474" s="22" t="n">
        <v>2</v>
      </c>
      <c r="E474" s="24" t="n">
        <v>17.4</v>
      </c>
      <c r="F474" s="24" t="n">
        <v>2.26</v>
      </c>
      <c r="G474" s="35">
        <f>D474*E474</f>
        <v/>
      </c>
      <c r="H474" s="35">
        <f>D474*VLOOKUP(B474,Inventory!$A$5:$J$104,10,FALSE)</f>
        <v/>
      </c>
      <c r="I474" s="35">
        <f>G474-F474-H474</f>
        <v/>
      </c>
      <c r="J474" s="30" t="inlineStr">
        <is>
          <t>Order batch 5</t>
        </is>
      </c>
    </row>
    <row r="475">
      <c r="A475" s="34" t="n">
        <v>46120</v>
      </c>
      <c r="B475" s="30" t="inlineStr">
        <is>
          <t>SKU-071</t>
        </is>
      </c>
      <c r="C475" s="30" t="inlineStr">
        <is>
          <t>Etsy</t>
        </is>
      </c>
      <c r="D475" s="22" t="n">
        <v>3</v>
      </c>
      <c r="E475" s="24" t="n">
        <v>2.19</v>
      </c>
      <c r="F475" s="24" t="n">
        <v>0.28</v>
      </c>
      <c r="G475" s="35">
        <f>D475*E475</f>
        <v/>
      </c>
      <c r="H475" s="35">
        <f>D475*VLOOKUP(B475,Inventory!$A$5:$J$104,10,FALSE)</f>
        <v/>
      </c>
      <c r="I475" s="35">
        <f>G475-F475-H475</f>
        <v/>
      </c>
      <c r="J475" s="30" t="inlineStr">
        <is>
          <t>Order batch 5</t>
        </is>
      </c>
    </row>
    <row r="476">
      <c r="A476" s="34" t="n">
        <v>46120</v>
      </c>
      <c r="B476" s="30" t="inlineStr">
        <is>
          <t>SKU-072</t>
        </is>
      </c>
      <c r="C476" s="30" t="inlineStr">
        <is>
          <t>Shop</t>
        </is>
      </c>
      <c r="D476" s="22" t="n">
        <v>1</v>
      </c>
      <c r="E476" s="24" t="n">
        <v>2.77</v>
      </c>
      <c r="F476" s="24" t="n">
        <v>0.36</v>
      </c>
      <c r="G476" s="35">
        <f>D476*E476</f>
        <v/>
      </c>
      <c r="H476" s="35">
        <f>D476*VLOOKUP(B476,Inventory!$A$5:$J$104,10,FALSE)</f>
        <v/>
      </c>
      <c r="I476" s="35">
        <f>G476-F476-H476</f>
        <v/>
      </c>
      <c r="J476" s="30" t="inlineStr">
        <is>
          <t>Order batch 5</t>
        </is>
      </c>
    </row>
    <row r="477">
      <c r="A477" s="34" t="n">
        <v>46120</v>
      </c>
      <c r="B477" s="30" t="inlineStr">
        <is>
          <t>SKU-073</t>
        </is>
      </c>
      <c r="C477" s="30" t="inlineStr">
        <is>
          <t>Market</t>
        </is>
      </c>
      <c r="D477" s="22" t="n">
        <v>2</v>
      </c>
      <c r="E477" s="24" t="n">
        <v>3.37</v>
      </c>
      <c r="F477" s="24" t="n">
        <v>0.44</v>
      </c>
      <c r="G477" s="35">
        <f>D477*E477</f>
        <v/>
      </c>
      <c r="H477" s="35">
        <f>D477*VLOOKUP(B477,Inventory!$A$5:$J$104,10,FALSE)</f>
        <v/>
      </c>
      <c r="I477" s="35">
        <f>G477-F477-H477</f>
        <v/>
      </c>
      <c r="J477" s="30" t="inlineStr">
        <is>
          <t>Order batch 5</t>
        </is>
      </c>
    </row>
    <row r="478">
      <c r="A478" s="34" t="n">
        <v>46120</v>
      </c>
      <c r="B478" s="30" t="inlineStr">
        <is>
          <t>SKU-074</t>
        </is>
      </c>
      <c r="C478" s="30" t="inlineStr">
        <is>
          <t>Retail</t>
        </is>
      </c>
      <c r="D478" s="22" t="n">
        <v>3</v>
      </c>
      <c r="E478" s="24" t="n">
        <v>4</v>
      </c>
      <c r="F478" s="24" t="n">
        <v>0.52</v>
      </c>
      <c r="G478" s="35">
        <f>D478*E478</f>
        <v/>
      </c>
      <c r="H478" s="35">
        <f>D478*VLOOKUP(B478,Inventory!$A$5:$J$104,10,FALSE)</f>
        <v/>
      </c>
      <c r="I478" s="35">
        <f>G478-F478-H478</f>
        <v/>
      </c>
      <c r="J478" s="30" t="inlineStr">
        <is>
          <t>Order batch 5</t>
        </is>
      </c>
    </row>
    <row r="479">
      <c r="A479" s="34" t="n">
        <v>46120</v>
      </c>
      <c r="B479" s="30" t="inlineStr">
        <is>
          <t>SKU-075</t>
        </is>
      </c>
      <c r="C479" s="30" t="inlineStr">
        <is>
          <t>Wholesale</t>
        </is>
      </c>
      <c r="D479" s="22" t="n">
        <v>1</v>
      </c>
      <c r="E479" s="24" t="n">
        <v>3.98</v>
      </c>
      <c r="F479" s="24" t="n">
        <v>0.52</v>
      </c>
      <c r="G479" s="35">
        <f>D479*E479</f>
        <v/>
      </c>
      <c r="H479" s="35">
        <f>D479*VLOOKUP(B479,Inventory!$A$5:$J$104,10,FALSE)</f>
        <v/>
      </c>
      <c r="I479" s="35">
        <f>G479-F479-H479</f>
        <v/>
      </c>
      <c r="J479" s="30" t="inlineStr">
        <is>
          <t>Order batch 5</t>
        </is>
      </c>
    </row>
    <row r="480">
      <c r="A480" s="34" t="n">
        <v>46121</v>
      </c>
      <c r="B480" s="30" t="inlineStr">
        <is>
          <t>SKU-076</t>
        </is>
      </c>
      <c r="C480" s="30" t="inlineStr">
        <is>
          <t>Etsy</t>
        </is>
      </c>
      <c r="D480" s="22" t="n">
        <v>2</v>
      </c>
      <c r="E480" s="24" t="n">
        <v>2.76</v>
      </c>
      <c r="F480" s="24" t="n">
        <v>0.36</v>
      </c>
      <c r="G480" s="35">
        <f>D480*E480</f>
        <v/>
      </c>
      <c r="H480" s="35">
        <f>D480*VLOOKUP(B480,Inventory!$A$5:$J$104,10,FALSE)</f>
        <v/>
      </c>
      <c r="I480" s="35">
        <f>G480-F480-H480</f>
        <v/>
      </c>
      <c r="J480" s="30" t="inlineStr">
        <is>
          <t>Order batch 5</t>
        </is>
      </c>
    </row>
    <row r="481">
      <c r="A481" s="34" t="n">
        <v>46121</v>
      </c>
      <c r="B481" s="30" t="inlineStr">
        <is>
          <t>SKU-077</t>
        </is>
      </c>
      <c r="C481" s="30" t="inlineStr">
        <is>
          <t>Shop</t>
        </is>
      </c>
      <c r="D481" s="22" t="n">
        <v>3</v>
      </c>
      <c r="E481" s="24" t="n">
        <v>3.34</v>
      </c>
      <c r="F481" s="24" t="n">
        <v>0.43</v>
      </c>
      <c r="G481" s="35">
        <f>D481*E481</f>
        <v/>
      </c>
      <c r="H481" s="35">
        <f>D481*VLOOKUP(B481,Inventory!$A$5:$J$104,10,FALSE)</f>
        <v/>
      </c>
      <c r="I481" s="35">
        <f>G481-F481-H481</f>
        <v/>
      </c>
      <c r="J481" s="30" t="inlineStr">
        <is>
          <t>Order batch 5</t>
        </is>
      </c>
    </row>
    <row r="482">
      <c r="A482" s="34" t="n">
        <v>46121</v>
      </c>
      <c r="B482" s="30" t="inlineStr">
        <is>
          <t>SKU-078</t>
        </is>
      </c>
      <c r="C482" s="30" t="inlineStr">
        <is>
          <t>Market</t>
        </is>
      </c>
      <c r="D482" s="22" t="n">
        <v>1</v>
      </c>
      <c r="E482" s="24" t="n">
        <v>3.95</v>
      </c>
      <c r="F482" s="24" t="n">
        <v>0.51</v>
      </c>
      <c r="G482" s="35">
        <f>D482*E482</f>
        <v/>
      </c>
      <c r="H482" s="35">
        <f>D482*VLOOKUP(B482,Inventory!$A$5:$J$104,10,FALSE)</f>
        <v/>
      </c>
      <c r="I482" s="35">
        <f>G482-F482-H482</f>
        <v/>
      </c>
      <c r="J482" s="30" t="inlineStr">
        <is>
          <t>Order batch 5</t>
        </is>
      </c>
    </row>
    <row r="483">
      <c r="A483" s="34" t="n">
        <v>46121</v>
      </c>
      <c r="B483" s="30" t="inlineStr">
        <is>
          <t>SKU-079</t>
        </is>
      </c>
      <c r="C483" s="30" t="inlineStr">
        <is>
          <t>Retail</t>
        </is>
      </c>
      <c r="D483" s="22" t="n">
        <v>2</v>
      </c>
      <c r="E483" s="24" t="n">
        <v>4.59</v>
      </c>
      <c r="F483" s="24" t="n">
        <v>0.6</v>
      </c>
      <c r="G483" s="35">
        <f>D483*E483</f>
        <v/>
      </c>
      <c r="H483" s="35">
        <f>D483*VLOOKUP(B483,Inventory!$A$5:$J$104,10,FALSE)</f>
        <v/>
      </c>
      <c r="I483" s="35">
        <f>G483-F483-H483</f>
        <v/>
      </c>
      <c r="J483" s="30" t="inlineStr">
        <is>
          <t>Order batch 5</t>
        </is>
      </c>
    </row>
    <row r="484">
      <c r="A484" s="34" t="n">
        <v>46121</v>
      </c>
      <c r="B484" s="30" t="inlineStr">
        <is>
          <t>SKU-080</t>
        </is>
      </c>
      <c r="C484" s="30" t="inlineStr">
        <is>
          <t>Wholesale</t>
        </is>
      </c>
      <c r="D484" s="22" t="n">
        <v>3</v>
      </c>
      <c r="E484" s="24" t="n">
        <v>5.25</v>
      </c>
      <c r="F484" s="24" t="n">
        <v>0.68</v>
      </c>
      <c r="G484" s="35">
        <f>D484*E484</f>
        <v/>
      </c>
      <c r="H484" s="35">
        <f>D484*VLOOKUP(B484,Inventory!$A$5:$J$104,10,FALSE)</f>
        <v/>
      </c>
      <c r="I484" s="35">
        <f>G484-F484-H484</f>
        <v/>
      </c>
      <c r="J484" s="30" t="inlineStr">
        <is>
          <t>Order batch 5</t>
        </is>
      </c>
    </row>
    <row r="485">
      <c r="A485" s="34" t="n">
        <v>46122</v>
      </c>
      <c r="B485" s="30" t="inlineStr">
        <is>
          <t>SKU-081</t>
        </is>
      </c>
      <c r="C485" s="30" t="inlineStr">
        <is>
          <t>Etsy</t>
        </is>
      </c>
      <c r="D485" s="22" t="n">
        <v>1</v>
      </c>
      <c r="E485" s="24" t="n">
        <v>3.75</v>
      </c>
      <c r="F485" s="24" t="n">
        <v>0.49</v>
      </c>
      <c r="G485" s="35">
        <f>D485*E485</f>
        <v/>
      </c>
      <c r="H485" s="35">
        <f>D485*VLOOKUP(B485,Inventory!$A$5:$J$104,10,FALSE)</f>
        <v/>
      </c>
      <c r="I485" s="35">
        <f>G485-F485-H485</f>
        <v/>
      </c>
      <c r="J485" s="30" t="inlineStr">
        <is>
          <t>Order batch 5</t>
        </is>
      </c>
    </row>
    <row r="486">
      <c r="A486" s="34" t="n">
        <v>46122</v>
      </c>
      <c r="B486" s="30" t="inlineStr">
        <is>
          <t>SKU-082</t>
        </is>
      </c>
      <c r="C486" s="30" t="inlineStr">
        <is>
          <t>Shop</t>
        </is>
      </c>
      <c r="D486" s="22" t="n">
        <v>2</v>
      </c>
      <c r="E486" s="24" t="n">
        <v>4.35</v>
      </c>
      <c r="F486" s="24" t="n">
        <v>0.57</v>
      </c>
      <c r="G486" s="35">
        <f>D486*E486</f>
        <v/>
      </c>
      <c r="H486" s="35">
        <f>D486*VLOOKUP(B486,Inventory!$A$5:$J$104,10,FALSE)</f>
        <v/>
      </c>
      <c r="I486" s="35">
        <f>G486-F486-H486</f>
        <v/>
      </c>
      <c r="J486" s="30" t="inlineStr">
        <is>
          <t>Order batch 5</t>
        </is>
      </c>
    </row>
    <row r="487">
      <c r="A487" s="34" t="n">
        <v>46122</v>
      </c>
      <c r="B487" s="30" t="inlineStr">
        <is>
          <t>SKU-083</t>
        </is>
      </c>
      <c r="C487" s="30" t="inlineStr">
        <is>
          <t>Market</t>
        </is>
      </c>
      <c r="D487" s="22" t="n">
        <v>3</v>
      </c>
      <c r="E487" s="24" t="n">
        <v>4.97</v>
      </c>
      <c r="F487" s="24" t="n">
        <v>0.65</v>
      </c>
      <c r="G487" s="35">
        <f>D487*E487</f>
        <v/>
      </c>
      <c r="H487" s="35">
        <f>D487*VLOOKUP(B487,Inventory!$A$5:$J$104,10,FALSE)</f>
        <v/>
      </c>
      <c r="I487" s="35">
        <f>G487-F487-H487</f>
        <v/>
      </c>
      <c r="J487" s="30" t="inlineStr">
        <is>
          <t>Order batch 5</t>
        </is>
      </c>
    </row>
    <row r="488">
      <c r="A488" s="34" t="n">
        <v>46122</v>
      </c>
      <c r="B488" s="30" t="inlineStr">
        <is>
          <t>SKU-084</t>
        </is>
      </c>
      <c r="C488" s="30" t="inlineStr">
        <is>
          <t>Retail</t>
        </is>
      </c>
      <c r="D488" s="22" t="n">
        <v>1</v>
      </c>
      <c r="E488" s="24" t="n">
        <v>5.62</v>
      </c>
      <c r="F488" s="24" t="n">
        <v>0.73</v>
      </c>
      <c r="G488" s="35">
        <f>D488*E488</f>
        <v/>
      </c>
      <c r="H488" s="35">
        <f>D488*VLOOKUP(B488,Inventory!$A$5:$J$104,10,FALSE)</f>
        <v/>
      </c>
      <c r="I488" s="35">
        <f>G488-F488-H488</f>
        <v/>
      </c>
      <c r="J488" s="30" t="inlineStr">
        <is>
          <t>Order batch 5</t>
        </is>
      </c>
    </row>
    <row r="489">
      <c r="A489" s="34" t="n">
        <v>46122</v>
      </c>
      <c r="B489" s="30" t="inlineStr">
        <is>
          <t>SKU-085</t>
        </is>
      </c>
      <c r="C489" s="30" t="inlineStr">
        <is>
          <t>Wholesale</t>
        </is>
      </c>
      <c r="D489" s="22" t="n">
        <v>2</v>
      </c>
      <c r="E489" s="24" t="n">
        <v>6.3</v>
      </c>
      <c r="F489" s="24" t="n">
        <v>0.82</v>
      </c>
      <c r="G489" s="35">
        <f>D489*E489</f>
        <v/>
      </c>
      <c r="H489" s="35">
        <f>D489*VLOOKUP(B489,Inventory!$A$5:$J$104,10,FALSE)</f>
        <v/>
      </c>
      <c r="I489" s="35">
        <f>G489-F489-H489</f>
        <v/>
      </c>
      <c r="J489" s="30" t="inlineStr">
        <is>
          <t>Order batch 5</t>
        </is>
      </c>
    </row>
    <row r="490">
      <c r="A490" s="34" t="n">
        <v>46123</v>
      </c>
      <c r="B490" s="30" t="inlineStr">
        <is>
          <t>SKU-086</t>
        </is>
      </c>
      <c r="C490" s="30" t="inlineStr">
        <is>
          <t>Etsy</t>
        </is>
      </c>
      <c r="D490" s="22" t="n">
        <v>3</v>
      </c>
      <c r="E490" s="24" t="n">
        <v>2.05</v>
      </c>
      <c r="F490" s="24" t="n">
        <v>0.27</v>
      </c>
      <c r="G490" s="35">
        <f>D490*E490</f>
        <v/>
      </c>
      <c r="H490" s="35">
        <f>D490*VLOOKUP(B490,Inventory!$A$5:$J$104,10,FALSE)</f>
        <v/>
      </c>
      <c r="I490" s="35">
        <f>G490-F490-H490</f>
        <v/>
      </c>
      <c r="J490" s="30" t="inlineStr">
        <is>
          <t>Order batch 5</t>
        </is>
      </c>
    </row>
    <row r="491">
      <c r="A491" s="34" t="n">
        <v>46123</v>
      </c>
      <c r="B491" s="30" t="inlineStr">
        <is>
          <t>SKU-087</t>
        </is>
      </c>
      <c r="C491" s="30" t="inlineStr">
        <is>
          <t>Shop</t>
        </is>
      </c>
      <c r="D491" s="22" t="n">
        <v>1</v>
      </c>
      <c r="E491" s="24" t="n">
        <v>2.27</v>
      </c>
      <c r="F491" s="24" t="n">
        <v>0.3</v>
      </c>
      <c r="G491" s="35">
        <f>D491*E491</f>
        <v/>
      </c>
      <c r="H491" s="35">
        <f>D491*VLOOKUP(B491,Inventory!$A$5:$J$104,10,FALSE)</f>
        <v/>
      </c>
      <c r="I491" s="35">
        <f>G491-F491-H491</f>
        <v/>
      </c>
      <c r="J491" s="30" t="inlineStr">
        <is>
          <t>Order batch 5</t>
        </is>
      </c>
    </row>
    <row r="492">
      <c r="A492" s="34" t="n">
        <v>46123</v>
      </c>
      <c r="B492" s="30" t="inlineStr">
        <is>
          <t>SKU-088</t>
        </is>
      </c>
      <c r="C492" s="30" t="inlineStr">
        <is>
          <t>Market</t>
        </is>
      </c>
      <c r="D492" s="22" t="n">
        <v>2</v>
      </c>
      <c r="E492" s="24" t="n">
        <v>2.82</v>
      </c>
      <c r="F492" s="24" t="n">
        <v>0.37</v>
      </c>
      <c r="G492" s="35">
        <f>D492*E492</f>
        <v/>
      </c>
      <c r="H492" s="35">
        <f>D492*VLOOKUP(B492,Inventory!$A$5:$J$104,10,FALSE)</f>
        <v/>
      </c>
      <c r="I492" s="35">
        <f>G492-F492-H492</f>
        <v/>
      </c>
      <c r="J492" s="30" t="inlineStr">
        <is>
          <t>Order batch 5</t>
        </is>
      </c>
    </row>
    <row r="493">
      <c r="A493" s="34" t="n">
        <v>46123</v>
      </c>
      <c r="B493" s="30" t="inlineStr">
        <is>
          <t>SKU-089</t>
        </is>
      </c>
      <c r="C493" s="30" t="inlineStr">
        <is>
          <t>Retail</t>
        </is>
      </c>
      <c r="D493" s="22" t="n">
        <v>3</v>
      </c>
      <c r="E493" s="24" t="n">
        <v>3.4</v>
      </c>
      <c r="F493" s="24" t="n">
        <v>0.44</v>
      </c>
      <c r="G493" s="35">
        <f>D493*E493</f>
        <v/>
      </c>
      <c r="H493" s="35">
        <f>D493*VLOOKUP(B493,Inventory!$A$5:$J$104,10,FALSE)</f>
        <v/>
      </c>
      <c r="I493" s="35">
        <f>G493-F493-H493</f>
        <v/>
      </c>
      <c r="J493" s="30" t="inlineStr">
        <is>
          <t>Order batch 5</t>
        </is>
      </c>
    </row>
    <row r="494">
      <c r="A494" s="34" t="n">
        <v>46123</v>
      </c>
      <c r="B494" s="30" t="inlineStr">
        <is>
          <t>SKU-090</t>
        </is>
      </c>
      <c r="C494" s="30" t="inlineStr">
        <is>
          <t>Wholesale</t>
        </is>
      </c>
      <c r="D494" s="22" t="n">
        <v>1</v>
      </c>
      <c r="E494" s="24" t="n">
        <v>4.01</v>
      </c>
      <c r="F494" s="24" t="n">
        <v>0.52</v>
      </c>
      <c r="G494" s="35">
        <f>D494*E494</f>
        <v/>
      </c>
      <c r="H494" s="35">
        <f>D494*VLOOKUP(B494,Inventory!$A$5:$J$104,10,FALSE)</f>
        <v/>
      </c>
      <c r="I494" s="35">
        <f>G494-F494-H494</f>
        <v/>
      </c>
      <c r="J494" s="30" t="inlineStr">
        <is>
          <t>Order batch 5</t>
        </is>
      </c>
    </row>
    <row r="495">
      <c r="A495" s="34" t="n">
        <v>46124</v>
      </c>
      <c r="B495" s="30" t="inlineStr">
        <is>
          <t>SKU-091</t>
        </is>
      </c>
      <c r="C495" s="30" t="inlineStr">
        <is>
          <t>Etsy</t>
        </is>
      </c>
      <c r="D495" s="22" t="n">
        <v>2</v>
      </c>
      <c r="E495" s="24" t="n">
        <v>9.800000000000001</v>
      </c>
      <c r="F495" s="24" t="n">
        <v>1.27</v>
      </c>
      <c r="G495" s="35">
        <f>D495*E495</f>
        <v/>
      </c>
      <c r="H495" s="35">
        <f>D495*VLOOKUP(B495,Inventory!$A$5:$J$104,10,FALSE)</f>
        <v/>
      </c>
      <c r="I495" s="35">
        <f>G495-F495-H495</f>
        <v/>
      </c>
      <c r="J495" s="30" t="inlineStr">
        <is>
          <t>Order batch 5</t>
        </is>
      </c>
    </row>
    <row r="496">
      <c r="A496" s="34" t="n">
        <v>46124</v>
      </c>
      <c r="B496" s="30" t="inlineStr">
        <is>
          <t>SKU-092</t>
        </is>
      </c>
      <c r="C496" s="30" t="inlineStr">
        <is>
          <t>Shop</t>
        </is>
      </c>
      <c r="D496" s="22" t="n">
        <v>3</v>
      </c>
      <c r="E496" s="24" t="n">
        <v>10.59</v>
      </c>
      <c r="F496" s="24" t="n">
        <v>1.38</v>
      </c>
      <c r="G496" s="35">
        <f>D496*E496</f>
        <v/>
      </c>
      <c r="H496" s="35">
        <f>D496*VLOOKUP(B496,Inventory!$A$5:$J$104,10,FALSE)</f>
        <v/>
      </c>
      <c r="I496" s="35">
        <f>G496-F496-H496</f>
        <v/>
      </c>
      <c r="J496" s="30" t="inlineStr">
        <is>
          <t>Order batch 5</t>
        </is>
      </c>
    </row>
    <row r="497">
      <c r="A497" s="34" t="n">
        <v>46124</v>
      </c>
      <c r="B497" s="30" t="inlineStr">
        <is>
          <t>SKU-093</t>
        </is>
      </c>
      <c r="C497" s="30" t="inlineStr">
        <is>
          <t>Market</t>
        </is>
      </c>
      <c r="D497" s="22" t="n">
        <v>1</v>
      </c>
      <c r="E497" s="24" t="n">
        <v>9.74</v>
      </c>
      <c r="F497" s="24" t="n">
        <v>1.27</v>
      </c>
      <c r="G497" s="35">
        <f>D497*E497</f>
        <v/>
      </c>
      <c r="H497" s="35">
        <f>D497*VLOOKUP(B497,Inventory!$A$5:$J$104,10,FALSE)</f>
        <v/>
      </c>
      <c r="I497" s="35">
        <f>G497-F497-H497</f>
        <v/>
      </c>
      <c r="J497" s="30" t="inlineStr">
        <is>
          <t>Order batch 5</t>
        </is>
      </c>
    </row>
    <row r="498">
      <c r="A498" s="34" t="n">
        <v>46124</v>
      </c>
      <c r="B498" s="30" t="inlineStr">
        <is>
          <t>SKU-094</t>
        </is>
      </c>
      <c r="C498" s="30" t="inlineStr">
        <is>
          <t>Retail</t>
        </is>
      </c>
      <c r="D498" s="22" t="n">
        <v>2</v>
      </c>
      <c r="E498" s="24" t="n">
        <v>10.51</v>
      </c>
      <c r="F498" s="24" t="n">
        <v>1.37</v>
      </c>
      <c r="G498" s="35">
        <f>D498*E498</f>
        <v/>
      </c>
      <c r="H498" s="35">
        <f>D498*VLOOKUP(B498,Inventory!$A$5:$J$104,10,FALSE)</f>
        <v/>
      </c>
      <c r="I498" s="35">
        <f>G498-F498-H498</f>
        <v/>
      </c>
      <c r="J498" s="30" t="inlineStr">
        <is>
          <t>Order batch 5</t>
        </is>
      </c>
    </row>
    <row r="499">
      <c r="A499" s="34" t="n">
        <v>46124</v>
      </c>
      <c r="B499" s="30" t="inlineStr">
        <is>
          <t>SKU-095</t>
        </is>
      </c>
      <c r="C499" s="30" t="inlineStr">
        <is>
          <t>Wholesale</t>
        </is>
      </c>
      <c r="D499" s="22" t="n">
        <v>3</v>
      </c>
      <c r="E499" s="24" t="n">
        <v>11.31</v>
      </c>
      <c r="F499" s="24" t="n">
        <v>1.47</v>
      </c>
      <c r="G499" s="35">
        <f>D499*E499</f>
        <v/>
      </c>
      <c r="H499" s="35">
        <f>D499*VLOOKUP(B499,Inventory!$A$5:$J$104,10,FALSE)</f>
        <v/>
      </c>
      <c r="I499" s="35">
        <f>G499-F499-H499</f>
        <v/>
      </c>
      <c r="J499" s="30" t="inlineStr">
        <is>
          <t>Order batch 5</t>
        </is>
      </c>
    </row>
    <row r="500">
      <c r="A500" s="34" t="n">
        <v>46125</v>
      </c>
      <c r="B500" s="30" t="inlineStr">
        <is>
          <t>SKU-096</t>
        </is>
      </c>
      <c r="C500" s="30" t="inlineStr">
        <is>
          <t>Etsy</t>
        </is>
      </c>
      <c r="D500" s="22" t="n">
        <v>1</v>
      </c>
      <c r="E500" s="24" t="n">
        <v>6.66</v>
      </c>
      <c r="F500" s="24" t="n">
        <v>0.87</v>
      </c>
      <c r="G500" s="35">
        <f>D500*E500</f>
        <v/>
      </c>
      <c r="H500" s="35">
        <f>D500*VLOOKUP(B500,Inventory!$A$5:$J$104,10,FALSE)</f>
        <v/>
      </c>
      <c r="I500" s="35">
        <f>G500-F500-H500</f>
        <v/>
      </c>
      <c r="J500" s="30" t="inlineStr">
        <is>
          <t>Order batch 5</t>
        </is>
      </c>
    </row>
    <row r="501">
      <c r="A501" s="34" t="n">
        <v>46125</v>
      </c>
      <c r="B501" s="30" t="inlineStr">
        <is>
          <t>SKU-097</t>
        </is>
      </c>
      <c r="C501" s="30" t="inlineStr">
        <is>
          <t>Shop</t>
        </is>
      </c>
      <c r="D501" s="22" t="n">
        <v>2</v>
      </c>
      <c r="E501" s="24" t="n">
        <v>7.36</v>
      </c>
      <c r="F501" s="24" t="n">
        <v>0.96</v>
      </c>
      <c r="G501" s="35">
        <f>D501*E501</f>
        <v/>
      </c>
      <c r="H501" s="35">
        <f>D501*VLOOKUP(B501,Inventory!$A$5:$J$104,10,FALSE)</f>
        <v/>
      </c>
      <c r="I501" s="35">
        <f>G501-F501-H501</f>
        <v/>
      </c>
      <c r="J501" s="30" t="inlineStr">
        <is>
          <t>Order batch 5</t>
        </is>
      </c>
    </row>
    <row r="502">
      <c r="A502" s="34" t="n">
        <v>46125</v>
      </c>
      <c r="B502" s="30" t="inlineStr">
        <is>
          <t>SKU-098</t>
        </is>
      </c>
      <c r="C502" s="30" t="inlineStr">
        <is>
          <t>Market</t>
        </is>
      </c>
      <c r="D502" s="22" t="n">
        <v>3</v>
      </c>
      <c r="E502" s="24" t="n">
        <v>8.1</v>
      </c>
      <c r="F502" s="24" t="n">
        <v>1.05</v>
      </c>
      <c r="G502" s="35">
        <f>D502*E502</f>
        <v/>
      </c>
      <c r="H502" s="35">
        <f>D502*VLOOKUP(B502,Inventory!$A$5:$J$104,10,FALSE)</f>
        <v/>
      </c>
      <c r="I502" s="35">
        <f>G502-F502-H502</f>
        <v/>
      </c>
      <c r="J502" s="30" t="inlineStr">
        <is>
          <t>Order batch 5</t>
        </is>
      </c>
    </row>
    <row r="503">
      <c r="A503" s="34" t="n">
        <v>46125</v>
      </c>
      <c r="B503" s="30" t="inlineStr">
        <is>
          <t>SKU-099</t>
        </is>
      </c>
      <c r="C503" s="30" t="inlineStr">
        <is>
          <t>Retail</t>
        </is>
      </c>
      <c r="D503" s="22" t="n">
        <v>1</v>
      </c>
      <c r="E503" s="24" t="n">
        <v>7.56</v>
      </c>
      <c r="F503" s="24" t="n">
        <v>0.98</v>
      </c>
      <c r="G503" s="35">
        <f>D503*E503</f>
        <v/>
      </c>
      <c r="H503" s="35">
        <f>D503*VLOOKUP(B503,Inventory!$A$5:$J$104,10,FALSE)</f>
        <v/>
      </c>
      <c r="I503" s="35">
        <f>G503-F503-H503</f>
        <v/>
      </c>
      <c r="J503" s="30" t="inlineStr">
        <is>
          <t>Order batch 5</t>
        </is>
      </c>
    </row>
    <row r="504">
      <c r="A504" s="34" t="n">
        <v>46125</v>
      </c>
      <c r="B504" s="30" t="inlineStr">
        <is>
          <t>SKU-100</t>
        </is>
      </c>
      <c r="C504" s="30" t="inlineStr">
        <is>
          <t>Wholesale</t>
        </is>
      </c>
      <c r="D504" s="22" t="n">
        <v>2</v>
      </c>
      <c r="E504" s="24" t="n">
        <v>8.27</v>
      </c>
      <c r="F504" s="24" t="n">
        <v>1.08</v>
      </c>
      <c r="G504" s="35">
        <f>D504*E504</f>
        <v/>
      </c>
      <c r="H504" s="35">
        <f>D504*VLOOKUP(B504,Inventory!$A$5:$J$104,10,FALSE)</f>
        <v/>
      </c>
      <c r="I504" s="35">
        <f>G504-F504-H504</f>
        <v/>
      </c>
      <c r="J504" s="30" t="inlineStr">
        <is>
          <t>Order batch 5</t>
        </is>
      </c>
    </row>
    <row r="505">
      <c r="A505" s="31" t="inlineStr">
        <is>
          <t>Totals</t>
        </is>
      </c>
      <c r="B505" s="31" t="n"/>
      <c r="C505" s="31" t="n"/>
      <c r="D505" s="32">
        <f>SUM(D5:D504)</f>
        <v/>
      </c>
      <c r="E505" s="31" t="n"/>
      <c r="F505" s="31" t="n"/>
      <c r="G505" s="33">
        <f>SUM(G5:G504)</f>
        <v/>
      </c>
      <c r="H505" s="33">
        <f>SUM(H5:H504)</f>
        <v/>
      </c>
      <c r="I505" s="33">
        <f>SUM(I5:I504)</f>
        <v/>
      </c>
      <c r="J5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J1"/>
    <mergeCell ref="A2:J2"/>
  </mergeCells>
  <dataValidations count="1">
    <dataValidation sqref="B5:B5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3" customWidth="1" min="9" max="9"/>
    <col width="15" customWidth="1" min="10" max="10"/>
    <col width="12" customWidth="1" min="11" max="11"/>
    <col width="10" customWidth="1" min="12" max="12"/>
    <col width="20" customWidth="1" min="13" max="13"/>
  </cols>
  <sheetData>
    <row r="1" ht="28" customHeight="1">
      <c r="A1" s="1" t="inlineStr">
        <is>
          <t>Price Calculator</t>
        </is>
      </c>
    </row>
    <row r="2" ht="22" customHeight="1">
      <c r="A2" s="2" t="inlineStr">
        <is>
          <t>Test sale price, expected profit, and margin before you list a product.</t>
        </is>
      </c>
    </row>
    <row r="4">
      <c r="A4" s="14" t="inlineStr">
        <is>
          <t>Product</t>
        </is>
      </c>
      <c r="B4" s="14" t="inlineStr">
        <is>
          <t>SKU</t>
        </is>
      </c>
      <c r="C4" s="14" t="inlineStr">
        <is>
          <t>COGS</t>
        </is>
      </c>
      <c r="D4" s="14" t="inlineStr">
        <is>
          <t>Packaging</t>
        </is>
      </c>
      <c r="E4" s="14" t="inlineStr">
        <is>
          <t>Labor</t>
        </is>
      </c>
      <c r="F4" s="14" t="inlineStr">
        <is>
          <t>Overhead</t>
        </is>
      </c>
      <c r="G4" s="14" t="inlineStr">
        <is>
          <t>Fee %</t>
        </is>
      </c>
      <c r="H4" s="14" t="inlineStr">
        <is>
          <t>Tax %</t>
        </is>
      </c>
      <c r="I4" s="14" t="inlineStr">
        <is>
          <t>Target Margin</t>
        </is>
      </c>
      <c r="J4" s="14" t="inlineStr">
        <is>
          <t>Suggested Price</t>
        </is>
      </c>
      <c r="K4" s="14" t="inlineStr">
        <is>
          <t>Profit</t>
        </is>
      </c>
      <c r="L4" s="14" t="inlineStr">
        <is>
          <t>Margin</t>
        </is>
      </c>
      <c r="M4" s="14" t="inlineStr">
        <is>
          <t>Notes</t>
        </is>
      </c>
    </row>
    <row r="5">
      <c r="A5" s="30" t="inlineStr">
        <is>
          <t>Canvas Tote - Sand</t>
        </is>
      </c>
      <c r="B5" s="30" t="inlineStr">
        <is>
          <t>SKU-001</t>
        </is>
      </c>
      <c r="C5" s="35">
        <f>VLOOKUP(B5,Inventory!$A$5:$J$104,10,FALSE)</f>
        <v/>
      </c>
      <c r="D5" s="24" t="n">
        <v>0.18</v>
      </c>
      <c r="E5" s="24" t="n">
        <v>0.44</v>
      </c>
      <c r="F5" s="24" t="n">
        <v>0.25</v>
      </c>
      <c r="G5" s="36" t="n">
        <v>0.13</v>
      </c>
      <c r="H5" s="36" t="n">
        <v>0.1</v>
      </c>
      <c r="I5" s="36" t="n">
        <v>0.42</v>
      </c>
      <c r="J5" s="35">
        <f>IF(A5="","",ROUND((C5+D5+E5+F5)/(1-(G5+H5+I5)),2))</f>
        <v/>
      </c>
      <c r="K5" s="35">
        <f>IF(J5="","",J5-(C5+D5+E5+F5)-(J5*G5)-(J5*H5))</f>
        <v/>
      </c>
      <c r="L5" s="37">
        <f>IF(J5="","",IF(J5=0,"",K5/J5))</f>
        <v/>
      </c>
      <c r="M5" s="30" t="inlineStr">
        <is>
          <t>Pricing scenario 1</t>
        </is>
      </c>
    </row>
    <row r="6">
      <c r="A6" s="30" t="inlineStr">
        <is>
          <t>Canvas Tote - Olive</t>
        </is>
      </c>
      <c r="B6" s="30" t="inlineStr">
        <is>
          <t>SKU-002</t>
        </is>
      </c>
      <c r="C6" s="35">
        <f>VLOOKUP(B6,Inventory!$A$5:$J$104,10,FALSE)</f>
        <v/>
      </c>
      <c r="D6" s="24" t="n">
        <v>0.25</v>
      </c>
      <c r="E6" s="24" t="n">
        <v>0.53</v>
      </c>
      <c r="F6" s="24" t="n">
        <v>0.25</v>
      </c>
      <c r="G6" s="36" t="n">
        <v>0.13</v>
      </c>
      <c r="H6" s="36" t="n">
        <v>0.1</v>
      </c>
      <c r="I6" s="36" t="n">
        <v>0.45</v>
      </c>
      <c r="J6" s="35">
        <f>IF(A6="","",ROUND((C6+D6+E6+F6)/(1-(G6+H6+I6)),2))</f>
        <v/>
      </c>
      <c r="K6" s="35">
        <f>IF(J6="","",J6-(C6+D6+E6+F6)-(J6*G6)-(J6*H6))</f>
        <v/>
      </c>
      <c r="L6" s="37">
        <f>IF(J6="","",IF(J6=0,"",K6/J6))</f>
        <v/>
      </c>
      <c r="M6" s="30" t="inlineStr">
        <is>
          <t>Pricing scenario 2</t>
        </is>
      </c>
    </row>
    <row r="7">
      <c r="A7" s="30" t="inlineStr">
        <is>
          <t>Canvas Tote - Slate</t>
        </is>
      </c>
      <c r="B7" s="30" t="inlineStr">
        <is>
          <t>SKU-003</t>
        </is>
      </c>
      <c r="C7" s="35">
        <f>VLOOKUP(B7,Inventory!$A$5:$J$104,10,FALSE)</f>
        <v/>
      </c>
      <c r="D7" s="24" t="n">
        <v>0.32</v>
      </c>
      <c r="E7" s="24" t="n">
        <v>0.62</v>
      </c>
      <c r="F7" s="24" t="n">
        <v>0.25</v>
      </c>
      <c r="G7" s="36" t="n">
        <v>0.13</v>
      </c>
      <c r="H7" s="36" t="n">
        <v>0.1</v>
      </c>
      <c r="I7" s="36" t="n">
        <v>0.48</v>
      </c>
      <c r="J7" s="35">
        <f>IF(A7="","",ROUND((C7+D7+E7+F7)/(1-(G7+H7+I7)),2))</f>
        <v/>
      </c>
      <c r="K7" s="35">
        <f>IF(J7="","",J7-(C7+D7+E7+F7)-(J7*G7)-(J7*H7))</f>
        <v/>
      </c>
      <c r="L7" s="37">
        <f>IF(J7="","",IF(J7=0,"",K7/J7))</f>
        <v/>
      </c>
      <c r="M7" s="30" t="inlineStr">
        <is>
          <t>Pricing scenario 3</t>
        </is>
      </c>
    </row>
    <row r="8">
      <c r="A8" s="30" t="inlineStr">
        <is>
          <t>Canvas Tote - Coral</t>
        </is>
      </c>
      <c r="B8" s="30" t="inlineStr">
        <is>
          <t>SKU-004</t>
        </is>
      </c>
      <c r="C8" s="35">
        <f>VLOOKUP(B8,Inventory!$A$5:$J$104,10,FALSE)</f>
        <v/>
      </c>
      <c r="D8" s="24" t="n">
        <v>0.39</v>
      </c>
      <c r="E8" s="24" t="n">
        <v>0.71</v>
      </c>
      <c r="F8" s="24" t="n">
        <v>0.25</v>
      </c>
      <c r="G8" s="36" t="n">
        <v>0.13</v>
      </c>
      <c r="H8" s="36" t="n">
        <v>0.1</v>
      </c>
      <c r="I8" s="36" t="n">
        <v>0.42</v>
      </c>
      <c r="J8" s="35">
        <f>IF(A8="","",ROUND((C8+D8+E8+F8)/(1-(G8+H8+I8)),2))</f>
        <v/>
      </c>
      <c r="K8" s="35">
        <f>IF(J8="","",J8-(C8+D8+E8+F8)-(J8*G8)-(J8*H8))</f>
        <v/>
      </c>
      <c r="L8" s="37">
        <f>IF(J8="","",IF(J8=0,"",K8/J8))</f>
        <v/>
      </c>
      <c r="M8" s="30" t="inlineStr">
        <is>
          <t>Pricing scenario 4</t>
        </is>
      </c>
    </row>
    <row r="9">
      <c r="A9" s="30" t="inlineStr">
        <is>
          <t>Canvas Tote - Natural</t>
        </is>
      </c>
      <c r="B9" s="30" t="inlineStr">
        <is>
          <t>SKU-005</t>
        </is>
      </c>
      <c r="C9" s="35">
        <f>VLOOKUP(B9,Inventory!$A$5:$J$104,10,FALSE)</f>
        <v/>
      </c>
      <c r="D9" s="24" t="n">
        <v>0.18</v>
      </c>
      <c r="E9" s="24" t="n">
        <v>0.8</v>
      </c>
      <c r="F9" s="24" t="n">
        <v>0.25</v>
      </c>
      <c r="G9" s="36" t="n">
        <v>0.13</v>
      </c>
      <c r="H9" s="36" t="n">
        <v>0.1</v>
      </c>
      <c r="I9" s="36" t="n">
        <v>0.45</v>
      </c>
      <c r="J9" s="35">
        <f>IF(A9="","",ROUND((C9+D9+E9+F9)/(1-(G9+H9+I9)),2))</f>
        <v/>
      </c>
      <c r="K9" s="35">
        <f>IF(J9="","",J9-(C9+D9+E9+F9)-(J9*G9)-(J9*H9))</f>
        <v/>
      </c>
      <c r="L9" s="37">
        <f>IF(J9="","",IF(J9=0,"",K9/J9))</f>
        <v/>
      </c>
      <c r="M9" s="30" t="inlineStr">
        <is>
          <t>Pricing scenario 5</t>
        </is>
      </c>
    </row>
    <row r="10">
      <c r="A10" s="30" t="inlineStr">
        <is>
          <t>Ceramic Mug - Sand</t>
        </is>
      </c>
      <c r="B10" s="30" t="inlineStr">
        <is>
          <t>SKU-006</t>
        </is>
      </c>
      <c r="C10" s="35">
        <f>VLOOKUP(B10,Inventory!$A$5:$J$104,10,FALSE)</f>
        <v/>
      </c>
      <c r="D10" s="24" t="n">
        <v>0.25</v>
      </c>
      <c r="E10" s="24" t="n">
        <v>0.44</v>
      </c>
      <c r="F10" s="24" t="n">
        <v>0.25</v>
      </c>
      <c r="G10" s="36" t="n">
        <v>0.13</v>
      </c>
      <c r="H10" s="36" t="n">
        <v>0.1</v>
      </c>
      <c r="I10" s="36" t="n">
        <v>0.48</v>
      </c>
      <c r="J10" s="35">
        <f>IF(A10="","",ROUND((C10+D10+E10+F10)/(1-(G10+H10+I10)),2))</f>
        <v/>
      </c>
      <c r="K10" s="35">
        <f>IF(J10="","",J10-(C10+D10+E10+F10)-(J10*G10)-(J10*H10))</f>
        <v/>
      </c>
      <c r="L10" s="37">
        <f>IF(J10="","",IF(J10=0,"",K10/J10))</f>
        <v/>
      </c>
      <c r="M10" s="30" t="inlineStr">
        <is>
          <t>Pricing scenario 6</t>
        </is>
      </c>
    </row>
    <row r="11">
      <c r="A11" s="30" t="inlineStr">
        <is>
          <t>Ceramic Mug - Olive</t>
        </is>
      </c>
      <c r="B11" s="30" t="inlineStr">
        <is>
          <t>SKU-007</t>
        </is>
      </c>
      <c r="C11" s="35">
        <f>VLOOKUP(B11,Inventory!$A$5:$J$104,10,FALSE)</f>
        <v/>
      </c>
      <c r="D11" s="24" t="n">
        <v>0.32</v>
      </c>
      <c r="E11" s="24" t="n">
        <v>0.53</v>
      </c>
      <c r="F11" s="24" t="n">
        <v>0.25</v>
      </c>
      <c r="G11" s="36" t="n">
        <v>0.13</v>
      </c>
      <c r="H11" s="36" t="n">
        <v>0.1</v>
      </c>
      <c r="I11" s="36" t="n">
        <v>0.42</v>
      </c>
      <c r="J11" s="35">
        <f>IF(A11="","",ROUND((C11+D11+E11+F11)/(1-(G11+H11+I11)),2))</f>
        <v/>
      </c>
      <c r="K11" s="35">
        <f>IF(J11="","",J11-(C11+D11+E11+F11)-(J11*G11)-(J11*H11))</f>
        <v/>
      </c>
      <c r="L11" s="37">
        <f>IF(J11="","",IF(J11=0,"",K11/J11))</f>
        <v/>
      </c>
      <c r="M11" s="30" t="inlineStr">
        <is>
          <t>Pricing scenario 7</t>
        </is>
      </c>
    </row>
    <row r="12">
      <c r="A12" s="30" t="inlineStr">
        <is>
          <t>Ceramic Mug - Slate</t>
        </is>
      </c>
      <c r="B12" s="30" t="inlineStr">
        <is>
          <t>SKU-008</t>
        </is>
      </c>
      <c r="C12" s="35">
        <f>VLOOKUP(B12,Inventory!$A$5:$J$104,10,FALSE)</f>
        <v/>
      </c>
      <c r="D12" s="24" t="n">
        <v>0.39</v>
      </c>
      <c r="E12" s="24" t="n">
        <v>0.62</v>
      </c>
      <c r="F12" s="24" t="n">
        <v>0.25</v>
      </c>
      <c r="G12" s="36" t="n">
        <v>0.13</v>
      </c>
      <c r="H12" s="36" t="n">
        <v>0.1</v>
      </c>
      <c r="I12" s="36" t="n">
        <v>0.45</v>
      </c>
      <c r="J12" s="35">
        <f>IF(A12="","",ROUND((C12+D12+E12+F12)/(1-(G12+H12+I12)),2))</f>
        <v/>
      </c>
      <c r="K12" s="35">
        <f>IF(J12="","",J12-(C12+D12+E12+F12)-(J12*G12)-(J12*H12))</f>
        <v/>
      </c>
      <c r="L12" s="37">
        <f>IF(J12="","",IF(J12=0,"",K12/J12))</f>
        <v/>
      </c>
      <c r="M12" s="30" t="inlineStr">
        <is>
          <t>Pricing scenario 8</t>
        </is>
      </c>
    </row>
    <row r="13">
      <c r="A13" s="30" t="inlineStr">
        <is>
          <t>Ceramic Mug - Coral</t>
        </is>
      </c>
      <c r="B13" s="30" t="inlineStr">
        <is>
          <t>SKU-009</t>
        </is>
      </c>
      <c r="C13" s="35">
        <f>VLOOKUP(B13,Inventory!$A$5:$J$104,10,FALSE)</f>
        <v/>
      </c>
      <c r="D13" s="24" t="n">
        <v>0.18</v>
      </c>
      <c r="E13" s="24" t="n">
        <v>0.71</v>
      </c>
      <c r="F13" s="24" t="n">
        <v>0.25</v>
      </c>
      <c r="G13" s="36" t="n">
        <v>0.13</v>
      </c>
      <c r="H13" s="36" t="n">
        <v>0.1</v>
      </c>
      <c r="I13" s="36" t="n">
        <v>0.48</v>
      </c>
      <c r="J13" s="35">
        <f>IF(A13="","",ROUND((C13+D13+E13+F13)/(1-(G13+H13+I13)),2))</f>
        <v/>
      </c>
      <c r="K13" s="35">
        <f>IF(J13="","",J13-(C13+D13+E13+F13)-(J13*G13)-(J13*H13))</f>
        <v/>
      </c>
      <c r="L13" s="37">
        <f>IF(J13="","",IF(J13=0,"",K13/J13))</f>
        <v/>
      </c>
      <c r="M13" s="30" t="inlineStr">
        <is>
          <t>Pricing scenario 9</t>
        </is>
      </c>
    </row>
    <row r="14">
      <c r="A14" s="30" t="inlineStr">
        <is>
          <t>Ceramic Mug - Natural</t>
        </is>
      </c>
      <c r="B14" s="30" t="inlineStr">
        <is>
          <t>SKU-010</t>
        </is>
      </c>
      <c r="C14" s="35">
        <f>VLOOKUP(B14,Inventory!$A$5:$J$104,10,FALSE)</f>
        <v/>
      </c>
      <c r="D14" s="24" t="n">
        <v>0.25</v>
      </c>
      <c r="E14" s="24" t="n">
        <v>0.8</v>
      </c>
      <c r="F14" s="24" t="n">
        <v>0.25</v>
      </c>
      <c r="G14" s="36" t="n">
        <v>0.13</v>
      </c>
      <c r="H14" s="36" t="n">
        <v>0.1</v>
      </c>
      <c r="I14" s="36" t="n">
        <v>0.42</v>
      </c>
      <c r="J14" s="35">
        <f>IF(A14="","",ROUND((C14+D14+E14+F14)/(1-(G14+H14+I14)),2))</f>
        <v/>
      </c>
      <c r="K14" s="35">
        <f>IF(J14="","",J14-(C14+D14+E14+F14)-(J14*G14)-(J14*H14))</f>
        <v/>
      </c>
      <c r="L14" s="37">
        <f>IF(J14="","",IF(J14=0,"",K14/J14))</f>
        <v/>
      </c>
      <c r="M14" s="30" t="inlineStr">
        <is>
          <t>Pricing scenario 10</t>
        </is>
      </c>
    </row>
    <row r="15">
      <c r="A15" s="30" t="inlineStr">
        <is>
          <t>A5 Notebook - Sand</t>
        </is>
      </c>
      <c r="B15" s="30" t="inlineStr">
        <is>
          <t>SKU-011</t>
        </is>
      </c>
      <c r="C15" s="35">
        <f>VLOOKUP(B15,Inventory!$A$5:$J$104,10,FALSE)</f>
        <v/>
      </c>
      <c r="D15" s="24" t="n">
        <v>0.32</v>
      </c>
      <c r="E15" s="24" t="n">
        <v>0.44</v>
      </c>
      <c r="F15" s="24" t="n">
        <v>0.25</v>
      </c>
      <c r="G15" s="36" t="n">
        <v>0.13</v>
      </c>
      <c r="H15" s="36" t="n">
        <v>0.1</v>
      </c>
      <c r="I15" s="36" t="n">
        <v>0.45</v>
      </c>
      <c r="J15" s="35">
        <f>IF(A15="","",ROUND((C15+D15+E15+F15)/(1-(G15+H15+I15)),2))</f>
        <v/>
      </c>
      <c r="K15" s="35">
        <f>IF(J15="","",J15-(C15+D15+E15+F15)-(J15*G15)-(J15*H15))</f>
        <v/>
      </c>
      <c r="L15" s="37">
        <f>IF(J15="","",IF(J15=0,"",K15/J15))</f>
        <v/>
      </c>
      <c r="M15" s="30" t="inlineStr">
        <is>
          <t>Pricing scenario 11</t>
        </is>
      </c>
    </row>
    <row r="16">
      <c r="A16" s="30" t="inlineStr">
        <is>
          <t>A5 Notebook - Olive</t>
        </is>
      </c>
      <c r="B16" s="30" t="inlineStr">
        <is>
          <t>SKU-012</t>
        </is>
      </c>
      <c r="C16" s="35">
        <f>VLOOKUP(B16,Inventory!$A$5:$J$104,10,FALSE)</f>
        <v/>
      </c>
      <c r="D16" s="24" t="n">
        <v>0.39</v>
      </c>
      <c r="E16" s="24" t="n">
        <v>0.53</v>
      </c>
      <c r="F16" s="24" t="n">
        <v>0.25</v>
      </c>
      <c r="G16" s="36" t="n">
        <v>0.13</v>
      </c>
      <c r="H16" s="36" t="n">
        <v>0.1</v>
      </c>
      <c r="I16" s="36" t="n">
        <v>0.48</v>
      </c>
      <c r="J16" s="35">
        <f>IF(A16="","",ROUND((C16+D16+E16+F16)/(1-(G16+H16+I16)),2))</f>
        <v/>
      </c>
      <c r="K16" s="35">
        <f>IF(J16="","",J16-(C16+D16+E16+F16)-(J16*G16)-(J16*H16))</f>
        <v/>
      </c>
      <c r="L16" s="37">
        <f>IF(J16="","",IF(J16=0,"",K16/J16))</f>
        <v/>
      </c>
      <c r="M16" s="30" t="inlineStr">
        <is>
          <t>Pricing scenario 12</t>
        </is>
      </c>
    </row>
    <row r="17">
      <c r="A17" s="30" t="inlineStr">
        <is>
          <t>A5 Notebook - Slate</t>
        </is>
      </c>
      <c r="B17" s="30" t="inlineStr">
        <is>
          <t>SKU-013</t>
        </is>
      </c>
      <c r="C17" s="35">
        <f>VLOOKUP(B17,Inventory!$A$5:$J$104,10,FALSE)</f>
        <v/>
      </c>
      <c r="D17" s="24" t="n">
        <v>0.18</v>
      </c>
      <c r="E17" s="24" t="n">
        <v>0.62</v>
      </c>
      <c r="F17" s="24" t="n">
        <v>0.25</v>
      </c>
      <c r="G17" s="36" t="n">
        <v>0.13</v>
      </c>
      <c r="H17" s="36" t="n">
        <v>0.1</v>
      </c>
      <c r="I17" s="36" t="n">
        <v>0.42</v>
      </c>
      <c r="J17" s="35">
        <f>IF(A17="","",ROUND((C17+D17+E17+F17)/(1-(G17+H17+I17)),2))</f>
        <v/>
      </c>
      <c r="K17" s="35">
        <f>IF(J17="","",J17-(C17+D17+E17+F17)-(J17*G17)-(J17*H17))</f>
        <v/>
      </c>
      <c r="L17" s="37">
        <f>IF(J17="","",IF(J17=0,"",K17/J17))</f>
        <v/>
      </c>
      <c r="M17" s="30" t="inlineStr">
        <is>
          <t>Pricing scenario 13</t>
        </is>
      </c>
    </row>
    <row r="18">
      <c r="A18" s="30" t="inlineStr">
        <is>
          <t>A5 Notebook - Coral</t>
        </is>
      </c>
      <c r="B18" s="30" t="inlineStr">
        <is>
          <t>SKU-014</t>
        </is>
      </c>
      <c r="C18" s="35">
        <f>VLOOKUP(B18,Inventory!$A$5:$J$104,10,FALSE)</f>
        <v/>
      </c>
      <c r="D18" s="24" t="n">
        <v>0.25</v>
      </c>
      <c r="E18" s="24" t="n">
        <v>0.71</v>
      </c>
      <c r="F18" s="24" t="n">
        <v>0.25</v>
      </c>
      <c r="G18" s="36" t="n">
        <v>0.13</v>
      </c>
      <c r="H18" s="36" t="n">
        <v>0.1</v>
      </c>
      <c r="I18" s="36" t="n">
        <v>0.45</v>
      </c>
      <c r="J18" s="35">
        <f>IF(A18="","",ROUND((C18+D18+E18+F18)/(1-(G18+H18+I18)),2))</f>
        <v/>
      </c>
      <c r="K18" s="35">
        <f>IF(J18="","",J18-(C18+D18+E18+F18)-(J18*G18)-(J18*H18))</f>
        <v/>
      </c>
      <c r="L18" s="37">
        <f>IF(J18="","",IF(J18=0,"",K18/J18))</f>
        <v/>
      </c>
      <c r="M18" s="30" t="inlineStr">
        <is>
          <t>Pricing scenario 14</t>
        </is>
      </c>
    </row>
    <row r="19">
      <c r="A19" s="30" t="inlineStr">
        <is>
          <t>A5 Notebook - Natural</t>
        </is>
      </c>
      <c r="B19" s="30" t="inlineStr">
        <is>
          <t>SKU-015</t>
        </is>
      </c>
      <c r="C19" s="35">
        <f>VLOOKUP(B19,Inventory!$A$5:$J$104,10,FALSE)</f>
        <v/>
      </c>
      <c r="D19" s="24" t="n">
        <v>0.32</v>
      </c>
      <c r="E19" s="24" t="n">
        <v>0.8</v>
      </c>
      <c r="F19" s="24" t="n">
        <v>0.25</v>
      </c>
      <c r="G19" s="36" t="n">
        <v>0.13</v>
      </c>
      <c r="H19" s="36" t="n">
        <v>0.1</v>
      </c>
      <c r="I19" s="36" t="n">
        <v>0.48</v>
      </c>
      <c r="J19" s="35">
        <f>IF(A19="","",ROUND((C19+D19+E19+F19)/(1-(G19+H19+I19)),2))</f>
        <v/>
      </c>
      <c r="K19" s="35">
        <f>IF(J19="","",J19-(C19+D19+E19+F19)-(J19*G19)-(J19*H19))</f>
        <v/>
      </c>
      <c r="L19" s="37">
        <f>IF(J19="","",IF(J19=0,"",K19/J19))</f>
        <v/>
      </c>
      <c r="M19" s="30" t="inlineStr">
        <is>
          <t>Pricing scenario 15</t>
        </is>
      </c>
    </row>
    <row r="20">
      <c r="A20" s="30" t="inlineStr">
        <is>
          <t>Sticker Pack - Sand</t>
        </is>
      </c>
      <c r="B20" s="30" t="inlineStr">
        <is>
          <t>SKU-016</t>
        </is>
      </c>
      <c r="C20" s="35">
        <f>VLOOKUP(B20,Inventory!$A$5:$J$104,10,FALSE)</f>
        <v/>
      </c>
      <c r="D20" s="24" t="n">
        <v>0.39</v>
      </c>
      <c r="E20" s="24" t="n">
        <v>0.44</v>
      </c>
      <c r="F20" s="24" t="n">
        <v>0.25</v>
      </c>
      <c r="G20" s="36" t="n">
        <v>0.13</v>
      </c>
      <c r="H20" s="36" t="n">
        <v>0.1</v>
      </c>
      <c r="I20" s="36" t="n">
        <v>0.42</v>
      </c>
      <c r="J20" s="35">
        <f>IF(A20="","",ROUND((C20+D20+E20+F20)/(1-(G20+H20+I20)),2))</f>
        <v/>
      </c>
      <c r="K20" s="35">
        <f>IF(J20="","",J20-(C20+D20+E20+F20)-(J20*G20)-(J20*H20))</f>
        <v/>
      </c>
      <c r="L20" s="37">
        <f>IF(J20="","",IF(J20=0,"",K20/J20))</f>
        <v/>
      </c>
      <c r="M20" s="30" t="inlineStr">
        <is>
          <t>Pricing scenario 16</t>
        </is>
      </c>
    </row>
    <row r="21">
      <c r="A21" s="30" t="inlineStr">
        <is>
          <t>Sticker Pack - Olive</t>
        </is>
      </c>
      <c r="B21" s="30" t="inlineStr">
        <is>
          <t>SKU-017</t>
        </is>
      </c>
      <c r="C21" s="35">
        <f>VLOOKUP(B21,Inventory!$A$5:$J$104,10,FALSE)</f>
        <v/>
      </c>
      <c r="D21" s="24" t="n">
        <v>0.18</v>
      </c>
      <c r="E21" s="24" t="n">
        <v>0.53</v>
      </c>
      <c r="F21" s="24" t="n">
        <v>0.25</v>
      </c>
      <c r="G21" s="36" t="n">
        <v>0.13</v>
      </c>
      <c r="H21" s="36" t="n">
        <v>0.1</v>
      </c>
      <c r="I21" s="36" t="n">
        <v>0.45</v>
      </c>
      <c r="J21" s="35">
        <f>IF(A21="","",ROUND((C21+D21+E21+F21)/(1-(G21+H21+I21)),2))</f>
        <v/>
      </c>
      <c r="K21" s="35">
        <f>IF(J21="","",J21-(C21+D21+E21+F21)-(J21*G21)-(J21*H21))</f>
        <v/>
      </c>
      <c r="L21" s="37">
        <f>IF(J21="","",IF(J21=0,"",K21/J21))</f>
        <v/>
      </c>
      <c r="M21" s="30" t="inlineStr">
        <is>
          <t>Pricing scenario 17</t>
        </is>
      </c>
    </row>
    <row r="22">
      <c r="A22" s="30" t="inlineStr">
        <is>
          <t>Sticker Pack - Slate</t>
        </is>
      </c>
      <c r="B22" s="30" t="inlineStr">
        <is>
          <t>SKU-018</t>
        </is>
      </c>
      <c r="C22" s="35">
        <f>VLOOKUP(B22,Inventory!$A$5:$J$104,10,FALSE)</f>
        <v/>
      </c>
      <c r="D22" s="24" t="n">
        <v>0.25</v>
      </c>
      <c r="E22" s="24" t="n">
        <v>0.62</v>
      </c>
      <c r="F22" s="24" t="n">
        <v>0.25</v>
      </c>
      <c r="G22" s="36" t="n">
        <v>0.13</v>
      </c>
      <c r="H22" s="36" t="n">
        <v>0.1</v>
      </c>
      <c r="I22" s="36" t="n">
        <v>0.48</v>
      </c>
      <c r="J22" s="35">
        <f>IF(A22="","",ROUND((C22+D22+E22+F22)/(1-(G22+H22+I22)),2))</f>
        <v/>
      </c>
      <c r="K22" s="35">
        <f>IF(J22="","",J22-(C22+D22+E22+F22)-(J22*G22)-(J22*H22))</f>
        <v/>
      </c>
      <c r="L22" s="37">
        <f>IF(J22="","",IF(J22=0,"",K22/J22))</f>
        <v/>
      </c>
      <c r="M22" s="30" t="inlineStr">
        <is>
          <t>Pricing scenario 18</t>
        </is>
      </c>
    </row>
    <row r="23">
      <c r="A23" s="30" t="inlineStr">
        <is>
          <t>Sticker Pack - Coral</t>
        </is>
      </c>
      <c r="B23" s="30" t="inlineStr">
        <is>
          <t>SKU-019</t>
        </is>
      </c>
      <c r="C23" s="35">
        <f>VLOOKUP(B23,Inventory!$A$5:$J$104,10,FALSE)</f>
        <v/>
      </c>
      <c r="D23" s="24" t="n">
        <v>0.32</v>
      </c>
      <c r="E23" s="24" t="n">
        <v>0.71</v>
      </c>
      <c r="F23" s="24" t="n">
        <v>0.25</v>
      </c>
      <c r="G23" s="36" t="n">
        <v>0.13</v>
      </c>
      <c r="H23" s="36" t="n">
        <v>0.1</v>
      </c>
      <c r="I23" s="36" t="n">
        <v>0.42</v>
      </c>
      <c r="J23" s="35">
        <f>IF(A23="","",ROUND((C23+D23+E23+F23)/(1-(G23+H23+I23)),2))</f>
        <v/>
      </c>
      <c r="K23" s="35">
        <f>IF(J23="","",J23-(C23+D23+E23+F23)-(J23*G23)-(J23*H23))</f>
        <v/>
      </c>
      <c r="L23" s="37">
        <f>IF(J23="","",IF(J23=0,"",K23/J23))</f>
        <v/>
      </c>
      <c r="M23" s="30" t="inlineStr">
        <is>
          <t>Pricing scenario 19</t>
        </is>
      </c>
    </row>
    <row r="24">
      <c r="A24" s="30" t="inlineStr">
        <is>
          <t>Sticker Pack - Natural</t>
        </is>
      </c>
      <c r="B24" s="30" t="inlineStr">
        <is>
          <t>SKU-020</t>
        </is>
      </c>
      <c r="C24" s="35">
        <f>VLOOKUP(B24,Inventory!$A$5:$J$104,10,FALSE)</f>
        <v/>
      </c>
      <c r="D24" s="24" t="n">
        <v>0.39</v>
      </c>
      <c r="E24" s="24" t="n">
        <v>0.8</v>
      </c>
      <c r="F24" s="24" t="n">
        <v>0.25</v>
      </c>
      <c r="G24" s="36" t="n">
        <v>0.13</v>
      </c>
      <c r="H24" s="36" t="n">
        <v>0.1</v>
      </c>
      <c r="I24" s="36" t="n">
        <v>0.45</v>
      </c>
      <c r="J24" s="35">
        <f>IF(A24="","",ROUND((C24+D24+E24+F24)/(1-(G24+H24+I24)),2))</f>
        <v/>
      </c>
      <c r="K24" s="35">
        <f>IF(J24="","",J24-(C24+D24+E24+F24)-(J24*G24)-(J24*H24))</f>
        <v/>
      </c>
      <c r="L24" s="37">
        <f>IF(J24="","",IF(J24=0,"",K24/J24))</f>
        <v/>
      </c>
      <c r="M24" s="30" t="inlineStr">
        <is>
          <t>Pricing scenario 20</t>
        </is>
      </c>
    </row>
    <row r="25">
      <c r="A25" s="30" t="inlineStr">
        <is>
          <t>Soy Candle - Sand</t>
        </is>
      </c>
      <c r="B25" s="30" t="inlineStr">
        <is>
          <t>SKU-021</t>
        </is>
      </c>
      <c r="C25" s="35">
        <f>VLOOKUP(B25,Inventory!$A$5:$J$104,10,FALSE)</f>
        <v/>
      </c>
      <c r="D25" s="24" t="n">
        <v>0.18</v>
      </c>
      <c r="E25" s="24" t="n">
        <v>0.44</v>
      </c>
      <c r="F25" s="24" t="n">
        <v>0.25</v>
      </c>
      <c r="G25" s="36" t="n">
        <v>0.13</v>
      </c>
      <c r="H25" s="36" t="n">
        <v>0.1</v>
      </c>
      <c r="I25" s="36" t="n">
        <v>0.48</v>
      </c>
      <c r="J25" s="35">
        <f>IF(A25="","",ROUND((C25+D25+E25+F25)/(1-(G25+H25+I25)),2))</f>
        <v/>
      </c>
      <c r="K25" s="35">
        <f>IF(J25="","",J25-(C25+D25+E25+F25)-(J25*G25)-(J25*H25))</f>
        <v/>
      </c>
      <c r="L25" s="37">
        <f>IF(J25="","",IF(J25=0,"",K25/J25))</f>
        <v/>
      </c>
      <c r="M25" s="30" t="inlineStr">
        <is>
          <t>Pricing scenario 21</t>
        </is>
      </c>
    </row>
    <row r="26">
      <c r="A26" s="30" t="inlineStr">
        <is>
          <t>Soy Candle - Olive</t>
        </is>
      </c>
      <c r="B26" s="30" t="inlineStr">
        <is>
          <t>SKU-022</t>
        </is>
      </c>
      <c r="C26" s="35">
        <f>VLOOKUP(B26,Inventory!$A$5:$J$104,10,FALSE)</f>
        <v/>
      </c>
      <c r="D26" s="24" t="n">
        <v>0.25</v>
      </c>
      <c r="E26" s="24" t="n">
        <v>0.53</v>
      </c>
      <c r="F26" s="24" t="n">
        <v>0.25</v>
      </c>
      <c r="G26" s="36" t="n">
        <v>0.13</v>
      </c>
      <c r="H26" s="36" t="n">
        <v>0.1</v>
      </c>
      <c r="I26" s="36" t="n">
        <v>0.42</v>
      </c>
      <c r="J26" s="35">
        <f>IF(A26="","",ROUND((C26+D26+E26+F26)/(1-(G26+H26+I26)),2))</f>
        <v/>
      </c>
      <c r="K26" s="35">
        <f>IF(J26="","",J26-(C26+D26+E26+F26)-(J26*G26)-(J26*H26))</f>
        <v/>
      </c>
      <c r="L26" s="37">
        <f>IF(J26="","",IF(J26=0,"",K26/J26))</f>
        <v/>
      </c>
      <c r="M26" s="30" t="inlineStr">
        <is>
          <t>Pricing scenario 22</t>
        </is>
      </c>
    </row>
    <row r="27">
      <c r="A27" s="30" t="inlineStr">
        <is>
          <t>Soy Candle - Slate</t>
        </is>
      </c>
      <c r="B27" s="30" t="inlineStr">
        <is>
          <t>SKU-023</t>
        </is>
      </c>
      <c r="C27" s="35">
        <f>VLOOKUP(B27,Inventory!$A$5:$J$104,10,FALSE)</f>
        <v/>
      </c>
      <c r="D27" s="24" t="n">
        <v>0.32</v>
      </c>
      <c r="E27" s="24" t="n">
        <v>0.62</v>
      </c>
      <c r="F27" s="24" t="n">
        <v>0.25</v>
      </c>
      <c r="G27" s="36" t="n">
        <v>0.13</v>
      </c>
      <c r="H27" s="36" t="n">
        <v>0.1</v>
      </c>
      <c r="I27" s="36" t="n">
        <v>0.45</v>
      </c>
      <c r="J27" s="35">
        <f>IF(A27="","",ROUND((C27+D27+E27+F27)/(1-(G27+H27+I27)),2))</f>
        <v/>
      </c>
      <c r="K27" s="35">
        <f>IF(J27="","",J27-(C27+D27+E27+F27)-(J27*G27)-(J27*H27))</f>
        <v/>
      </c>
      <c r="L27" s="37">
        <f>IF(J27="","",IF(J27=0,"",K27/J27))</f>
        <v/>
      </c>
      <c r="M27" s="30" t="inlineStr">
        <is>
          <t>Pricing scenario 23</t>
        </is>
      </c>
    </row>
    <row r="28">
      <c r="A28" s="30" t="inlineStr">
        <is>
          <t>Soy Candle - Coral</t>
        </is>
      </c>
      <c r="B28" s="30" t="inlineStr">
        <is>
          <t>SKU-024</t>
        </is>
      </c>
      <c r="C28" s="35">
        <f>VLOOKUP(B28,Inventory!$A$5:$J$104,10,FALSE)</f>
        <v/>
      </c>
      <c r="D28" s="24" t="n">
        <v>0.39</v>
      </c>
      <c r="E28" s="24" t="n">
        <v>0.71</v>
      </c>
      <c r="F28" s="24" t="n">
        <v>0.25</v>
      </c>
      <c r="G28" s="36" t="n">
        <v>0.13</v>
      </c>
      <c r="H28" s="36" t="n">
        <v>0.1</v>
      </c>
      <c r="I28" s="36" t="n">
        <v>0.48</v>
      </c>
      <c r="J28" s="35">
        <f>IF(A28="","",ROUND((C28+D28+E28+F28)/(1-(G28+H28+I28)),2))</f>
        <v/>
      </c>
      <c r="K28" s="35">
        <f>IF(J28="","",J28-(C28+D28+E28+F28)-(J28*G28)-(J28*H28))</f>
        <v/>
      </c>
      <c r="L28" s="37">
        <f>IF(J28="","",IF(J28=0,"",K28/J28))</f>
        <v/>
      </c>
      <c r="M28" s="30" t="inlineStr">
        <is>
          <t>Pricing scenario 24</t>
        </is>
      </c>
    </row>
    <row r="29">
      <c r="A29" s="30" t="inlineStr">
        <is>
          <t>Soy Candle - Natural</t>
        </is>
      </c>
      <c r="B29" s="30" t="inlineStr">
        <is>
          <t>SKU-025</t>
        </is>
      </c>
      <c r="C29" s="35">
        <f>VLOOKUP(B29,Inventory!$A$5:$J$104,10,FALSE)</f>
        <v/>
      </c>
      <c r="D29" s="24" t="n">
        <v>0.18</v>
      </c>
      <c r="E29" s="24" t="n">
        <v>0.8</v>
      </c>
      <c r="F29" s="24" t="n">
        <v>0.25</v>
      </c>
      <c r="G29" s="36" t="n">
        <v>0.13</v>
      </c>
      <c r="H29" s="36" t="n">
        <v>0.1</v>
      </c>
      <c r="I29" s="36" t="n">
        <v>0.42</v>
      </c>
      <c r="J29" s="35">
        <f>IF(A29="","",ROUND((C29+D29+E29+F29)/(1-(G29+H29+I29)),2))</f>
        <v/>
      </c>
      <c r="K29" s="35">
        <f>IF(J29="","",J29-(C29+D29+E29+F29)-(J29*G29)-(J29*H29))</f>
        <v/>
      </c>
      <c r="L29" s="37">
        <f>IF(J29="","",IF(J29=0,"",K29/J29))</f>
        <v/>
      </c>
      <c r="M29" s="30" t="inlineStr">
        <is>
          <t>Pricing scenario 25</t>
        </is>
      </c>
    </row>
    <row r="30">
      <c r="A30" s="30" t="inlineStr">
        <is>
          <t>Keychain - Sand</t>
        </is>
      </c>
      <c r="B30" s="30" t="inlineStr">
        <is>
          <t>SKU-026</t>
        </is>
      </c>
      <c r="C30" s="35">
        <f>VLOOKUP(B30,Inventory!$A$5:$J$104,10,FALSE)</f>
        <v/>
      </c>
      <c r="D30" s="24" t="n">
        <v>0.25</v>
      </c>
      <c r="E30" s="24" t="n">
        <v>0.44</v>
      </c>
      <c r="F30" s="24" t="n">
        <v>0.25</v>
      </c>
      <c r="G30" s="36" t="n">
        <v>0.13</v>
      </c>
      <c r="H30" s="36" t="n">
        <v>0.1</v>
      </c>
      <c r="I30" s="36" t="n">
        <v>0.45</v>
      </c>
      <c r="J30" s="35">
        <f>IF(A30="","",ROUND((C30+D30+E30+F30)/(1-(G30+H30+I30)),2))</f>
        <v/>
      </c>
      <c r="K30" s="35">
        <f>IF(J30="","",J30-(C30+D30+E30+F30)-(J30*G30)-(J30*H30))</f>
        <v/>
      </c>
      <c r="L30" s="37">
        <f>IF(J30="","",IF(J30=0,"",K30/J30))</f>
        <v/>
      </c>
      <c r="M30" s="30" t="inlineStr">
        <is>
          <t>Pricing scenario 26</t>
        </is>
      </c>
    </row>
    <row r="31">
      <c r="A31" s="30" t="inlineStr">
        <is>
          <t>Keychain - Olive</t>
        </is>
      </c>
      <c r="B31" s="30" t="inlineStr">
        <is>
          <t>SKU-027</t>
        </is>
      </c>
      <c r="C31" s="35">
        <f>VLOOKUP(B31,Inventory!$A$5:$J$104,10,FALSE)</f>
        <v/>
      </c>
      <c r="D31" s="24" t="n">
        <v>0.32</v>
      </c>
      <c r="E31" s="24" t="n">
        <v>0.53</v>
      </c>
      <c r="F31" s="24" t="n">
        <v>0.25</v>
      </c>
      <c r="G31" s="36" t="n">
        <v>0.13</v>
      </c>
      <c r="H31" s="36" t="n">
        <v>0.1</v>
      </c>
      <c r="I31" s="36" t="n">
        <v>0.48</v>
      </c>
      <c r="J31" s="35">
        <f>IF(A31="","",ROUND((C31+D31+E31+F31)/(1-(G31+H31+I31)),2))</f>
        <v/>
      </c>
      <c r="K31" s="35">
        <f>IF(J31="","",J31-(C31+D31+E31+F31)-(J31*G31)-(J31*H31))</f>
        <v/>
      </c>
      <c r="L31" s="37">
        <f>IF(J31="","",IF(J31=0,"",K31/J31))</f>
        <v/>
      </c>
      <c r="M31" s="30" t="inlineStr">
        <is>
          <t>Pricing scenario 27</t>
        </is>
      </c>
    </row>
    <row r="32">
      <c r="A32" s="30" t="inlineStr">
        <is>
          <t>Keychain - Slate</t>
        </is>
      </c>
      <c r="B32" s="30" t="inlineStr">
        <is>
          <t>SKU-028</t>
        </is>
      </c>
      <c r="C32" s="35">
        <f>VLOOKUP(B32,Inventory!$A$5:$J$104,10,FALSE)</f>
        <v/>
      </c>
      <c r="D32" s="24" t="n">
        <v>0.39</v>
      </c>
      <c r="E32" s="24" t="n">
        <v>0.62</v>
      </c>
      <c r="F32" s="24" t="n">
        <v>0.25</v>
      </c>
      <c r="G32" s="36" t="n">
        <v>0.13</v>
      </c>
      <c r="H32" s="36" t="n">
        <v>0.1</v>
      </c>
      <c r="I32" s="36" t="n">
        <v>0.42</v>
      </c>
      <c r="J32" s="35">
        <f>IF(A32="","",ROUND((C32+D32+E32+F32)/(1-(G32+H32+I32)),2))</f>
        <v/>
      </c>
      <c r="K32" s="35">
        <f>IF(J32="","",J32-(C32+D32+E32+F32)-(J32*G32)-(J32*H32))</f>
        <v/>
      </c>
      <c r="L32" s="37">
        <f>IF(J32="","",IF(J32=0,"",K32/J32))</f>
        <v/>
      </c>
      <c r="M32" s="30" t="inlineStr">
        <is>
          <t>Pricing scenario 28</t>
        </is>
      </c>
    </row>
    <row r="33">
      <c r="A33" s="30" t="inlineStr">
        <is>
          <t>Keychain - Coral</t>
        </is>
      </c>
      <c r="B33" s="30" t="inlineStr">
        <is>
          <t>SKU-029</t>
        </is>
      </c>
      <c r="C33" s="35">
        <f>VLOOKUP(B33,Inventory!$A$5:$J$104,10,FALSE)</f>
        <v/>
      </c>
      <c r="D33" s="24" t="n">
        <v>0.18</v>
      </c>
      <c r="E33" s="24" t="n">
        <v>0.71</v>
      </c>
      <c r="F33" s="24" t="n">
        <v>0.25</v>
      </c>
      <c r="G33" s="36" t="n">
        <v>0.13</v>
      </c>
      <c r="H33" s="36" t="n">
        <v>0.1</v>
      </c>
      <c r="I33" s="36" t="n">
        <v>0.45</v>
      </c>
      <c r="J33" s="35">
        <f>IF(A33="","",ROUND((C33+D33+E33+F33)/(1-(G33+H33+I33)),2))</f>
        <v/>
      </c>
      <c r="K33" s="35">
        <f>IF(J33="","",J33-(C33+D33+E33+F33)-(J33*G33)-(J33*H33))</f>
        <v/>
      </c>
      <c r="L33" s="37">
        <f>IF(J33="","",IF(J33=0,"",K33/J33))</f>
        <v/>
      </c>
      <c r="M33" s="30" t="inlineStr">
        <is>
          <t>Pricing scenario 29</t>
        </is>
      </c>
    </row>
    <row r="34">
      <c r="A34" s="30" t="inlineStr">
        <is>
          <t>Keychain - Natural</t>
        </is>
      </c>
      <c r="B34" s="30" t="inlineStr">
        <is>
          <t>SKU-030</t>
        </is>
      </c>
      <c r="C34" s="35">
        <f>VLOOKUP(B34,Inventory!$A$5:$J$104,10,FALSE)</f>
        <v/>
      </c>
      <c r="D34" s="24" t="n">
        <v>0.25</v>
      </c>
      <c r="E34" s="24" t="n">
        <v>0.8</v>
      </c>
      <c r="F34" s="24" t="n">
        <v>0.25</v>
      </c>
      <c r="G34" s="36" t="n">
        <v>0.13</v>
      </c>
      <c r="H34" s="36" t="n">
        <v>0.1</v>
      </c>
      <c r="I34" s="36" t="n">
        <v>0.48</v>
      </c>
      <c r="J34" s="35">
        <f>IF(A34="","",ROUND((C34+D34+E34+F34)/(1-(G34+H34+I34)),2))</f>
        <v/>
      </c>
      <c r="K34" s="35">
        <f>IF(J34="","",J34-(C34+D34+E34+F34)-(J34*G34)-(J34*H34))</f>
        <v/>
      </c>
      <c r="L34" s="37">
        <f>IF(J34="","",IF(J34=0,"",K34/J34))</f>
        <v/>
      </c>
      <c r="M34" s="30" t="inlineStr">
        <is>
          <t>Pricing scenario 30</t>
        </is>
      </c>
    </row>
    <row r="35">
      <c r="A35" s="30" t="inlineStr">
        <is>
          <t>Water Bottle - Sand</t>
        </is>
      </c>
      <c r="B35" s="30" t="inlineStr">
        <is>
          <t>SKU-031</t>
        </is>
      </c>
      <c r="C35" s="35">
        <f>VLOOKUP(B35,Inventory!$A$5:$J$104,10,FALSE)</f>
        <v/>
      </c>
      <c r="D35" s="24" t="n">
        <v>0.32</v>
      </c>
      <c r="E35" s="24" t="n">
        <v>0.44</v>
      </c>
      <c r="F35" s="24" t="n">
        <v>0.25</v>
      </c>
      <c r="G35" s="36" t="n">
        <v>0.13</v>
      </c>
      <c r="H35" s="36" t="n">
        <v>0.1</v>
      </c>
      <c r="I35" s="36" t="n">
        <v>0.42</v>
      </c>
      <c r="J35" s="35">
        <f>IF(A35="","",ROUND((C35+D35+E35+F35)/(1-(G35+H35+I35)),2))</f>
        <v/>
      </c>
      <c r="K35" s="35">
        <f>IF(J35="","",J35-(C35+D35+E35+F35)-(J35*G35)-(J35*H35))</f>
        <v/>
      </c>
      <c r="L35" s="37">
        <f>IF(J35="","",IF(J35=0,"",K35/J35))</f>
        <v/>
      </c>
      <c r="M35" s="30" t="inlineStr">
        <is>
          <t>Pricing scenario 31</t>
        </is>
      </c>
    </row>
    <row r="36">
      <c r="A36" s="30" t="inlineStr">
        <is>
          <t>Water Bottle - Olive</t>
        </is>
      </c>
      <c r="B36" s="30" t="inlineStr">
        <is>
          <t>SKU-032</t>
        </is>
      </c>
      <c r="C36" s="35">
        <f>VLOOKUP(B36,Inventory!$A$5:$J$104,10,FALSE)</f>
        <v/>
      </c>
      <c r="D36" s="24" t="n">
        <v>0.39</v>
      </c>
      <c r="E36" s="24" t="n">
        <v>0.53</v>
      </c>
      <c r="F36" s="24" t="n">
        <v>0.25</v>
      </c>
      <c r="G36" s="36" t="n">
        <v>0.13</v>
      </c>
      <c r="H36" s="36" t="n">
        <v>0.1</v>
      </c>
      <c r="I36" s="36" t="n">
        <v>0.45</v>
      </c>
      <c r="J36" s="35">
        <f>IF(A36="","",ROUND((C36+D36+E36+F36)/(1-(G36+H36+I36)),2))</f>
        <v/>
      </c>
      <c r="K36" s="35">
        <f>IF(J36="","",J36-(C36+D36+E36+F36)-(J36*G36)-(J36*H36))</f>
        <v/>
      </c>
      <c r="L36" s="37">
        <f>IF(J36="","",IF(J36=0,"",K36/J36))</f>
        <v/>
      </c>
      <c r="M36" s="30" t="inlineStr">
        <is>
          <t>Pricing scenario 32</t>
        </is>
      </c>
    </row>
    <row r="37">
      <c r="A37" s="30" t="inlineStr">
        <is>
          <t>Water Bottle - Slate</t>
        </is>
      </c>
      <c r="B37" s="30" t="inlineStr">
        <is>
          <t>SKU-033</t>
        </is>
      </c>
      <c r="C37" s="35">
        <f>VLOOKUP(B37,Inventory!$A$5:$J$104,10,FALSE)</f>
        <v/>
      </c>
      <c r="D37" s="24" t="n">
        <v>0.18</v>
      </c>
      <c r="E37" s="24" t="n">
        <v>0.62</v>
      </c>
      <c r="F37" s="24" t="n">
        <v>0.25</v>
      </c>
      <c r="G37" s="36" t="n">
        <v>0.13</v>
      </c>
      <c r="H37" s="36" t="n">
        <v>0.1</v>
      </c>
      <c r="I37" s="36" t="n">
        <v>0.48</v>
      </c>
      <c r="J37" s="35">
        <f>IF(A37="","",ROUND((C37+D37+E37+F37)/(1-(G37+H37+I37)),2))</f>
        <v/>
      </c>
      <c r="K37" s="35">
        <f>IF(J37="","",J37-(C37+D37+E37+F37)-(J37*G37)-(J37*H37))</f>
        <v/>
      </c>
      <c r="L37" s="37">
        <f>IF(J37="","",IF(J37=0,"",K37/J37))</f>
        <v/>
      </c>
      <c r="M37" s="30" t="inlineStr">
        <is>
          <t>Pricing scenario 33</t>
        </is>
      </c>
    </row>
    <row r="38">
      <c r="A38" s="30" t="inlineStr">
        <is>
          <t>Water Bottle - Coral</t>
        </is>
      </c>
      <c r="B38" s="30" t="inlineStr">
        <is>
          <t>SKU-034</t>
        </is>
      </c>
      <c r="C38" s="35">
        <f>VLOOKUP(B38,Inventory!$A$5:$J$104,10,FALSE)</f>
        <v/>
      </c>
      <c r="D38" s="24" t="n">
        <v>0.25</v>
      </c>
      <c r="E38" s="24" t="n">
        <v>0.71</v>
      </c>
      <c r="F38" s="24" t="n">
        <v>0.25</v>
      </c>
      <c r="G38" s="36" t="n">
        <v>0.13</v>
      </c>
      <c r="H38" s="36" t="n">
        <v>0.1</v>
      </c>
      <c r="I38" s="36" t="n">
        <v>0.42</v>
      </c>
      <c r="J38" s="35">
        <f>IF(A38="","",ROUND((C38+D38+E38+F38)/(1-(G38+H38+I38)),2))</f>
        <v/>
      </c>
      <c r="K38" s="35">
        <f>IF(J38="","",J38-(C38+D38+E38+F38)-(J38*G38)-(J38*H38))</f>
        <v/>
      </c>
      <c r="L38" s="37">
        <f>IF(J38="","",IF(J38=0,"",K38/J38))</f>
        <v/>
      </c>
      <c r="M38" s="30" t="inlineStr">
        <is>
          <t>Pricing scenario 34</t>
        </is>
      </c>
    </row>
    <row r="39">
      <c r="A39" s="30" t="inlineStr">
        <is>
          <t>Water Bottle - Natural</t>
        </is>
      </c>
      <c r="B39" s="30" t="inlineStr">
        <is>
          <t>SKU-035</t>
        </is>
      </c>
      <c r="C39" s="35">
        <f>VLOOKUP(B39,Inventory!$A$5:$J$104,10,FALSE)</f>
        <v/>
      </c>
      <c r="D39" s="24" t="n">
        <v>0.32</v>
      </c>
      <c r="E39" s="24" t="n">
        <v>0.8</v>
      </c>
      <c r="F39" s="24" t="n">
        <v>0.25</v>
      </c>
      <c r="G39" s="36" t="n">
        <v>0.13</v>
      </c>
      <c r="H39" s="36" t="n">
        <v>0.1</v>
      </c>
      <c r="I39" s="36" t="n">
        <v>0.45</v>
      </c>
      <c r="J39" s="35">
        <f>IF(A39="","",ROUND((C39+D39+E39+F39)/(1-(G39+H39+I39)),2))</f>
        <v/>
      </c>
      <c r="K39" s="35">
        <f>IF(J39="","",J39-(C39+D39+E39+F39)-(J39*G39)-(J39*H39))</f>
        <v/>
      </c>
      <c r="L39" s="37">
        <f>IF(J39="","",IF(J39=0,"",K39/J39))</f>
        <v/>
      </c>
      <c r="M39" s="30" t="inlineStr">
        <is>
          <t>Pricing scenario 35</t>
        </is>
      </c>
    </row>
    <row r="40">
      <c r="A40" s="30" t="inlineStr">
        <is>
          <t>Print Set - Sand</t>
        </is>
      </c>
      <c r="B40" s="30" t="inlineStr">
        <is>
          <t>SKU-036</t>
        </is>
      </c>
      <c r="C40" s="35">
        <f>VLOOKUP(B40,Inventory!$A$5:$J$104,10,FALSE)</f>
        <v/>
      </c>
      <c r="D40" s="24" t="n">
        <v>0.39</v>
      </c>
      <c r="E40" s="24" t="n">
        <v>0.44</v>
      </c>
      <c r="F40" s="24" t="n">
        <v>0.25</v>
      </c>
      <c r="G40" s="36" t="n">
        <v>0.13</v>
      </c>
      <c r="H40" s="36" t="n">
        <v>0.1</v>
      </c>
      <c r="I40" s="36" t="n">
        <v>0.48</v>
      </c>
      <c r="J40" s="35">
        <f>IF(A40="","",ROUND((C40+D40+E40+F40)/(1-(G40+H40+I40)),2))</f>
        <v/>
      </c>
      <c r="K40" s="35">
        <f>IF(J40="","",J40-(C40+D40+E40+F40)-(J40*G40)-(J40*H40))</f>
        <v/>
      </c>
      <c r="L40" s="37">
        <f>IF(J40="","",IF(J40=0,"",K40/J40))</f>
        <v/>
      </c>
      <c r="M40" s="30" t="inlineStr">
        <is>
          <t>Pricing scenario 36</t>
        </is>
      </c>
    </row>
    <row r="41">
      <c r="A41" s="30" t="inlineStr">
        <is>
          <t>Print Set - Olive</t>
        </is>
      </c>
      <c r="B41" s="30" t="inlineStr">
        <is>
          <t>SKU-037</t>
        </is>
      </c>
      <c r="C41" s="35">
        <f>VLOOKUP(B41,Inventory!$A$5:$J$104,10,FALSE)</f>
        <v/>
      </c>
      <c r="D41" s="24" t="n">
        <v>0.18</v>
      </c>
      <c r="E41" s="24" t="n">
        <v>0.53</v>
      </c>
      <c r="F41" s="24" t="n">
        <v>0.25</v>
      </c>
      <c r="G41" s="36" t="n">
        <v>0.13</v>
      </c>
      <c r="H41" s="36" t="n">
        <v>0.1</v>
      </c>
      <c r="I41" s="36" t="n">
        <v>0.42</v>
      </c>
      <c r="J41" s="35">
        <f>IF(A41="","",ROUND((C41+D41+E41+F41)/(1-(G41+H41+I41)),2))</f>
        <v/>
      </c>
      <c r="K41" s="35">
        <f>IF(J41="","",J41-(C41+D41+E41+F41)-(J41*G41)-(J41*H41))</f>
        <v/>
      </c>
      <c r="L41" s="37">
        <f>IF(J41="","",IF(J41=0,"",K41/J41))</f>
        <v/>
      </c>
      <c r="M41" s="30" t="inlineStr">
        <is>
          <t>Pricing scenario 37</t>
        </is>
      </c>
    </row>
    <row r="42">
      <c r="A42" s="30" t="inlineStr">
        <is>
          <t>Print Set - Slate</t>
        </is>
      </c>
      <c r="B42" s="30" t="inlineStr">
        <is>
          <t>SKU-038</t>
        </is>
      </c>
      <c r="C42" s="35">
        <f>VLOOKUP(B42,Inventory!$A$5:$J$104,10,FALSE)</f>
        <v/>
      </c>
      <c r="D42" s="24" t="n">
        <v>0.25</v>
      </c>
      <c r="E42" s="24" t="n">
        <v>0.62</v>
      </c>
      <c r="F42" s="24" t="n">
        <v>0.25</v>
      </c>
      <c r="G42" s="36" t="n">
        <v>0.13</v>
      </c>
      <c r="H42" s="36" t="n">
        <v>0.1</v>
      </c>
      <c r="I42" s="36" t="n">
        <v>0.45</v>
      </c>
      <c r="J42" s="35">
        <f>IF(A42="","",ROUND((C42+D42+E42+F42)/(1-(G42+H42+I42)),2))</f>
        <v/>
      </c>
      <c r="K42" s="35">
        <f>IF(J42="","",J42-(C42+D42+E42+F42)-(J42*G42)-(J42*H42))</f>
        <v/>
      </c>
      <c r="L42" s="37">
        <f>IF(J42="","",IF(J42=0,"",K42/J42))</f>
        <v/>
      </c>
      <c r="M42" s="30" t="inlineStr">
        <is>
          <t>Pricing scenario 38</t>
        </is>
      </c>
    </row>
    <row r="43">
      <c r="A43" s="30" t="inlineStr">
        <is>
          <t>Print Set - Coral</t>
        </is>
      </c>
      <c r="B43" s="30" t="inlineStr">
        <is>
          <t>SKU-039</t>
        </is>
      </c>
      <c r="C43" s="35">
        <f>VLOOKUP(B43,Inventory!$A$5:$J$104,10,FALSE)</f>
        <v/>
      </c>
      <c r="D43" s="24" t="n">
        <v>0.32</v>
      </c>
      <c r="E43" s="24" t="n">
        <v>0.71</v>
      </c>
      <c r="F43" s="24" t="n">
        <v>0.25</v>
      </c>
      <c r="G43" s="36" t="n">
        <v>0.13</v>
      </c>
      <c r="H43" s="36" t="n">
        <v>0.1</v>
      </c>
      <c r="I43" s="36" t="n">
        <v>0.48</v>
      </c>
      <c r="J43" s="35">
        <f>IF(A43="","",ROUND((C43+D43+E43+F43)/(1-(G43+H43+I43)),2))</f>
        <v/>
      </c>
      <c r="K43" s="35">
        <f>IF(J43="","",J43-(C43+D43+E43+F43)-(J43*G43)-(J43*H43))</f>
        <v/>
      </c>
      <c r="L43" s="37">
        <f>IF(J43="","",IF(J43=0,"",K43/J43))</f>
        <v/>
      </c>
      <c r="M43" s="30" t="inlineStr">
        <is>
          <t>Pricing scenario 39</t>
        </is>
      </c>
    </row>
    <row r="44">
      <c r="A44" s="30" t="inlineStr">
        <is>
          <t>Print Set - Natural</t>
        </is>
      </c>
      <c r="B44" s="30" t="inlineStr">
        <is>
          <t>SKU-040</t>
        </is>
      </c>
      <c r="C44" s="35">
        <f>VLOOKUP(B44,Inventory!$A$5:$J$104,10,FALSE)</f>
        <v/>
      </c>
      <c r="D44" s="24" t="n">
        <v>0.39</v>
      </c>
      <c r="E44" s="24" t="n">
        <v>0.8</v>
      </c>
      <c r="F44" s="24" t="n">
        <v>0.25</v>
      </c>
      <c r="G44" s="36" t="n">
        <v>0.13</v>
      </c>
      <c r="H44" s="36" t="n">
        <v>0.1</v>
      </c>
      <c r="I44" s="36" t="n">
        <v>0.42</v>
      </c>
      <c r="J44" s="35">
        <f>IF(A44="","",ROUND((C44+D44+E44+F44)/(1-(G44+H44+I44)),2))</f>
        <v/>
      </c>
      <c r="K44" s="35">
        <f>IF(J44="","",J44-(C44+D44+E44+F44)-(J44*G44)-(J44*H44))</f>
        <v/>
      </c>
      <c r="L44" s="37">
        <f>IF(J44="","",IF(J44=0,"",K44/J44))</f>
        <v/>
      </c>
      <c r="M44" s="30" t="inlineStr">
        <is>
          <t>Pricing scenario 40</t>
        </is>
      </c>
    </row>
    <row r="45">
      <c r="A45" s="30" t="inlineStr">
        <is>
          <t>Phone Grip - Sand</t>
        </is>
      </c>
      <c r="B45" s="30" t="inlineStr">
        <is>
          <t>SKU-041</t>
        </is>
      </c>
      <c r="C45" s="35">
        <f>VLOOKUP(B45,Inventory!$A$5:$J$104,10,FALSE)</f>
        <v/>
      </c>
      <c r="D45" s="24" t="n">
        <v>0.18</v>
      </c>
      <c r="E45" s="24" t="n">
        <v>0.44</v>
      </c>
      <c r="F45" s="24" t="n">
        <v>0.25</v>
      </c>
      <c r="G45" s="36" t="n">
        <v>0.13</v>
      </c>
      <c r="H45" s="36" t="n">
        <v>0.1</v>
      </c>
      <c r="I45" s="36" t="n">
        <v>0.45</v>
      </c>
      <c r="J45" s="35">
        <f>IF(A45="","",ROUND((C45+D45+E45+F45)/(1-(G45+H45+I45)),2))</f>
        <v/>
      </c>
      <c r="K45" s="35">
        <f>IF(J45="","",J45-(C45+D45+E45+F45)-(J45*G45)-(J45*H45))</f>
        <v/>
      </c>
      <c r="L45" s="37">
        <f>IF(J45="","",IF(J45=0,"",K45/J45))</f>
        <v/>
      </c>
      <c r="M45" s="30" t="inlineStr">
        <is>
          <t>Pricing scenario 41</t>
        </is>
      </c>
    </row>
    <row r="46">
      <c r="A46" s="30" t="inlineStr">
        <is>
          <t>Phone Grip - Olive</t>
        </is>
      </c>
      <c r="B46" s="30" t="inlineStr">
        <is>
          <t>SKU-042</t>
        </is>
      </c>
      <c r="C46" s="35">
        <f>VLOOKUP(B46,Inventory!$A$5:$J$104,10,FALSE)</f>
        <v/>
      </c>
      <c r="D46" s="24" t="n">
        <v>0.25</v>
      </c>
      <c r="E46" s="24" t="n">
        <v>0.53</v>
      </c>
      <c r="F46" s="24" t="n">
        <v>0.25</v>
      </c>
      <c r="G46" s="36" t="n">
        <v>0.13</v>
      </c>
      <c r="H46" s="36" t="n">
        <v>0.1</v>
      </c>
      <c r="I46" s="36" t="n">
        <v>0.48</v>
      </c>
      <c r="J46" s="35">
        <f>IF(A46="","",ROUND((C46+D46+E46+F46)/(1-(G46+H46+I46)),2))</f>
        <v/>
      </c>
      <c r="K46" s="35">
        <f>IF(J46="","",J46-(C46+D46+E46+F46)-(J46*G46)-(J46*H46))</f>
        <v/>
      </c>
      <c r="L46" s="37">
        <f>IF(J46="","",IF(J46=0,"",K46/J46))</f>
        <v/>
      </c>
      <c r="M46" s="30" t="inlineStr">
        <is>
          <t>Pricing scenario 42</t>
        </is>
      </c>
    </row>
    <row r="47">
      <c r="A47" s="30" t="inlineStr">
        <is>
          <t>Phone Grip - Slate</t>
        </is>
      </c>
      <c r="B47" s="30" t="inlineStr">
        <is>
          <t>SKU-043</t>
        </is>
      </c>
      <c r="C47" s="35">
        <f>VLOOKUP(B47,Inventory!$A$5:$J$104,10,FALSE)</f>
        <v/>
      </c>
      <c r="D47" s="24" t="n">
        <v>0.32</v>
      </c>
      <c r="E47" s="24" t="n">
        <v>0.62</v>
      </c>
      <c r="F47" s="24" t="n">
        <v>0.25</v>
      </c>
      <c r="G47" s="36" t="n">
        <v>0.13</v>
      </c>
      <c r="H47" s="36" t="n">
        <v>0.1</v>
      </c>
      <c r="I47" s="36" t="n">
        <v>0.42</v>
      </c>
      <c r="J47" s="35">
        <f>IF(A47="","",ROUND((C47+D47+E47+F47)/(1-(G47+H47+I47)),2))</f>
        <v/>
      </c>
      <c r="K47" s="35">
        <f>IF(J47="","",J47-(C47+D47+E47+F47)-(J47*G47)-(J47*H47))</f>
        <v/>
      </c>
      <c r="L47" s="37">
        <f>IF(J47="","",IF(J47=0,"",K47/J47))</f>
        <v/>
      </c>
      <c r="M47" s="30" t="inlineStr">
        <is>
          <t>Pricing scenario 43</t>
        </is>
      </c>
    </row>
    <row r="48">
      <c r="A48" s="30" t="inlineStr">
        <is>
          <t>Phone Grip - Coral</t>
        </is>
      </c>
      <c r="B48" s="30" t="inlineStr">
        <is>
          <t>SKU-044</t>
        </is>
      </c>
      <c r="C48" s="35">
        <f>VLOOKUP(B48,Inventory!$A$5:$J$104,10,FALSE)</f>
        <v/>
      </c>
      <c r="D48" s="24" t="n">
        <v>0.39</v>
      </c>
      <c r="E48" s="24" t="n">
        <v>0.71</v>
      </c>
      <c r="F48" s="24" t="n">
        <v>0.25</v>
      </c>
      <c r="G48" s="36" t="n">
        <v>0.13</v>
      </c>
      <c r="H48" s="36" t="n">
        <v>0.1</v>
      </c>
      <c r="I48" s="36" t="n">
        <v>0.45</v>
      </c>
      <c r="J48" s="35">
        <f>IF(A48="","",ROUND((C48+D48+E48+F48)/(1-(G48+H48+I48)),2))</f>
        <v/>
      </c>
      <c r="K48" s="35">
        <f>IF(J48="","",J48-(C48+D48+E48+F48)-(J48*G48)-(J48*H48))</f>
        <v/>
      </c>
      <c r="L48" s="37">
        <f>IF(J48="","",IF(J48=0,"",K48/J48))</f>
        <v/>
      </c>
      <c r="M48" s="30" t="inlineStr">
        <is>
          <t>Pricing scenario 44</t>
        </is>
      </c>
    </row>
    <row r="49">
      <c r="A49" s="30" t="inlineStr">
        <is>
          <t>Phone Grip - Natural</t>
        </is>
      </c>
      <c r="B49" s="30" t="inlineStr">
        <is>
          <t>SKU-045</t>
        </is>
      </c>
      <c r="C49" s="35">
        <f>VLOOKUP(B49,Inventory!$A$5:$J$104,10,FALSE)</f>
        <v/>
      </c>
      <c r="D49" s="24" t="n">
        <v>0.18</v>
      </c>
      <c r="E49" s="24" t="n">
        <v>0.8</v>
      </c>
      <c r="F49" s="24" t="n">
        <v>0.25</v>
      </c>
      <c r="G49" s="36" t="n">
        <v>0.13</v>
      </c>
      <c r="H49" s="36" t="n">
        <v>0.1</v>
      </c>
      <c r="I49" s="36" t="n">
        <v>0.48</v>
      </c>
      <c r="J49" s="35">
        <f>IF(A49="","",ROUND((C49+D49+E49+F49)/(1-(G49+H49+I49)),2))</f>
        <v/>
      </c>
      <c r="K49" s="35">
        <f>IF(J49="","",J49-(C49+D49+E49+F49)-(J49*G49)-(J49*H49))</f>
        <v/>
      </c>
      <c r="L49" s="37">
        <f>IF(J49="","",IF(J49=0,"",K49/J49))</f>
        <v/>
      </c>
      <c r="M49" s="30" t="inlineStr">
        <is>
          <t>Pricing scenario 45</t>
        </is>
      </c>
    </row>
    <row r="50">
      <c r="A50" s="30" t="inlineStr">
        <is>
          <t>Crew Socks - Sand</t>
        </is>
      </c>
      <c r="B50" s="30" t="inlineStr">
        <is>
          <t>SKU-046</t>
        </is>
      </c>
      <c r="C50" s="35">
        <f>VLOOKUP(B50,Inventory!$A$5:$J$104,10,FALSE)</f>
        <v/>
      </c>
      <c r="D50" s="24" t="n">
        <v>0.25</v>
      </c>
      <c r="E50" s="24" t="n">
        <v>0.44</v>
      </c>
      <c r="F50" s="24" t="n">
        <v>0.25</v>
      </c>
      <c r="G50" s="36" t="n">
        <v>0.13</v>
      </c>
      <c r="H50" s="36" t="n">
        <v>0.1</v>
      </c>
      <c r="I50" s="36" t="n">
        <v>0.42</v>
      </c>
      <c r="J50" s="35">
        <f>IF(A50="","",ROUND((C50+D50+E50+F50)/(1-(G50+H50+I50)),2))</f>
        <v/>
      </c>
      <c r="K50" s="35">
        <f>IF(J50="","",J50-(C50+D50+E50+F50)-(J50*G50)-(J50*H50))</f>
        <v/>
      </c>
      <c r="L50" s="37">
        <f>IF(J50="","",IF(J50=0,"",K50/J50))</f>
        <v/>
      </c>
      <c r="M50" s="30" t="inlineStr">
        <is>
          <t>Pricing scenario 46</t>
        </is>
      </c>
    </row>
    <row r="51">
      <c r="A51" s="30" t="inlineStr">
        <is>
          <t>Crew Socks - Olive</t>
        </is>
      </c>
      <c r="B51" s="30" t="inlineStr">
        <is>
          <t>SKU-047</t>
        </is>
      </c>
      <c r="C51" s="35">
        <f>VLOOKUP(B51,Inventory!$A$5:$J$104,10,FALSE)</f>
        <v/>
      </c>
      <c r="D51" s="24" t="n">
        <v>0.32</v>
      </c>
      <c r="E51" s="24" t="n">
        <v>0.53</v>
      </c>
      <c r="F51" s="24" t="n">
        <v>0.25</v>
      </c>
      <c r="G51" s="36" t="n">
        <v>0.13</v>
      </c>
      <c r="H51" s="36" t="n">
        <v>0.1</v>
      </c>
      <c r="I51" s="36" t="n">
        <v>0.45</v>
      </c>
      <c r="J51" s="35">
        <f>IF(A51="","",ROUND((C51+D51+E51+F51)/(1-(G51+H51+I51)),2))</f>
        <v/>
      </c>
      <c r="K51" s="35">
        <f>IF(J51="","",J51-(C51+D51+E51+F51)-(J51*G51)-(J51*H51))</f>
        <v/>
      </c>
      <c r="L51" s="37">
        <f>IF(J51="","",IF(J51=0,"",K51/J51))</f>
        <v/>
      </c>
      <c r="M51" s="30" t="inlineStr">
        <is>
          <t>Pricing scenario 47</t>
        </is>
      </c>
    </row>
    <row r="52">
      <c r="A52" s="30" t="inlineStr">
        <is>
          <t>Crew Socks - Slate</t>
        </is>
      </c>
      <c r="B52" s="30" t="inlineStr">
        <is>
          <t>SKU-048</t>
        </is>
      </c>
      <c r="C52" s="35">
        <f>VLOOKUP(B52,Inventory!$A$5:$J$104,10,FALSE)</f>
        <v/>
      </c>
      <c r="D52" s="24" t="n">
        <v>0.39</v>
      </c>
      <c r="E52" s="24" t="n">
        <v>0.62</v>
      </c>
      <c r="F52" s="24" t="n">
        <v>0.25</v>
      </c>
      <c r="G52" s="36" t="n">
        <v>0.13</v>
      </c>
      <c r="H52" s="36" t="n">
        <v>0.1</v>
      </c>
      <c r="I52" s="36" t="n">
        <v>0.48</v>
      </c>
      <c r="J52" s="35">
        <f>IF(A52="","",ROUND((C52+D52+E52+F52)/(1-(G52+H52+I52)),2))</f>
        <v/>
      </c>
      <c r="K52" s="35">
        <f>IF(J52="","",J52-(C52+D52+E52+F52)-(J52*G52)-(J52*H52))</f>
        <v/>
      </c>
      <c r="L52" s="37">
        <f>IF(J52="","",IF(J52=0,"",K52/J52))</f>
        <v/>
      </c>
      <c r="M52" s="30" t="inlineStr">
        <is>
          <t>Pricing scenario 48</t>
        </is>
      </c>
    </row>
    <row r="53">
      <c r="A53" s="30" t="inlineStr">
        <is>
          <t>Crew Socks - Coral</t>
        </is>
      </c>
      <c r="B53" s="30" t="inlineStr">
        <is>
          <t>SKU-049</t>
        </is>
      </c>
      <c r="C53" s="35">
        <f>VLOOKUP(B53,Inventory!$A$5:$J$104,10,FALSE)</f>
        <v/>
      </c>
      <c r="D53" s="24" t="n">
        <v>0.18</v>
      </c>
      <c r="E53" s="24" t="n">
        <v>0.71</v>
      </c>
      <c r="F53" s="24" t="n">
        <v>0.25</v>
      </c>
      <c r="G53" s="36" t="n">
        <v>0.13</v>
      </c>
      <c r="H53" s="36" t="n">
        <v>0.1</v>
      </c>
      <c r="I53" s="36" t="n">
        <v>0.42</v>
      </c>
      <c r="J53" s="35">
        <f>IF(A53="","",ROUND((C53+D53+E53+F53)/(1-(G53+H53+I53)),2))</f>
        <v/>
      </c>
      <c r="K53" s="35">
        <f>IF(J53="","",J53-(C53+D53+E53+F53)-(J53*G53)-(J53*H53))</f>
        <v/>
      </c>
      <c r="L53" s="37">
        <f>IF(J53="","",IF(J53=0,"",K53/J53))</f>
        <v/>
      </c>
      <c r="M53" s="30" t="inlineStr">
        <is>
          <t>Pricing scenario 49</t>
        </is>
      </c>
    </row>
    <row r="54">
      <c r="A54" s="30" t="inlineStr">
        <is>
          <t>Crew Socks - Natural</t>
        </is>
      </c>
      <c r="B54" s="30" t="inlineStr">
        <is>
          <t>SKU-050</t>
        </is>
      </c>
      <c r="C54" s="35">
        <f>VLOOKUP(B54,Inventory!$A$5:$J$104,10,FALSE)</f>
        <v/>
      </c>
      <c r="D54" s="24" t="n">
        <v>0.25</v>
      </c>
      <c r="E54" s="24" t="n">
        <v>0.8</v>
      </c>
      <c r="F54" s="24" t="n">
        <v>0.25</v>
      </c>
      <c r="G54" s="36" t="n">
        <v>0.13</v>
      </c>
      <c r="H54" s="36" t="n">
        <v>0.1</v>
      </c>
      <c r="I54" s="36" t="n">
        <v>0.45</v>
      </c>
      <c r="J54" s="35">
        <f>IF(A54="","",ROUND((C54+D54+E54+F54)/(1-(G54+H54+I54)),2))</f>
        <v/>
      </c>
      <c r="K54" s="35">
        <f>IF(J54="","",J54-(C54+D54+E54+F54)-(J54*G54)-(J54*H54))</f>
        <v/>
      </c>
      <c r="L54" s="37">
        <f>IF(J54="","",IF(J54=0,"",K54/J54))</f>
        <v/>
      </c>
      <c r="M54" s="30" t="inlineStr">
        <is>
          <t>Pricing scenario 50</t>
        </is>
      </c>
    </row>
    <row r="55">
      <c r="A55" s="30" t="inlineStr">
        <is>
          <t>Softcover Journal - Sand</t>
        </is>
      </c>
      <c r="B55" s="30" t="inlineStr">
        <is>
          <t>SKU-051</t>
        </is>
      </c>
      <c r="C55" s="35">
        <f>VLOOKUP(B55,Inventory!$A$5:$J$104,10,FALSE)</f>
        <v/>
      </c>
      <c r="D55" s="24" t="n">
        <v>0.32</v>
      </c>
      <c r="E55" s="24" t="n">
        <v>0.44</v>
      </c>
      <c r="F55" s="24" t="n">
        <v>0.25</v>
      </c>
      <c r="G55" s="36" t="n">
        <v>0.13</v>
      </c>
      <c r="H55" s="36" t="n">
        <v>0.1</v>
      </c>
      <c r="I55" s="36" t="n">
        <v>0.48</v>
      </c>
      <c r="J55" s="35">
        <f>IF(A55="","",ROUND((C55+D55+E55+F55)/(1-(G55+H55+I55)),2))</f>
        <v/>
      </c>
      <c r="K55" s="35">
        <f>IF(J55="","",J55-(C55+D55+E55+F55)-(J55*G55)-(J55*H55))</f>
        <v/>
      </c>
      <c r="L55" s="37">
        <f>IF(J55="","",IF(J55=0,"",K55/J55))</f>
        <v/>
      </c>
      <c r="M55" s="30" t="inlineStr">
        <is>
          <t>Pricing scenario 51</t>
        </is>
      </c>
    </row>
    <row r="56">
      <c r="A56" s="30" t="inlineStr">
        <is>
          <t>Softcover Journal - Olive</t>
        </is>
      </c>
      <c r="B56" s="30" t="inlineStr">
        <is>
          <t>SKU-052</t>
        </is>
      </c>
      <c r="C56" s="35">
        <f>VLOOKUP(B56,Inventory!$A$5:$J$104,10,FALSE)</f>
        <v/>
      </c>
      <c r="D56" s="24" t="n">
        <v>0.39</v>
      </c>
      <c r="E56" s="24" t="n">
        <v>0.53</v>
      </c>
      <c r="F56" s="24" t="n">
        <v>0.25</v>
      </c>
      <c r="G56" s="36" t="n">
        <v>0.13</v>
      </c>
      <c r="H56" s="36" t="n">
        <v>0.1</v>
      </c>
      <c r="I56" s="36" t="n">
        <v>0.42</v>
      </c>
      <c r="J56" s="35">
        <f>IF(A56="","",ROUND((C56+D56+E56+F56)/(1-(G56+H56+I56)),2))</f>
        <v/>
      </c>
      <c r="K56" s="35">
        <f>IF(J56="","",J56-(C56+D56+E56+F56)-(J56*G56)-(J56*H56))</f>
        <v/>
      </c>
      <c r="L56" s="37">
        <f>IF(J56="","",IF(J56=0,"",K56/J56))</f>
        <v/>
      </c>
      <c r="M56" s="30" t="inlineStr">
        <is>
          <t>Pricing scenario 52</t>
        </is>
      </c>
    </row>
    <row r="57">
      <c r="A57" s="30" t="inlineStr">
        <is>
          <t>Softcover Journal - Slate</t>
        </is>
      </c>
      <c r="B57" s="30" t="inlineStr">
        <is>
          <t>SKU-053</t>
        </is>
      </c>
      <c r="C57" s="35">
        <f>VLOOKUP(B57,Inventory!$A$5:$J$104,10,FALSE)</f>
        <v/>
      </c>
      <c r="D57" s="24" t="n">
        <v>0.18</v>
      </c>
      <c r="E57" s="24" t="n">
        <v>0.62</v>
      </c>
      <c r="F57" s="24" t="n">
        <v>0.25</v>
      </c>
      <c r="G57" s="36" t="n">
        <v>0.13</v>
      </c>
      <c r="H57" s="36" t="n">
        <v>0.1</v>
      </c>
      <c r="I57" s="36" t="n">
        <v>0.45</v>
      </c>
      <c r="J57" s="35">
        <f>IF(A57="","",ROUND((C57+D57+E57+F57)/(1-(G57+H57+I57)),2))</f>
        <v/>
      </c>
      <c r="K57" s="35">
        <f>IF(J57="","",J57-(C57+D57+E57+F57)-(J57*G57)-(J57*H57))</f>
        <v/>
      </c>
      <c r="L57" s="37">
        <f>IF(J57="","",IF(J57=0,"",K57/J57))</f>
        <v/>
      </c>
      <c r="M57" s="30" t="inlineStr">
        <is>
          <t>Pricing scenario 53</t>
        </is>
      </c>
    </row>
    <row r="58">
      <c r="A58" s="30" t="inlineStr">
        <is>
          <t>Softcover Journal - Coral</t>
        </is>
      </c>
      <c r="B58" s="30" t="inlineStr">
        <is>
          <t>SKU-054</t>
        </is>
      </c>
      <c r="C58" s="35">
        <f>VLOOKUP(B58,Inventory!$A$5:$J$104,10,FALSE)</f>
        <v/>
      </c>
      <c r="D58" s="24" t="n">
        <v>0.25</v>
      </c>
      <c r="E58" s="24" t="n">
        <v>0.71</v>
      </c>
      <c r="F58" s="24" t="n">
        <v>0.25</v>
      </c>
      <c r="G58" s="36" t="n">
        <v>0.13</v>
      </c>
      <c r="H58" s="36" t="n">
        <v>0.1</v>
      </c>
      <c r="I58" s="36" t="n">
        <v>0.48</v>
      </c>
      <c r="J58" s="35">
        <f>IF(A58="","",ROUND((C58+D58+E58+F58)/(1-(G58+H58+I58)),2))</f>
        <v/>
      </c>
      <c r="K58" s="35">
        <f>IF(J58="","",J58-(C58+D58+E58+F58)-(J58*G58)-(J58*H58))</f>
        <v/>
      </c>
      <c r="L58" s="37">
        <f>IF(J58="","",IF(J58=0,"",K58/J58))</f>
        <v/>
      </c>
      <c r="M58" s="30" t="inlineStr">
        <is>
          <t>Pricing scenario 54</t>
        </is>
      </c>
    </row>
    <row r="59">
      <c r="A59" s="30" t="inlineStr">
        <is>
          <t>Softcover Journal - Natural</t>
        </is>
      </c>
      <c r="B59" s="30" t="inlineStr">
        <is>
          <t>SKU-055</t>
        </is>
      </c>
      <c r="C59" s="35">
        <f>VLOOKUP(B59,Inventory!$A$5:$J$104,10,FALSE)</f>
        <v/>
      </c>
      <c r="D59" s="24" t="n">
        <v>0.32</v>
      </c>
      <c r="E59" s="24" t="n">
        <v>0.8</v>
      </c>
      <c r="F59" s="24" t="n">
        <v>0.25</v>
      </c>
      <c r="G59" s="36" t="n">
        <v>0.13</v>
      </c>
      <c r="H59" s="36" t="n">
        <v>0.1</v>
      </c>
      <c r="I59" s="36" t="n">
        <v>0.42</v>
      </c>
      <c r="J59" s="35">
        <f>IF(A59="","",ROUND((C59+D59+E59+F59)/(1-(G59+H59+I59)),2))</f>
        <v/>
      </c>
      <c r="K59" s="35">
        <f>IF(J59="","",J59-(C59+D59+E59+F59)-(J59*G59)-(J59*H59))</f>
        <v/>
      </c>
      <c r="L59" s="37">
        <f>IF(J59="","",IF(J59=0,"",K59/J59))</f>
        <v/>
      </c>
      <c r="M59" s="30" t="inlineStr">
        <is>
          <t>Pricing scenario 55</t>
        </is>
      </c>
    </row>
    <row r="60">
      <c r="A60" s="30" t="inlineStr">
        <is>
          <t>Enamel Pin - Sand</t>
        </is>
      </c>
      <c r="B60" s="30" t="inlineStr">
        <is>
          <t>SKU-056</t>
        </is>
      </c>
      <c r="C60" s="35">
        <f>VLOOKUP(B60,Inventory!$A$5:$J$104,10,FALSE)</f>
        <v/>
      </c>
      <c r="D60" s="24" t="n">
        <v>0.39</v>
      </c>
      <c r="E60" s="24" t="n">
        <v>0.44</v>
      </c>
      <c r="F60" s="24" t="n">
        <v>0.25</v>
      </c>
      <c r="G60" s="36" t="n">
        <v>0.13</v>
      </c>
      <c r="H60" s="36" t="n">
        <v>0.1</v>
      </c>
      <c r="I60" s="36" t="n">
        <v>0.45</v>
      </c>
      <c r="J60" s="35">
        <f>IF(A60="","",ROUND((C60+D60+E60+F60)/(1-(G60+H60+I60)),2))</f>
        <v/>
      </c>
      <c r="K60" s="35">
        <f>IF(J60="","",J60-(C60+D60+E60+F60)-(J60*G60)-(J60*H60))</f>
        <v/>
      </c>
      <c r="L60" s="37">
        <f>IF(J60="","",IF(J60=0,"",K60/J60))</f>
        <v/>
      </c>
      <c r="M60" s="30" t="inlineStr">
        <is>
          <t>Pricing scenario 56</t>
        </is>
      </c>
    </row>
    <row r="61">
      <c r="A61" s="30" t="inlineStr">
        <is>
          <t>Enamel Pin - Olive</t>
        </is>
      </c>
      <c r="B61" s="30" t="inlineStr">
        <is>
          <t>SKU-057</t>
        </is>
      </c>
      <c r="C61" s="35">
        <f>VLOOKUP(B61,Inventory!$A$5:$J$104,10,FALSE)</f>
        <v/>
      </c>
      <c r="D61" s="24" t="n">
        <v>0.18</v>
      </c>
      <c r="E61" s="24" t="n">
        <v>0.53</v>
      </c>
      <c r="F61" s="24" t="n">
        <v>0.25</v>
      </c>
      <c r="G61" s="36" t="n">
        <v>0.13</v>
      </c>
      <c r="H61" s="36" t="n">
        <v>0.1</v>
      </c>
      <c r="I61" s="36" t="n">
        <v>0.48</v>
      </c>
      <c r="J61" s="35">
        <f>IF(A61="","",ROUND((C61+D61+E61+F61)/(1-(G61+H61+I61)),2))</f>
        <v/>
      </c>
      <c r="K61" s="35">
        <f>IF(J61="","",J61-(C61+D61+E61+F61)-(J61*G61)-(J61*H61))</f>
        <v/>
      </c>
      <c r="L61" s="37">
        <f>IF(J61="","",IF(J61=0,"",K61/J61))</f>
        <v/>
      </c>
      <c r="M61" s="30" t="inlineStr">
        <is>
          <t>Pricing scenario 57</t>
        </is>
      </c>
    </row>
    <row r="62">
      <c r="A62" s="30" t="inlineStr">
        <is>
          <t>Enamel Pin - Slate</t>
        </is>
      </c>
      <c r="B62" s="30" t="inlineStr">
        <is>
          <t>SKU-058</t>
        </is>
      </c>
      <c r="C62" s="35">
        <f>VLOOKUP(B62,Inventory!$A$5:$J$104,10,FALSE)</f>
        <v/>
      </c>
      <c r="D62" s="24" t="n">
        <v>0.25</v>
      </c>
      <c r="E62" s="24" t="n">
        <v>0.62</v>
      </c>
      <c r="F62" s="24" t="n">
        <v>0.25</v>
      </c>
      <c r="G62" s="36" t="n">
        <v>0.13</v>
      </c>
      <c r="H62" s="36" t="n">
        <v>0.1</v>
      </c>
      <c r="I62" s="36" t="n">
        <v>0.42</v>
      </c>
      <c r="J62" s="35">
        <f>IF(A62="","",ROUND((C62+D62+E62+F62)/(1-(G62+H62+I62)),2))</f>
        <v/>
      </c>
      <c r="K62" s="35">
        <f>IF(J62="","",J62-(C62+D62+E62+F62)-(J62*G62)-(J62*H62))</f>
        <v/>
      </c>
      <c r="L62" s="37">
        <f>IF(J62="","",IF(J62=0,"",K62/J62))</f>
        <v/>
      </c>
      <c r="M62" s="30" t="inlineStr">
        <is>
          <t>Pricing scenario 58</t>
        </is>
      </c>
    </row>
    <row r="63">
      <c r="A63" s="30" t="inlineStr">
        <is>
          <t>Enamel Pin - Coral</t>
        </is>
      </c>
      <c r="B63" s="30" t="inlineStr">
        <is>
          <t>SKU-059</t>
        </is>
      </c>
      <c r="C63" s="35">
        <f>VLOOKUP(B63,Inventory!$A$5:$J$104,10,FALSE)</f>
        <v/>
      </c>
      <c r="D63" s="24" t="n">
        <v>0.32</v>
      </c>
      <c r="E63" s="24" t="n">
        <v>0.71</v>
      </c>
      <c r="F63" s="24" t="n">
        <v>0.25</v>
      </c>
      <c r="G63" s="36" t="n">
        <v>0.13</v>
      </c>
      <c r="H63" s="36" t="n">
        <v>0.1</v>
      </c>
      <c r="I63" s="36" t="n">
        <v>0.45</v>
      </c>
      <c r="J63" s="35">
        <f>IF(A63="","",ROUND((C63+D63+E63+F63)/(1-(G63+H63+I63)),2))</f>
        <v/>
      </c>
      <c r="K63" s="35">
        <f>IF(J63="","",J63-(C63+D63+E63+F63)-(J63*G63)-(J63*H63))</f>
        <v/>
      </c>
      <c r="L63" s="37">
        <f>IF(J63="","",IF(J63=0,"",K63/J63))</f>
        <v/>
      </c>
      <c r="M63" s="30" t="inlineStr">
        <is>
          <t>Pricing scenario 59</t>
        </is>
      </c>
    </row>
    <row r="64">
      <c r="A64" s="30" t="inlineStr">
        <is>
          <t>Enamel Pin - Natural</t>
        </is>
      </c>
      <c r="B64" s="30" t="inlineStr">
        <is>
          <t>SKU-060</t>
        </is>
      </c>
      <c r="C64" s="35">
        <f>VLOOKUP(B64,Inventory!$A$5:$J$104,10,FALSE)</f>
        <v/>
      </c>
      <c r="D64" s="24" t="n">
        <v>0.39</v>
      </c>
      <c r="E64" s="24" t="n">
        <v>0.8</v>
      </c>
      <c r="F64" s="24" t="n">
        <v>0.25</v>
      </c>
      <c r="G64" s="36" t="n">
        <v>0.13</v>
      </c>
      <c r="H64" s="36" t="n">
        <v>0.1</v>
      </c>
      <c r="I64" s="36" t="n">
        <v>0.48</v>
      </c>
      <c r="J64" s="35">
        <f>IF(A64="","",ROUND((C64+D64+E64+F64)/(1-(G64+H64+I64)),2))</f>
        <v/>
      </c>
      <c r="K64" s="35">
        <f>IF(J64="","",J64-(C64+D64+E64+F64)-(J64*G64)-(J64*H64))</f>
        <v/>
      </c>
      <c r="L64" s="37">
        <f>IF(J64="","",IF(J64=0,"",K64/J64))</f>
        <v/>
      </c>
      <c r="M64" s="30" t="inlineStr">
        <is>
          <t>Pricing scenario 60</t>
        </is>
      </c>
    </row>
    <row r="65">
      <c r="A65" s="30" t="inlineStr">
        <is>
          <t>Lunch Box - Sand</t>
        </is>
      </c>
      <c r="B65" s="30" t="inlineStr">
        <is>
          <t>SKU-061</t>
        </is>
      </c>
      <c r="C65" s="35">
        <f>VLOOKUP(B65,Inventory!$A$5:$J$104,10,FALSE)</f>
        <v/>
      </c>
      <c r="D65" s="24" t="n">
        <v>0.18</v>
      </c>
      <c r="E65" s="24" t="n">
        <v>0.44</v>
      </c>
      <c r="F65" s="24" t="n">
        <v>0.25</v>
      </c>
      <c r="G65" s="36" t="n">
        <v>0.13</v>
      </c>
      <c r="H65" s="36" t="n">
        <v>0.1</v>
      </c>
      <c r="I65" s="36" t="n">
        <v>0.42</v>
      </c>
      <c r="J65" s="35">
        <f>IF(A65="","",ROUND((C65+D65+E65+F65)/(1-(G65+H65+I65)),2))</f>
        <v/>
      </c>
      <c r="K65" s="35">
        <f>IF(J65="","",J65-(C65+D65+E65+F65)-(J65*G65)-(J65*H65))</f>
        <v/>
      </c>
      <c r="L65" s="37">
        <f>IF(J65="","",IF(J65=0,"",K65/J65))</f>
        <v/>
      </c>
      <c r="M65" s="30" t="inlineStr">
        <is>
          <t>Pricing scenario 61</t>
        </is>
      </c>
    </row>
    <row r="66">
      <c r="A66" s="30" t="inlineStr">
        <is>
          <t>Lunch Box - Olive</t>
        </is>
      </c>
      <c r="B66" s="30" t="inlineStr">
        <is>
          <t>SKU-062</t>
        </is>
      </c>
      <c r="C66" s="35">
        <f>VLOOKUP(B66,Inventory!$A$5:$J$104,10,FALSE)</f>
        <v/>
      </c>
      <c r="D66" s="24" t="n">
        <v>0.25</v>
      </c>
      <c r="E66" s="24" t="n">
        <v>0.53</v>
      </c>
      <c r="F66" s="24" t="n">
        <v>0.25</v>
      </c>
      <c r="G66" s="36" t="n">
        <v>0.13</v>
      </c>
      <c r="H66" s="36" t="n">
        <v>0.1</v>
      </c>
      <c r="I66" s="36" t="n">
        <v>0.45</v>
      </c>
      <c r="J66" s="35">
        <f>IF(A66="","",ROUND((C66+D66+E66+F66)/(1-(G66+H66+I66)),2))</f>
        <v/>
      </c>
      <c r="K66" s="35">
        <f>IF(J66="","",J66-(C66+D66+E66+F66)-(J66*G66)-(J66*H66))</f>
        <v/>
      </c>
      <c r="L66" s="37">
        <f>IF(J66="","",IF(J66=0,"",K66/J66))</f>
        <v/>
      </c>
      <c r="M66" s="30" t="inlineStr">
        <is>
          <t>Pricing scenario 62</t>
        </is>
      </c>
    </row>
    <row r="67">
      <c r="A67" s="30" t="inlineStr">
        <is>
          <t>Lunch Box - Slate</t>
        </is>
      </c>
      <c r="B67" s="30" t="inlineStr">
        <is>
          <t>SKU-063</t>
        </is>
      </c>
      <c r="C67" s="35">
        <f>VLOOKUP(B67,Inventory!$A$5:$J$104,10,FALSE)</f>
        <v/>
      </c>
      <c r="D67" s="24" t="n">
        <v>0.32</v>
      </c>
      <c r="E67" s="24" t="n">
        <v>0.62</v>
      </c>
      <c r="F67" s="24" t="n">
        <v>0.25</v>
      </c>
      <c r="G67" s="36" t="n">
        <v>0.13</v>
      </c>
      <c r="H67" s="36" t="n">
        <v>0.1</v>
      </c>
      <c r="I67" s="36" t="n">
        <v>0.48</v>
      </c>
      <c r="J67" s="35">
        <f>IF(A67="","",ROUND((C67+D67+E67+F67)/(1-(G67+H67+I67)),2))</f>
        <v/>
      </c>
      <c r="K67" s="35">
        <f>IF(J67="","",J67-(C67+D67+E67+F67)-(J67*G67)-(J67*H67))</f>
        <v/>
      </c>
      <c r="L67" s="37">
        <f>IF(J67="","",IF(J67=0,"",K67/J67))</f>
        <v/>
      </c>
      <c r="M67" s="30" t="inlineStr">
        <is>
          <t>Pricing scenario 63</t>
        </is>
      </c>
    </row>
    <row r="68">
      <c r="A68" s="30" t="inlineStr">
        <is>
          <t>Lunch Box - Coral</t>
        </is>
      </c>
      <c r="B68" s="30" t="inlineStr">
        <is>
          <t>SKU-064</t>
        </is>
      </c>
      <c r="C68" s="35">
        <f>VLOOKUP(B68,Inventory!$A$5:$J$104,10,FALSE)</f>
        <v/>
      </c>
      <c r="D68" s="24" t="n">
        <v>0.39</v>
      </c>
      <c r="E68" s="24" t="n">
        <v>0.71</v>
      </c>
      <c r="F68" s="24" t="n">
        <v>0.25</v>
      </c>
      <c r="G68" s="36" t="n">
        <v>0.13</v>
      </c>
      <c r="H68" s="36" t="n">
        <v>0.1</v>
      </c>
      <c r="I68" s="36" t="n">
        <v>0.42</v>
      </c>
      <c r="J68" s="35">
        <f>IF(A68="","",ROUND((C68+D68+E68+F68)/(1-(G68+H68+I68)),2))</f>
        <v/>
      </c>
      <c r="K68" s="35">
        <f>IF(J68="","",J68-(C68+D68+E68+F68)-(J68*G68)-(J68*H68))</f>
        <v/>
      </c>
      <c r="L68" s="37">
        <f>IF(J68="","",IF(J68=0,"",K68/J68))</f>
        <v/>
      </c>
      <c r="M68" s="30" t="inlineStr">
        <is>
          <t>Pricing scenario 64</t>
        </is>
      </c>
    </row>
    <row r="69">
      <c r="A69" s="30" t="inlineStr">
        <is>
          <t>Lunch Box - Natural</t>
        </is>
      </c>
      <c r="B69" s="30" t="inlineStr">
        <is>
          <t>SKU-065</t>
        </is>
      </c>
      <c r="C69" s="35">
        <f>VLOOKUP(B69,Inventory!$A$5:$J$104,10,FALSE)</f>
        <v/>
      </c>
      <c r="D69" s="24" t="n">
        <v>0.18</v>
      </c>
      <c r="E69" s="24" t="n">
        <v>0.8</v>
      </c>
      <c r="F69" s="24" t="n">
        <v>0.25</v>
      </c>
      <c r="G69" s="36" t="n">
        <v>0.13</v>
      </c>
      <c r="H69" s="36" t="n">
        <v>0.1</v>
      </c>
      <c r="I69" s="36" t="n">
        <v>0.45</v>
      </c>
      <c r="J69" s="35">
        <f>IF(A69="","",ROUND((C69+D69+E69+F69)/(1-(G69+H69+I69)),2))</f>
        <v/>
      </c>
      <c r="K69" s="35">
        <f>IF(J69="","",J69-(C69+D69+E69+F69)-(J69*G69)-(J69*H69))</f>
        <v/>
      </c>
      <c r="L69" s="37">
        <f>IF(J69="","",IF(J69=0,"",K69/J69))</f>
        <v/>
      </c>
      <c r="M69" s="30" t="inlineStr">
        <is>
          <t>Pricing scenario 65</t>
        </is>
      </c>
    </row>
    <row r="70">
      <c r="A70" s="30" t="inlineStr">
        <is>
          <t>Desk Mat - Sand</t>
        </is>
      </c>
      <c r="B70" s="30" t="inlineStr">
        <is>
          <t>SKU-066</t>
        </is>
      </c>
      <c r="C70" s="35">
        <f>VLOOKUP(B70,Inventory!$A$5:$J$104,10,FALSE)</f>
        <v/>
      </c>
      <c r="D70" s="24" t="n">
        <v>0.25</v>
      </c>
      <c r="E70" s="24" t="n">
        <v>0.44</v>
      </c>
      <c r="F70" s="24" t="n">
        <v>0.25</v>
      </c>
      <c r="G70" s="36" t="n">
        <v>0.13</v>
      </c>
      <c r="H70" s="36" t="n">
        <v>0.1</v>
      </c>
      <c r="I70" s="36" t="n">
        <v>0.48</v>
      </c>
      <c r="J70" s="35">
        <f>IF(A70="","",ROUND((C70+D70+E70+F70)/(1-(G70+H70+I70)),2))</f>
        <v/>
      </c>
      <c r="K70" s="35">
        <f>IF(J70="","",J70-(C70+D70+E70+F70)-(J70*G70)-(J70*H70))</f>
        <v/>
      </c>
      <c r="L70" s="37">
        <f>IF(J70="","",IF(J70=0,"",K70/J70))</f>
        <v/>
      </c>
      <c r="M70" s="30" t="inlineStr">
        <is>
          <t>Pricing scenario 66</t>
        </is>
      </c>
    </row>
    <row r="71">
      <c r="A71" s="30" t="inlineStr">
        <is>
          <t>Desk Mat - Olive</t>
        </is>
      </c>
      <c r="B71" s="30" t="inlineStr">
        <is>
          <t>SKU-067</t>
        </is>
      </c>
      <c r="C71" s="35">
        <f>VLOOKUP(B71,Inventory!$A$5:$J$104,10,FALSE)</f>
        <v/>
      </c>
      <c r="D71" s="24" t="n">
        <v>0.32</v>
      </c>
      <c r="E71" s="24" t="n">
        <v>0.53</v>
      </c>
      <c r="F71" s="24" t="n">
        <v>0.25</v>
      </c>
      <c r="G71" s="36" t="n">
        <v>0.13</v>
      </c>
      <c r="H71" s="36" t="n">
        <v>0.1</v>
      </c>
      <c r="I71" s="36" t="n">
        <v>0.42</v>
      </c>
      <c r="J71" s="35">
        <f>IF(A71="","",ROUND((C71+D71+E71+F71)/(1-(G71+H71+I71)),2))</f>
        <v/>
      </c>
      <c r="K71" s="35">
        <f>IF(J71="","",J71-(C71+D71+E71+F71)-(J71*G71)-(J71*H71))</f>
        <v/>
      </c>
      <c r="L71" s="37">
        <f>IF(J71="","",IF(J71=0,"",K71/J71))</f>
        <v/>
      </c>
      <c r="M71" s="30" t="inlineStr">
        <is>
          <t>Pricing scenario 67</t>
        </is>
      </c>
    </row>
    <row r="72">
      <c r="A72" s="30" t="inlineStr">
        <is>
          <t>Desk Mat - Slate</t>
        </is>
      </c>
      <c r="B72" s="30" t="inlineStr">
        <is>
          <t>SKU-068</t>
        </is>
      </c>
      <c r="C72" s="35">
        <f>VLOOKUP(B72,Inventory!$A$5:$J$104,10,FALSE)</f>
        <v/>
      </c>
      <c r="D72" s="24" t="n">
        <v>0.39</v>
      </c>
      <c r="E72" s="24" t="n">
        <v>0.62</v>
      </c>
      <c r="F72" s="24" t="n">
        <v>0.25</v>
      </c>
      <c r="G72" s="36" t="n">
        <v>0.13</v>
      </c>
      <c r="H72" s="36" t="n">
        <v>0.1</v>
      </c>
      <c r="I72" s="36" t="n">
        <v>0.45</v>
      </c>
      <c r="J72" s="35">
        <f>IF(A72="","",ROUND((C72+D72+E72+F72)/(1-(G72+H72+I72)),2))</f>
        <v/>
      </c>
      <c r="K72" s="35">
        <f>IF(J72="","",J72-(C72+D72+E72+F72)-(J72*G72)-(J72*H72))</f>
        <v/>
      </c>
      <c r="L72" s="37">
        <f>IF(J72="","",IF(J72=0,"",K72/J72))</f>
        <v/>
      </c>
      <c r="M72" s="30" t="inlineStr">
        <is>
          <t>Pricing scenario 68</t>
        </is>
      </c>
    </row>
    <row r="73">
      <c r="A73" s="30" t="inlineStr">
        <is>
          <t>Desk Mat - Coral</t>
        </is>
      </c>
      <c r="B73" s="30" t="inlineStr">
        <is>
          <t>SKU-069</t>
        </is>
      </c>
      <c r="C73" s="35">
        <f>VLOOKUP(B73,Inventory!$A$5:$J$104,10,FALSE)</f>
        <v/>
      </c>
      <c r="D73" s="24" t="n">
        <v>0.18</v>
      </c>
      <c r="E73" s="24" t="n">
        <v>0.71</v>
      </c>
      <c r="F73" s="24" t="n">
        <v>0.25</v>
      </c>
      <c r="G73" s="36" t="n">
        <v>0.13</v>
      </c>
      <c r="H73" s="36" t="n">
        <v>0.1</v>
      </c>
      <c r="I73" s="36" t="n">
        <v>0.48</v>
      </c>
      <c r="J73" s="35">
        <f>IF(A73="","",ROUND((C73+D73+E73+F73)/(1-(G73+H73+I73)),2))</f>
        <v/>
      </c>
      <c r="K73" s="35">
        <f>IF(J73="","",J73-(C73+D73+E73+F73)-(J73*G73)-(J73*H73))</f>
        <v/>
      </c>
      <c r="L73" s="37">
        <f>IF(J73="","",IF(J73=0,"",K73/J73))</f>
        <v/>
      </c>
      <c r="M73" s="30" t="inlineStr">
        <is>
          <t>Pricing scenario 69</t>
        </is>
      </c>
    </row>
    <row r="74">
      <c r="A74" s="30" t="inlineStr">
        <is>
          <t>Desk Mat - Natural</t>
        </is>
      </c>
      <c r="B74" s="30" t="inlineStr">
        <is>
          <t>SKU-070</t>
        </is>
      </c>
      <c r="C74" s="35">
        <f>VLOOKUP(B74,Inventory!$A$5:$J$104,10,FALSE)</f>
        <v/>
      </c>
      <c r="D74" s="24" t="n">
        <v>0.25</v>
      </c>
      <c r="E74" s="24" t="n">
        <v>0.8</v>
      </c>
      <c r="F74" s="24" t="n">
        <v>0.25</v>
      </c>
      <c r="G74" s="36" t="n">
        <v>0.13</v>
      </c>
      <c r="H74" s="36" t="n">
        <v>0.1</v>
      </c>
      <c r="I74" s="36" t="n">
        <v>0.42</v>
      </c>
      <c r="J74" s="35">
        <f>IF(A74="","",ROUND((C74+D74+E74+F74)/(1-(G74+H74+I74)),2))</f>
        <v/>
      </c>
      <c r="K74" s="35">
        <f>IF(J74="","",J74-(C74+D74+E74+F74)-(J74*G74)-(J74*H74))</f>
        <v/>
      </c>
      <c r="L74" s="37">
        <f>IF(J74="","",IF(J74=0,"",K74/J74))</f>
        <v/>
      </c>
      <c r="M74" s="30" t="inlineStr">
        <is>
          <t>Pricing scenario 70</t>
        </is>
      </c>
    </row>
    <row r="75">
      <c r="A75" s="30" t="inlineStr">
        <is>
          <t>Gift Tag Set - Sand</t>
        </is>
      </c>
      <c r="B75" s="30" t="inlineStr">
        <is>
          <t>SKU-071</t>
        </is>
      </c>
      <c r="C75" s="35">
        <f>VLOOKUP(B75,Inventory!$A$5:$J$104,10,FALSE)</f>
        <v/>
      </c>
      <c r="D75" s="24" t="n">
        <v>0.32</v>
      </c>
      <c r="E75" s="24" t="n">
        <v>0.44</v>
      </c>
      <c r="F75" s="24" t="n">
        <v>0.25</v>
      </c>
      <c r="G75" s="36" t="n">
        <v>0.13</v>
      </c>
      <c r="H75" s="36" t="n">
        <v>0.1</v>
      </c>
      <c r="I75" s="36" t="n">
        <v>0.45</v>
      </c>
      <c r="J75" s="35">
        <f>IF(A75="","",ROUND((C75+D75+E75+F75)/(1-(G75+H75+I75)),2))</f>
        <v/>
      </c>
      <c r="K75" s="35">
        <f>IF(J75="","",J75-(C75+D75+E75+F75)-(J75*G75)-(J75*H75))</f>
        <v/>
      </c>
      <c r="L75" s="37">
        <f>IF(J75="","",IF(J75=0,"",K75/J75))</f>
        <v/>
      </c>
      <c r="M75" s="30" t="inlineStr">
        <is>
          <t>Pricing scenario 71</t>
        </is>
      </c>
    </row>
    <row r="76">
      <c r="A76" s="30" t="inlineStr">
        <is>
          <t>Gift Tag Set - Olive</t>
        </is>
      </c>
      <c r="B76" s="30" t="inlineStr">
        <is>
          <t>SKU-072</t>
        </is>
      </c>
      <c r="C76" s="35">
        <f>VLOOKUP(B76,Inventory!$A$5:$J$104,10,FALSE)</f>
        <v/>
      </c>
      <c r="D76" s="24" t="n">
        <v>0.39</v>
      </c>
      <c r="E76" s="24" t="n">
        <v>0.53</v>
      </c>
      <c r="F76" s="24" t="n">
        <v>0.25</v>
      </c>
      <c r="G76" s="36" t="n">
        <v>0.13</v>
      </c>
      <c r="H76" s="36" t="n">
        <v>0.1</v>
      </c>
      <c r="I76" s="36" t="n">
        <v>0.48</v>
      </c>
      <c r="J76" s="35">
        <f>IF(A76="","",ROUND((C76+D76+E76+F76)/(1-(G76+H76+I76)),2))</f>
        <v/>
      </c>
      <c r="K76" s="35">
        <f>IF(J76="","",J76-(C76+D76+E76+F76)-(J76*G76)-(J76*H76))</f>
        <v/>
      </c>
      <c r="L76" s="37">
        <f>IF(J76="","",IF(J76=0,"",K76/J76))</f>
        <v/>
      </c>
      <c r="M76" s="30" t="inlineStr">
        <is>
          <t>Pricing scenario 72</t>
        </is>
      </c>
    </row>
    <row r="77">
      <c r="A77" s="30" t="inlineStr">
        <is>
          <t>Gift Tag Set - Slate</t>
        </is>
      </c>
      <c r="B77" s="30" t="inlineStr">
        <is>
          <t>SKU-073</t>
        </is>
      </c>
      <c r="C77" s="35">
        <f>VLOOKUP(B77,Inventory!$A$5:$J$104,10,FALSE)</f>
        <v/>
      </c>
      <c r="D77" s="24" t="n">
        <v>0.18</v>
      </c>
      <c r="E77" s="24" t="n">
        <v>0.62</v>
      </c>
      <c r="F77" s="24" t="n">
        <v>0.25</v>
      </c>
      <c r="G77" s="36" t="n">
        <v>0.13</v>
      </c>
      <c r="H77" s="36" t="n">
        <v>0.1</v>
      </c>
      <c r="I77" s="36" t="n">
        <v>0.42</v>
      </c>
      <c r="J77" s="35">
        <f>IF(A77="","",ROUND((C77+D77+E77+F77)/(1-(G77+H77+I77)),2))</f>
        <v/>
      </c>
      <c r="K77" s="35">
        <f>IF(J77="","",J77-(C77+D77+E77+F77)-(J77*G77)-(J77*H77))</f>
        <v/>
      </c>
      <c r="L77" s="37">
        <f>IF(J77="","",IF(J77=0,"",K77/J77))</f>
        <v/>
      </c>
      <c r="M77" s="30" t="inlineStr">
        <is>
          <t>Pricing scenario 73</t>
        </is>
      </c>
    </row>
    <row r="78">
      <c r="A78" s="30" t="inlineStr">
        <is>
          <t>Gift Tag Set - Coral</t>
        </is>
      </c>
      <c r="B78" s="30" t="inlineStr">
        <is>
          <t>SKU-074</t>
        </is>
      </c>
      <c r="C78" s="35">
        <f>VLOOKUP(B78,Inventory!$A$5:$J$104,10,FALSE)</f>
        <v/>
      </c>
      <c r="D78" s="24" t="n">
        <v>0.25</v>
      </c>
      <c r="E78" s="24" t="n">
        <v>0.71</v>
      </c>
      <c r="F78" s="24" t="n">
        <v>0.25</v>
      </c>
      <c r="G78" s="36" t="n">
        <v>0.13</v>
      </c>
      <c r="H78" s="36" t="n">
        <v>0.1</v>
      </c>
      <c r="I78" s="36" t="n">
        <v>0.45</v>
      </c>
      <c r="J78" s="35">
        <f>IF(A78="","",ROUND((C78+D78+E78+F78)/(1-(G78+H78+I78)),2))</f>
        <v/>
      </c>
      <c r="K78" s="35">
        <f>IF(J78="","",J78-(C78+D78+E78+F78)-(J78*G78)-(J78*H78))</f>
        <v/>
      </c>
      <c r="L78" s="37">
        <f>IF(J78="","",IF(J78=0,"",K78/J78))</f>
        <v/>
      </c>
      <c r="M78" s="30" t="inlineStr">
        <is>
          <t>Pricing scenario 74</t>
        </is>
      </c>
    </row>
    <row r="79">
      <c r="A79" s="30" t="inlineStr">
        <is>
          <t>Gift Tag Set - Natural</t>
        </is>
      </c>
      <c r="B79" s="30" t="inlineStr">
        <is>
          <t>SKU-075</t>
        </is>
      </c>
      <c r="C79" s="35">
        <f>VLOOKUP(B79,Inventory!$A$5:$J$104,10,FALSE)</f>
        <v/>
      </c>
      <c r="D79" s="24" t="n">
        <v>0.32</v>
      </c>
      <c r="E79" s="24" t="n">
        <v>0.8</v>
      </c>
      <c r="F79" s="24" t="n">
        <v>0.25</v>
      </c>
      <c r="G79" s="36" t="n">
        <v>0.13</v>
      </c>
      <c r="H79" s="36" t="n">
        <v>0.1</v>
      </c>
      <c r="I79" s="36" t="n">
        <v>0.48</v>
      </c>
      <c r="J79" s="35">
        <f>IF(A79="","",ROUND((C79+D79+E79+F79)/(1-(G79+H79+I79)),2))</f>
        <v/>
      </c>
      <c r="K79" s="35">
        <f>IF(J79="","",J79-(C79+D79+E79+F79)-(J79*G79)-(J79*H79))</f>
        <v/>
      </c>
      <c r="L79" s="37">
        <f>IF(J79="","",IF(J79=0,"",K79/J79))</f>
        <v/>
      </c>
      <c r="M79" s="30" t="inlineStr">
        <is>
          <t>Pricing scenario 75</t>
        </is>
      </c>
    </row>
    <row r="80">
      <c r="A80" s="30" t="inlineStr">
        <is>
          <t>Washi Tape - Sand</t>
        </is>
      </c>
      <c r="B80" s="30" t="inlineStr">
        <is>
          <t>SKU-076</t>
        </is>
      </c>
      <c r="C80" s="35">
        <f>VLOOKUP(B80,Inventory!$A$5:$J$104,10,FALSE)</f>
        <v/>
      </c>
      <c r="D80" s="24" t="n">
        <v>0.39</v>
      </c>
      <c r="E80" s="24" t="n">
        <v>0.44</v>
      </c>
      <c r="F80" s="24" t="n">
        <v>0.25</v>
      </c>
      <c r="G80" s="36" t="n">
        <v>0.13</v>
      </c>
      <c r="H80" s="36" t="n">
        <v>0.1</v>
      </c>
      <c r="I80" s="36" t="n">
        <v>0.42</v>
      </c>
      <c r="J80" s="35">
        <f>IF(A80="","",ROUND((C80+D80+E80+F80)/(1-(G80+H80+I80)),2))</f>
        <v/>
      </c>
      <c r="K80" s="35">
        <f>IF(J80="","",J80-(C80+D80+E80+F80)-(J80*G80)-(J80*H80))</f>
        <v/>
      </c>
      <c r="L80" s="37">
        <f>IF(J80="","",IF(J80=0,"",K80/J80))</f>
        <v/>
      </c>
      <c r="M80" s="30" t="inlineStr">
        <is>
          <t>Pricing scenario 76</t>
        </is>
      </c>
    </row>
    <row r="81">
      <c r="A81" s="30" t="inlineStr">
        <is>
          <t>Washi Tape - Olive</t>
        </is>
      </c>
      <c r="B81" s="30" t="inlineStr">
        <is>
          <t>SKU-077</t>
        </is>
      </c>
      <c r="C81" s="35">
        <f>VLOOKUP(B81,Inventory!$A$5:$J$104,10,FALSE)</f>
        <v/>
      </c>
      <c r="D81" s="24" t="n">
        <v>0.18</v>
      </c>
      <c r="E81" s="24" t="n">
        <v>0.53</v>
      </c>
      <c r="F81" s="24" t="n">
        <v>0.25</v>
      </c>
      <c r="G81" s="36" t="n">
        <v>0.13</v>
      </c>
      <c r="H81" s="36" t="n">
        <v>0.1</v>
      </c>
      <c r="I81" s="36" t="n">
        <v>0.45</v>
      </c>
      <c r="J81" s="35">
        <f>IF(A81="","",ROUND((C81+D81+E81+F81)/(1-(G81+H81+I81)),2))</f>
        <v/>
      </c>
      <c r="K81" s="35">
        <f>IF(J81="","",J81-(C81+D81+E81+F81)-(J81*G81)-(J81*H81))</f>
        <v/>
      </c>
      <c r="L81" s="37">
        <f>IF(J81="","",IF(J81=0,"",K81/J81))</f>
        <v/>
      </c>
      <c r="M81" s="30" t="inlineStr">
        <is>
          <t>Pricing scenario 77</t>
        </is>
      </c>
    </row>
    <row r="82">
      <c r="A82" s="30" t="inlineStr">
        <is>
          <t>Washi Tape - Slate</t>
        </is>
      </c>
      <c r="B82" s="30" t="inlineStr">
        <is>
          <t>SKU-078</t>
        </is>
      </c>
      <c r="C82" s="35">
        <f>VLOOKUP(B82,Inventory!$A$5:$J$104,10,FALSE)</f>
        <v/>
      </c>
      <c r="D82" s="24" t="n">
        <v>0.25</v>
      </c>
      <c r="E82" s="24" t="n">
        <v>0.62</v>
      </c>
      <c r="F82" s="24" t="n">
        <v>0.25</v>
      </c>
      <c r="G82" s="36" t="n">
        <v>0.13</v>
      </c>
      <c r="H82" s="36" t="n">
        <v>0.1</v>
      </c>
      <c r="I82" s="36" t="n">
        <v>0.48</v>
      </c>
      <c r="J82" s="35">
        <f>IF(A82="","",ROUND((C82+D82+E82+F82)/(1-(G82+H82+I82)),2))</f>
        <v/>
      </c>
      <c r="K82" s="35">
        <f>IF(J82="","",J82-(C82+D82+E82+F82)-(J82*G82)-(J82*H82))</f>
        <v/>
      </c>
      <c r="L82" s="37">
        <f>IF(J82="","",IF(J82=0,"",K82/J82))</f>
        <v/>
      </c>
      <c r="M82" s="30" t="inlineStr">
        <is>
          <t>Pricing scenario 78</t>
        </is>
      </c>
    </row>
    <row r="83">
      <c r="A83" s="30" t="inlineStr">
        <is>
          <t>Washi Tape - Coral</t>
        </is>
      </c>
      <c r="B83" s="30" t="inlineStr">
        <is>
          <t>SKU-079</t>
        </is>
      </c>
      <c r="C83" s="35">
        <f>VLOOKUP(B83,Inventory!$A$5:$J$104,10,FALSE)</f>
        <v/>
      </c>
      <c r="D83" s="24" t="n">
        <v>0.32</v>
      </c>
      <c r="E83" s="24" t="n">
        <v>0.71</v>
      </c>
      <c r="F83" s="24" t="n">
        <v>0.25</v>
      </c>
      <c r="G83" s="36" t="n">
        <v>0.13</v>
      </c>
      <c r="H83" s="36" t="n">
        <v>0.1</v>
      </c>
      <c r="I83" s="36" t="n">
        <v>0.42</v>
      </c>
      <c r="J83" s="35">
        <f>IF(A83="","",ROUND((C83+D83+E83+F83)/(1-(G83+H83+I83)),2))</f>
        <v/>
      </c>
      <c r="K83" s="35">
        <f>IF(J83="","",J83-(C83+D83+E83+F83)-(J83*G83)-(J83*H83))</f>
        <v/>
      </c>
      <c r="L83" s="37">
        <f>IF(J83="","",IF(J83=0,"",K83/J83))</f>
        <v/>
      </c>
      <c r="M83" s="30" t="inlineStr">
        <is>
          <t>Pricing scenario 79</t>
        </is>
      </c>
    </row>
    <row r="84">
      <c r="A84" s="30" t="inlineStr">
        <is>
          <t>Washi Tape - Natural</t>
        </is>
      </c>
      <c r="B84" s="30" t="inlineStr">
        <is>
          <t>SKU-080</t>
        </is>
      </c>
      <c r="C84" s="35">
        <f>VLOOKUP(B84,Inventory!$A$5:$J$104,10,FALSE)</f>
        <v/>
      </c>
      <c r="D84" s="24" t="n">
        <v>0.39</v>
      </c>
      <c r="E84" s="24" t="n">
        <v>0.8</v>
      </c>
      <c r="F84" s="24" t="n">
        <v>0.25</v>
      </c>
      <c r="G84" s="36" t="n">
        <v>0.13</v>
      </c>
      <c r="H84" s="36" t="n">
        <v>0.1</v>
      </c>
      <c r="I84" s="36" t="n">
        <v>0.45</v>
      </c>
      <c r="J84" s="35">
        <f>IF(A84="","",ROUND((C84+D84+E84+F84)/(1-(G84+H84+I84)),2))</f>
        <v/>
      </c>
      <c r="K84" s="35">
        <f>IF(J84="","",J84-(C84+D84+E84+F84)-(J84*G84)-(J84*H84))</f>
        <v/>
      </c>
      <c r="L84" s="37">
        <f>IF(J84="","",IF(J84=0,"",K84/J84))</f>
        <v/>
      </c>
      <c r="M84" s="30" t="inlineStr">
        <is>
          <t>Pricing scenario 80</t>
        </is>
      </c>
    </row>
    <row r="85">
      <c r="A85" s="30" t="inlineStr">
        <is>
          <t>Tote Pouch - Sand</t>
        </is>
      </c>
      <c r="B85" s="30" t="inlineStr">
        <is>
          <t>SKU-081</t>
        </is>
      </c>
      <c r="C85" s="35">
        <f>VLOOKUP(B85,Inventory!$A$5:$J$104,10,FALSE)</f>
        <v/>
      </c>
      <c r="D85" s="24" t="n">
        <v>0.18</v>
      </c>
      <c r="E85" s="24" t="n">
        <v>0.44</v>
      </c>
      <c r="F85" s="24" t="n">
        <v>0.25</v>
      </c>
      <c r="G85" s="36" t="n">
        <v>0.13</v>
      </c>
      <c r="H85" s="36" t="n">
        <v>0.1</v>
      </c>
      <c r="I85" s="36" t="n">
        <v>0.48</v>
      </c>
      <c r="J85" s="35">
        <f>IF(A85="","",ROUND((C85+D85+E85+F85)/(1-(G85+H85+I85)),2))</f>
        <v/>
      </c>
      <c r="K85" s="35">
        <f>IF(J85="","",J85-(C85+D85+E85+F85)-(J85*G85)-(J85*H85))</f>
        <v/>
      </c>
      <c r="L85" s="37">
        <f>IF(J85="","",IF(J85=0,"",K85/J85))</f>
        <v/>
      </c>
      <c r="M85" s="30" t="inlineStr">
        <is>
          <t>Pricing scenario 81</t>
        </is>
      </c>
    </row>
    <row r="86">
      <c r="A86" s="30" t="inlineStr">
        <is>
          <t>Tote Pouch - Olive</t>
        </is>
      </c>
      <c r="B86" s="30" t="inlineStr">
        <is>
          <t>SKU-082</t>
        </is>
      </c>
      <c r="C86" s="35">
        <f>VLOOKUP(B86,Inventory!$A$5:$J$104,10,FALSE)</f>
        <v/>
      </c>
      <c r="D86" s="24" t="n">
        <v>0.25</v>
      </c>
      <c r="E86" s="24" t="n">
        <v>0.53</v>
      </c>
      <c r="F86" s="24" t="n">
        <v>0.25</v>
      </c>
      <c r="G86" s="36" t="n">
        <v>0.13</v>
      </c>
      <c r="H86" s="36" t="n">
        <v>0.1</v>
      </c>
      <c r="I86" s="36" t="n">
        <v>0.42</v>
      </c>
      <c r="J86" s="35">
        <f>IF(A86="","",ROUND((C86+D86+E86+F86)/(1-(G86+H86+I86)),2))</f>
        <v/>
      </c>
      <c r="K86" s="35">
        <f>IF(J86="","",J86-(C86+D86+E86+F86)-(J86*G86)-(J86*H86))</f>
        <v/>
      </c>
      <c r="L86" s="37">
        <f>IF(J86="","",IF(J86=0,"",K86/J86))</f>
        <v/>
      </c>
      <c r="M86" s="30" t="inlineStr">
        <is>
          <t>Pricing scenario 82</t>
        </is>
      </c>
    </row>
    <row r="87">
      <c r="A87" s="30" t="inlineStr">
        <is>
          <t>Tote Pouch - Slate</t>
        </is>
      </c>
      <c r="B87" s="30" t="inlineStr">
        <is>
          <t>SKU-083</t>
        </is>
      </c>
      <c r="C87" s="35">
        <f>VLOOKUP(B87,Inventory!$A$5:$J$104,10,FALSE)</f>
        <v/>
      </c>
      <c r="D87" s="24" t="n">
        <v>0.32</v>
      </c>
      <c r="E87" s="24" t="n">
        <v>0.62</v>
      </c>
      <c r="F87" s="24" t="n">
        <v>0.25</v>
      </c>
      <c r="G87" s="36" t="n">
        <v>0.13</v>
      </c>
      <c r="H87" s="36" t="n">
        <v>0.1</v>
      </c>
      <c r="I87" s="36" t="n">
        <v>0.45</v>
      </c>
      <c r="J87" s="35">
        <f>IF(A87="","",ROUND((C87+D87+E87+F87)/(1-(G87+H87+I87)),2))</f>
        <v/>
      </c>
      <c r="K87" s="35">
        <f>IF(J87="","",J87-(C87+D87+E87+F87)-(J87*G87)-(J87*H87))</f>
        <v/>
      </c>
      <c r="L87" s="37">
        <f>IF(J87="","",IF(J87=0,"",K87/J87))</f>
        <v/>
      </c>
      <c r="M87" s="30" t="inlineStr">
        <is>
          <t>Pricing scenario 83</t>
        </is>
      </c>
    </row>
    <row r="88">
      <c r="A88" s="30" t="inlineStr">
        <is>
          <t>Tote Pouch - Coral</t>
        </is>
      </c>
      <c r="B88" s="30" t="inlineStr">
        <is>
          <t>SKU-084</t>
        </is>
      </c>
      <c r="C88" s="35">
        <f>VLOOKUP(B88,Inventory!$A$5:$J$104,10,FALSE)</f>
        <v/>
      </c>
      <c r="D88" s="24" t="n">
        <v>0.39</v>
      </c>
      <c r="E88" s="24" t="n">
        <v>0.71</v>
      </c>
      <c r="F88" s="24" t="n">
        <v>0.25</v>
      </c>
      <c r="G88" s="36" t="n">
        <v>0.13</v>
      </c>
      <c r="H88" s="36" t="n">
        <v>0.1</v>
      </c>
      <c r="I88" s="36" t="n">
        <v>0.48</v>
      </c>
      <c r="J88" s="35">
        <f>IF(A88="","",ROUND((C88+D88+E88+F88)/(1-(G88+H88+I88)),2))</f>
        <v/>
      </c>
      <c r="K88" s="35">
        <f>IF(J88="","",J88-(C88+D88+E88+F88)-(J88*G88)-(J88*H88))</f>
        <v/>
      </c>
      <c r="L88" s="37">
        <f>IF(J88="","",IF(J88=0,"",K88/J88))</f>
        <v/>
      </c>
      <c r="M88" s="30" t="inlineStr">
        <is>
          <t>Pricing scenario 84</t>
        </is>
      </c>
    </row>
    <row r="89">
      <c r="A89" s="30" t="inlineStr">
        <is>
          <t>Tote Pouch - Natural</t>
        </is>
      </c>
      <c r="B89" s="30" t="inlineStr">
        <is>
          <t>SKU-085</t>
        </is>
      </c>
      <c r="C89" s="35">
        <f>VLOOKUP(B89,Inventory!$A$5:$J$104,10,FALSE)</f>
        <v/>
      </c>
      <c r="D89" s="24" t="n">
        <v>0.18</v>
      </c>
      <c r="E89" s="24" t="n">
        <v>0.8</v>
      </c>
      <c r="F89" s="24" t="n">
        <v>0.25</v>
      </c>
      <c r="G89" s="36" t="n">
        <v>0.13</v>
      </c>
      <c r="H89" s="36" t="n">
        <v>0.1</v>
      </c>
      <c r="I89" s="36" t="n">
        <v>0.42</v>
      </c>
      <c r="J89" s="35">
        <f>IF(A89="","",ROUND((C89+D89+E89+F89)/(1-(G89+H89+I89)),2))</f>
        <v/>
      </c>
      <c r="K89" s="35">
        <f>IF(J89="","",J89-(C89+D89+E89+F89)-(J89*G89)-(J89*H89))</f>
        <v/>
      </c>
      <c r="L89" s="37">
        <f>IF(J89="","",IF(J89=0,"",K89/J89))</f>
        <v/>
      </c>
      <c r="M89" s="30" t="inlineStr">
        <is>
          <t>Pricing scenario 85</t>
        </is>
      </c>
    </row>
    <row r="90">
      <c r="A90" s="30" t="inlineStr">
        <is>
          <t>Metal Bookmark - Sand</t>
        </is>
      </c>
      <c r="B90" s="30" t="inlineStr">
        <is>
          <t>SKU-086</t>
        </is>
      </c>
      <c r="C90" s="35">
        <f>VLOOKUP(B90,Inventory!$A$5:$J$104,10,FALSE)</f>
        <v/>
      </c>
      <c r="D90" s="24" t="n">
        <v>0.25</v>
      </c>
      <c r="E90" s="24" t="n">
        <v>0.44</v>
      </c>
      <c r="F90" s="24" t="n">
        <v>0.25</v>
      </c>
      <c r="G90" s="36" t="n">
        <v>0.13</v>
      </c>
      <c r="H90" s="36" t="n">
        <v>0.1</v>
      </c>
      <c r="I90" s="36" t="n">
        <v>0.45</v>
      </c>
      <c r="J90" s="35">
        <f>IF(A90="","",ROUND((C90+D90+E90+F90)/(1-(G90+H90+I90)),2))</f>
        <v/>
      </c>
      <c r="K90" s="35">
        <f>IF(J90="","",J90-(C90+D90+E90+F90)-(J90*G90)-(J90*H90))</f>
        <v/>
      </c>
      <c r="L90" s="37">
        <f>IF(J90="","",IF(J90=0,"",K90/J90))</f>
        <v/>
      </c>
      <c r="M90" s="30" t="inlineStr">
        <is>
          <t>Pricing scenario 86</t>
        </is>
      </c>
    </row>
    <row r="91">
      <c r="A91" s="30" t="inlineStr">
        <is>
          <t>Metal Bookmark - Olive</t>
        </is>
      </c>
      <c r="B91" s="30" t="inlineStr">
        <is>
          <t>SKU-087</t>
        </is>
      </c>
      <c r="C91" s="35">
        <f>VLOOKUP(B91,Inventory!$A$5:$J$104,10,FALSE)</f>
        <v/>
      </c>
      <c r="D91" s="24" t="n">
        <v>0.32</v>
      </c>
      <c r="E91" s="24" t="n">
        <v>0.53</v>
      </c>
      <c r="F91" s="24" t="n">
        <v>0.25</v>
      </c>
      <c r="G91" s="36" t="n">
        <v>0.13</v>
      </c>
      <c r="H91" s="36" t="n">
        <v>0.1</v>
      </c>
      <c r="I91" s="36" t="n">
        <v>0.48</v>
      </c>
      <c r="J91" s="35">
        <f>IF(A91="","",ROUND((C91+D91+E91+F91)/(1-(G91+H91+I91)),2))</f>
        <v/>
      </c>
      <c r="K91" s="35">
        <f>IF(J91="","",J91-(C91+D91+E91+F91)-(J91*G91)-(J91*H91))</f>
        <v/>
      </c>
      <c r="L91" s="37">
        <f>IF(J91="","",IF(J91=0,"",K91/J91))</f>
        <v/>
      </c>
      <c r="M91" s="30" t="inlineStr">
        <is>
          <t>Pricing scenario 87</t>
        </is>
      </c>
    </row>
    <row r="92">
      <c r="A92" s="30" t="inlineStr">
        <is>
          <t>Metal Bookmark - Slate</t>
        </is>
      </c>
      <c r="B92" s="30" t="inlineStr">
        <is>
          <t>SKU-088</t>
        </is>
      </c>
      <c r="C92" s="35">
        <f>VLOOKUP(B92,Inventory!$A$5:$J$104,10,FALSE)</f>
        <v/>
      </c>
      <c r="D92" s="24" t="n">
        <v>0.39</v>
      </c>
      <c r="E92" s="24" t="n">
        <v>0.62</v>
      </c>
      <c r="F92" s="24" t="n">
        <v>0.25</v>
      </c>
      <c r="G92" s="36" t="n">
        <v>0.13</v>
      </c>
      <c r="H92" s="36" t="n">
        <v>0.1</v>
      </c>
      <c r="I92" s="36" t="n">
        <v>0.42</v>
      </c>
      <c r="J92" s="35">
        <f>IF(A92="","",ROUND((C92+D92+E92+F92)/(1-(G92+H92+I92)),2))</f>
        <v/>
      </c>
      <c r="K92" s="35">
        <f>IF(J92="","",J92-(C92+D92+E92+F92)-(J92*G92)-(J92*H92))</f>
        <v/>
      </c>
      <c r="L92" s="37">
        <f>IF(J92="","",IF(J92=0,"",K92/J92))</f>
        <v/>
      </c>
      <c r="M92" s="30" t="inlineStr">
        <is>
          <t>Pricing scenario 88</t>
        </is>
      </c>
    </row>
    <row r="93">
      <c r="A93" s="30" t="inlineStr">
        <is>
          <t>Metal Bookmark - Coral</t>
        </is>
      </c>
      <c r="B93" s="30" t="inlineStr">
        <is>
          <t>SKU-089</t>
        </is>
      </c>
      <c r="C93" s="35">
        <f>VLOOKUP(B93,Inventory!$A$5:$J$104,10,FALSE)</f>
        <v/>
      </c>
      <c r="D93" s="24" t="n">
        <v>0.18</v>
      </c>
      <c r="E93" s="24" t="n">
        <v>0.71</v>
      </c>
      <c r="F93" s="24" t="n">
        <v>0.25</v>
      </c>
      <c r="G93" s="36" t="n">
        <v>0.13</v>
      </c>
      <c r="H93" s="36" t="n">
        <v>0.1</v>
      </c>
      <c r="I93" s="36" t="n">
        <v>0.45</v>
      </c>
      <c r="J93" s="35">
        <f>IF(A93="","",ROUND((C93+D93+E93+F93)/(1-(G93+H93+I93)),2))</f>
        <v/>
      </c>
      <c r="K93" s="35">
        <f>IF(J93="","",J93-(C93+D93+E93+F93)-(J93*G93)-(J93*H93))</f>
        <v/>
      </c>
      <c r="L93" s="37">
        <f>IF(J93="","",IF(J93=0,"",K93/J93))</f>
        <v/>
      </c>
      <c r="M93" s="30" t="inlineStr">
        <is>
          <t>Pricing scenario 89</t>
        </is>
      </c>
    </row>
    <row r="94">
      <c r="A94" s="30" t="inlineStr">
        <is>
          <t>Metal Bookmark - Natural</t>
        </is>
      </c>
      <c r="B94" s="30" t="inlineStr">
        <is>
          <t>SKU-090</t>
        </is>
      </c>
      <c r="C94" s="35">
        <f>VLOOKUP(B94,Inventory!$A$5:$J$104,10,FALSE)</f>
        <v/>
      </c>
      <c r="D94" s="24" t="n">
        <v>0.25</v>
      </c>
      <c r="E94" s="24" t="n">
        <v>0.8</v>
      </c>
      <c r="F94" s="24" t="n">
        <v>0.25</v>
      </c>
      <c r="G94" s="36" t="n">
        <v>0.13</v>
      </c>
      <c r="H94" s="36" t="n">
        <v>0.1</v>
      </c>
      <c r="I94" s="36" t="n">
        <v>0.48</v>
      </c>
      <c r="J94" s="35">
        <f>IF(A94="","",ROUND((C94+D94+E94+F94)/(1-(G94+H94+I94)),2))</f>
        <v/>
      </c>
      <c r="K94" s="35">
        <f>IF(J94="","",J94-(C94+D94+E94+F94)-(J94*G94)-(J94*H94))</f>
        <v/>
      </c>
      <c r="L94" s="37">
        <f>IF(J94="","",IF(J94=0,"",K94/J94))</f>
        <v/>
      </c>
      <c r="M94" s="30" t="inlineStr">
        <is>
          <t>Pricing scenario 90</t>
        </is>
      </c>
    </row>
    <row r="95">
      <c r="A95" s="30" t="inlineStr">
        <is>
          <t>Wall Print - Sand</t>
        </is>
      </c>
      <c r="B95" s="30" t="inlineStr">
        <is>
          <t>SKU-091</t>
        </is>
      </c>
      <c r="C95" s="35">
        <f>VLOOKUP(B95,Inventory!$A$5:$J$104,10,FALSE)</f>
        <v/>
      </c>
      <c r="D95" s="24" t="n">
        <v>0.32</v>
      </c>
      <c r="E95" s="24" t="n">
        <v>0.44</v>
      </c>
      <c r="F95" s="24" t="n">
        <v>0.25</v>
      </c>
      <c r="G95" s="36" t="n">
        <v>0.13</v>
      </c>
      <c r="H95" s="36" t="n">
        <v>0.1</v>
      </c>
      <c r="I95" s="36" t="n">
        <v>0.42</v>
      </c>
      <c r="J95" s="35">
        <f>IF(A95="","",ROUND((C95+D95+E95+F95)/(1-(G95+H95+I95)),2))</f>
        <v/>
      </c>
      <c r="K95" s="35">
        <f>IF(J95="","",J95-(C95+D95+E95+F95)-(J95*G95)-(J95*H95))</f>
        <v/>
      </c>
      <c r="L95" s="37">
        <f>IF(J95="","",IF(J95=0,"",K95/J95))</f>
        <v/>
      </c>
      <c r="M95" s="30" t="inlineStr">
        <is>
          <t>Pricing scenario 91</t>
        </is>
      </c>
    </row>
    <row r="96">
      <c r="A96" s="30" t="inlineStr">
        <is>
          <t>Wall Print - Olive</t>
        </is>
      </c>
      <c r="B96" s="30" t="inlineStr">
        <is>
          <t>SKU-092</t>
        </is>
      </c>
      <c r="C96" s="35">
        <f>VLOOKUP(B96,Inventory!$A$5:$J$104,10,FALSE)</f>
        <v/>
      </c>
      <c r="D96" s="24" t="n">
        <v>0.39</v>
      </c>
      <c r="E96" s="24" t="n">
        <v>0.53</v>
      </c>
      <c r="F96" s="24" t="n">
        <v>0.25</v>
      </c>
      <c r="G96" s="36" t="n">
        <v>0.13</v>
      </c>
      <c r="H96" s="36" t="n">
        <v>0.1</v>
      </c>
      <c r="I96" s="36" t="n">
        <v>0.45</v>
      </c>
      <c r="J96" s="35">
        <f>IF(A96="","",ROUND((C96+D96+E96+F96)/(1-(G96+H96+I96)),2))</f>
        <v/>
      </c>
      <c r="K96" s="35">
        <f>IF(J96="","",J96-(C96+D96+E96+F96)-(J96*G96)-(J96*H96))</f>
        <v/>
      </c>
      <c r="L96" s="37">
        <f>IF(J96="","",IF(J96=0,"",K96/J96))</f>
        <v/>
      </c>
      <c r="M96" s="30" t="inlineStr">
        <is>
          <t>Pricing scenario 92</t>
        </is>
      </c>
    </row>
    <row r="97">
      <c r="A97" s="30" t="inlineStr">
        <is>
          <t>Wall Print - Slate</t>
        </is>
      </c>
      <c r="B97" s="30" t="inlineStr">
        <is>
          <t>SKU-093</t>
        </is>
      </c>
      <c r="C97" s="35">
        <f>VLOOKUP(B97,Inventory!$A$5:$J$104,10,FALSE)</f>
        <v/>
      </c>
      <c r="D97" s="24" t="n">
        <v>0.18</v>
      </c>
      <c r="E97" s="24" t="n">
        <v>0.62</v>
      </c>
      <c r="F97" s="24" t="n">
        <v>0.25</v>
      </c>
      <c r="G97" s="36" t="n">
        <v>0.13</v>
      </c>
      <c r="H97" s="36" t="n">
        <v>0.1</v>
      </c>
      <c r="I97" s="36" t="n">
        <v>0.48</v>
      </c>
      <c r="J97" s="35">
        <f>IF(A97="","",ROUND((C97+D97+E97+F97)/(1-(G97+H97+I97)),2))</f>
        <v/>
      </c>
      <c r="K97" s="35">
        <f>IF(J97="","",J97-(C97+D97+E97+F97)-(J97*G97)-(J97*H97))</f>
        <v/>
      </c>
      <c r="L97" s="37">
        <f>IF(J97="","",IF(J97=0,"",K97/J97))</f>
        <v/>
      </c>
      <c r="M97" s="30" t="inlineStr">
        <is>
          <t>Pricing scenario 93</t>
        </is>
      </c>
    </row>
    <row r="98">
      <c r="A98" s="30" t="inlineStr">
        <is>
          <t>Wall Print - Coral</t>
        </is>
      </c>
      <c r="B98" s="30" t="inlineStr">
        <is>
          <t>SKU-094</t>
        </is>
      </c>
      <c r="C98" s="35">
        <f>VLOOKUP(B98,Inventory!$A$5:$J$104,10,FALSE)</f>
        <v/>
      </c>
      <c r="D98" s="24" t="n">
        <v>0.25</v>
      </c>
      <c r="E98" s="24" t="n">
        <v>0.71</v>
      </c>
      <c r="F98" s="24" t="n">
        <v>0.25</v>
      </c>
      <c r="G98" s="36" t="n">
        <v>0.13</v>
      </c>
      <c r="H98" s="36" t="n">
        <v>0.1</v>
      </c>
      <c r="I98" s="36" t="n">
        <v>0.42</v>
      </c>
      <c r="J98" s="35">
        <f>IF(A98="","",ROUND((C98+D98+E98+F98)/(1-(G98+H98+I98)),2))</f>
        <v/>
      </c>
      <c r="K98" s="35">
        <f>IF(J98="","",J98-(C98+D98+E98+F98)-(J98*G98)-(J98*H98))</f>
        <v/>
      </c>
      <c r="L98" s="37">
        <f>IF(J98="","",IF(J98=0,"",K98/J98))</f>
        <v/>
      </c>
      <c r="M98" s="30" t="inlineStr">
        <is>
          <t>Pricing scenario 94</t>
        </is>
      </c>
    </row>
    <row r="99">
      <c r="A99" s="30" t="inlineStr">
        <is>
          <t>Wall Print - Natural</t>
        </is>
      </c>
      <c r="B99" s="30" t="inlineStr">
        <is>
          <t>SKU-095</t>
        </is>
      </c>
      <c r="C99" s="35">
        <f>VLOOKUP(B99,Inventory!$A$5:$J$104,10,FALSE)</f>
        <v/>
      </c>
      <c r="D99" s="24" t="n">
        <v>0.32</v>
      </c>
      <c r="E99" s="24" t="n">
        <v>0.8</v>
      </c>
      <c r="F99" s="24" t="n">
        <v>0.25</v>
      </c>
      <c r="G99" s="36" t="n">
        <v>0.13</v>
      </c>
      <c r="H99" s="36" t="n">
        <v>0.1</v>
      </c>
      <c r="I99" s="36" t="n">
        <v>0.45</v>
      </c>
      <c r="J99" s="35">
        <f>IF(A99="","",ROUND((C99+D99+E99+F99)/(1-(G99+H99+I99)),2))</f>
        <v/>
      </c>
      <c r="K99" s="35">
        <f>IF(J99="","",J99-(C99+D99+E99+F99)-(J99*G99)-(J99*H99))</f>
        <v/>
      </c>
      <c r="L99" s="37">
        <f>IF(J99="","",IF(J99=0,"",K99/J99))</f>
        <v/>
      </c>
      <c r="M99" s="30" t="inlineStr">
        <is>
          <t>Pricing scenario 95</t>
        </is>
      </c>
    </row>
    <row r="100">
      <c r="A100" s="30" t="inlineStr">
        <is>
          <t>Tea Tin - Sand</t>
        </is>
      </c>
      <c r="B100" s="30" t="inlineStr">
        <is>
          <t>SKU-096</t>
        </is>
      </c>
      <c r="C100" s="35">
        <f>VLOOKUP(B100,Inventory!$A$5:$J$104,10,FALSE)</f>
        <v/>
      </c>
      <c r="D100" s="24" t="n">
        <v>0.39</v>
      </c>
      <c r="E100" s="24" t="n">
        <v>0.44</v>
      </c>
      <c r="F100" s="24" t="n">
        <v>0.25</v>
      </c>
      <c r="G100" s="36" t="n">
        <v>0.13</v>
      </c>
      <c r="H100" s="36" t="n">
        <v>0.1</v>
      </c>
      <c r="I100" s="36" t="n">
        <v>0.48</v>
      </c>
      <c r="J100" s="35">
        <f>IF(A100="","",ROUND((C100+D100+E100+F100)/(1-(G100+H100+I100)),2))</f>
        <v/>
      </c>
      <c r="K100" s="35">
        <f>IF(J100="","",J100-(C100+D100+E100+F100)-(J100*G100)-(J100*H100))</f>
        <v/>
      </c>
      <c r="L100" s="37">
        <f>IF(J100="","",IF(J100=0,"",K100/J100))</f>
        <v/>
      </c>
      <c r="M100" s="30" t="inlineStr">
        <is>
          <t>Pricing scenario 96</t>
        </is>
      </c>
    </row>
    <row r="101">
      <c r="A101" s="30" t="inlineStr">
        <is>
          <t>Tea Tin - Olive</t>
        </is>
      </c>
      <c r="B101" s="30" t="inlineStr">
        <is>
          <t>SKU-097</t>
        </is>
      </c>
      <c r="C101" s="35">
        <f>VLOOKUP(B101,Inventory!$A$5:$J$104,10,FALSE)</f>
        <v/>
      </c>
      <c r="D101" s="24" t="n">
        <v>0.18</v>
      </c>
      <c r="E101" s="24" t="n">
        <v>0.53</v>
      </c>
      <c r="F101" s="24" t="n">
        <v>0.25</v>
      </c>
      <c r="G101" s="36" t="n">
        <v>0.13</v>
      </c>
      <c r="H101" s="36" t="n">
        <v>0.1</v>
      </c>
      <c r="I101" s="36" t="n">
        <v>0.42</v>
      </c>
      <c r="J101" s="35">
        <f>IF(A101="","",ROUND((C101+D101+E101+F101)/(1-(G101+H101+I101)),2))</f>
        <v/>
      </c>
      <c r="K101" s="35">
        <f>IF(J101="","",J101-(C101+D101+E101+F101)-(J101*G101)-(J101*H101))</f>
        <v/>
      </c>
      <c r="L101" s="37">
        <f>IF(J101="","",IF(J101=0,"",K101/J101))</f>
        <v/>
      </c>
      <c r="M101" s="30" t="inlineStr">
        <is>
          <t>Pricing scenario 97</t>
        </is>
      </c>
    </row>
    <row r="102">
      <c r="A102" s="30" t="inlineStr">
        <is>
          <t>Tea Tin - Slate</t>
        </is>
      </c>
      <c r="B102" s="30" t="inlineStr">
        <is>
          <t>SKU-098</t>
        </is>
      </c>
      <c r="C102" s="35">
        <f>VLOOKUP(B102,Inventory!$A$5:$J$104,10,FALSE)</f>
        <v/>
      </c>
      <c r="D102" s="24" t="n">
        <v>0.25</v>
      </c>
      <c r="E102" s="24" t="n">
        <v>0.62</v>
      </c>
      <c r="F102" s="24" t="n">
        <v>0.25</v>
      </c>
      <c r="G102" s="36" t="n">
        <v>0.13</v>
      </c>
      <c r="H102" s="36" t="n">
        <v>0.1</v>
      </c>
      <c r="I102" s="36" t="n">
        <v>0.45</v>
      </c>
      <c r="J102" s="35">
        <f>IF(A102="","",ROUND((C102+D102+E102+F102)/(1-(G102+H102+I102)),2))</f>
        <v/>
      </c>
      <c r="K102" s="35">
        <f>IF(J102="","",J102-(C102+D102+E102+F102)-(J102*G102)-(J102*H102))</f>
        <v/>
      </c>
      <c r="L102" s="37">
        <f>IF(J102="","",IF(J102=0,"",K102/J102))</f>
        <v/>
      </c>
      <c r="M102" s="30" t="inlineStr">
        <is>
          <t>Pricing scenario 98</t>
        </is>
      </c>
    </row>
    <row r="103">
      <c r="A103" s="30" t="inlineStr">
        <is>
          <t>Tea Tin - Coral</t>
        </is>
      </c>
      <c r="B103" s="30" t="inlineStr">
        <is>
          <t>SKU-099</t>
        </is>
      </c>
      <c r="C103" s="35">
        <f>VLOOKUP(B103,Inventory!$A$5:$J$104,10,FALSE)</f>
        <v/>
      </c>
      <c r="D103" s="24" t="n">
        <v>0.32</v>
      </c>
      <c r="E103" s="24" t="n">
        <v>0.71</v>
      </c>
      <c r="F103" s="24" t="n">
        <v>0.25</v>
      </c>
      <c r="G103" s="36" t="n">
        <v>0.13</v>
      </c>
      <c r="H103" s="36" t="n">
        <v>0.1</v>
      </c>
      <c r="I103" s="36" t="n">
        <v>0.48</v>
      </c>
      <c r="J103" s="35">
        <f>IF(A103="","",ROUND((C103+D103+E103+F103)/(1-(G103+H103+I103)),2))</f>
        <v/>
      </c>
      <c r="K103" s="35">
        <f>IF(J103="","",J103-(C103+D103+E103+F103)-(J103*G103)-(J103*H103))</f>
        <v/>
      </c>
      <c r="L103" s="37">
        <f>IF(J103="","",IF(J103=0,"",K103/J103))</f>
        <v/>
      </c>
      <c r="M103" s="30" t="inlineStr">
        <is>
          <t>Pricing scenario 99</t>
        </is>
      </c>
    </row>
    <row r="104">
      <c r="A104" s="30" t="inlineStr">
        <is>
          <t>Tea Tin - Natural</t>
        </is>
      </c>
      <c r="B104" s="30" t="inlineStr">
        <is>
          <t>SKU-100</t>
        </is>
      </c>
      <c r="C104" s="35">
        <f>VLOOKUP(B104,Inventory!$A$5:$J$104,10,FALSE)</f>
        <v/>
      </c>
      <c r="D104" s="24" t="n">
        <v>0.39</v>
      </c>
      <c r="E104" s="24" t="n">
        <v>0.8</v>
      </c>
      <c r="F104" s="24" t="n">
        <v>0.25</v>
      </c>
      <c r="G104" s="36" t="n">
        <v>0.13</v>
      </c>
      <c r="H104" s="36" t="n">
        <v>0.1</v>
      </c>
      <c r="I104" s="36" t="n">
        <v>0.42</v>
      </c>
      <c r="J104" s="35">
        <f>IF(A104="","",ROUND((C104+D104+E104+F104)/(1-(G104+H104+I104)),2))</f>
        <v/>
      </c>
      <c r="K104" s="35">
        <f>IF(J104="","",J104-(C104+D104+E104+F104)-(J104*G104)-(J104*H104))</f>
        <v/>
      </c>
      <c r="L104" s="37">
        <f>IF(J104="","",IF(J104=0,"",K104/J104))</f>
        <v/>
      </c>
      <c r="M104" s="30" t="inlineStr">
        <is>
          <t>Pricing scenario 100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M2"/>
    <mergeCell ref="A1:M1"/>
  </mergeCells>
  <dataValidations count="1">
    <dataValidation sqref="B5:B1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0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2" customWidth="1" min="4" max="4"/>
    <col width="15" customWidth="1" min="5" max="5"/>
    <col width="12" customWidth="1" min="6" max="6"/>
    <col width="10" customWidth="1" min="7" max="7"/>
    <col width="13" customWidth="1" min="8" max="8"/>
    <col width="20" customWidth="1" min="9" max="9"/>
  </cols>
  <sheetData>
    <row r="1" ht="28" customHeight="1">
      <c r="A1" s="1" t="inlineStr">
        <is>
          <t>Price List</t>
        </is>
      </c>
    </row>
    <row r="2" ht="22" customHeight="1">
      <c r="A2" s="2" t="inlineStr">
        <is>
          <t>Save approved price snapshots here. The top row mirrors the calculator output for quick reuse.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Product</t>
        </is>
      </c>
      <c r="D4" s="14" t="inlineStr">
        <is>
          <t>Cost</t>
        </is>
      </c>
      <c r="E4" s="14" t="inlineStr">
        <is>
          <t>Suggested Price</t>
        </is>
      </c>
      <c r="F4" s="14" t="inlineStr">
        <is>
          <t>Profit</t>
        </is>
      </c>
      <c r="G4" s="14" t="inlineStr">
        <is>
          <t>Margin</t>
        </is>
      </c>
      <c r="H4" s="14" t="inlineStr">
        <is>
          <t>Status</t>
        </is>
      </c>
      <c r="I4" s="14" t="inlineStr">
        <is>
          <t>Notes</t>
        </is>
      </c>
    </row>
    <row r="5">
      <c r="A5" s="34" t="n">
        <v>46042</v>
      </c>
      <c r="B5" s="30" t="inlineStr">
        <is>
          <t>SKU-001</t>
        </is>
      </c>
      <c r="C5" s="30" t="inlineStr">
        <is>
          <t>Canvas Tote - Sand</t>
        </is>
      </c>
      <c r="D5" s="35">
        <f>VLOOKUP(B5,Inventory!$A$5:$J$104,10,FALSE)</f>
        <v/>
      </c>
      <c r="E5" s="35">
        <f>'Price Calculator'!J5</f>
        <v/>
      </c>
      <c r="F5" s="35">
        <f>'Price Calculator'!K5</f>
        <v/>
      </c>
      <c r="G5" s="37">
        <f>'Price Calculator'!L5</f>
        <v/>
      </c>
      <c r="H5" s="38">
        <f>IF(G5&gt;=0.45,"Good margin","Review")</f>
        <v/>
      </c>
      <c r="I5" s="30" t="inlineStr">
        <is>
          <t>Pricing scenario 1</t>
        </is>
      </c>
    </row>
    <row r="6">
      <c r="A6" s="34" t="n">
        <v>46043</v>
      </c>
      <c r="B6" s="30" t="inlineStr">
        <is>
          <t>SKU-002</t>
        </is>
      </c>
      <c r="C6" s="30" t="inlineStr">
        <is>
          <t>Canvas Tote - Olive</t>
        </is>
      </c>
      <c r="D6" s="35">
        <f>VLOOKUP(B6,Inventory!$A$5:$J$104,10,FALSE)</f>
        <v/>
      </c>
      <c r="E6" s="35">
        <f>'Price Calculator'!J6</f>
        <v/>
      </c>
      <c r="F6" s="35">
        <f>'Price Calculator'!K6</f>
        <v/>
      </c>
      <c r="G6" s="37">
        <f>'Price Calculator'!L6</f>
        <v/>
      </c>
      <c r="H6" s="38">
        <f>IF(G6&gt;=0.45,"Good margin","Review")</f>
        <v/>
      </c>
      <c r="I6" s="30" t="inlineStr">
        <is>
          <t>Pricing scenario 2</t>
        </is>
      </c>
    </row>
    <row r="7">
      <c r="A7" s="34" t="n">
        <v>46044</v>
      </c>
      <c r="B7" s="30" t="inlineStr">
        <is>
          <t>SKU-003</t>
        </is>
      </c>
      <c r="C7" s="30" t="inlineStr">
        <is>
          <t>Canvas Tote - Slate</t>
        </is>
      </c>
      <c r="D7" s="35">
        <f>VLOOKUP(B7,Inventory!$A$5:$J$104,10,FALSE)</f>
        <v/>
      </c>
      <c r="E7" s="35">
        <f>'Price Calculator'!J7</f>
        <v/>
      </c>
      <c r="F7" s="35">
        <f>'Price Calculator'!K7</f>
        <v/>
      </c>
      <c r="G7" s="37">
        <f>'Price Calculator'!L7</f>
        <v/>
      </c>
      <c r="H7" s="38">
        <f>IF(G7&gt;=0.45,"Good margin","Review")</f>
        <v/>
      </c>
      <c r="I7" s="30" t="inlineStr">
        <is>
          <t>Pricing scenario 3</t>
        </is>
      </c>
    </row>
    <row r="8">
      <c r="A8" s="34" t="n">
        <v>46045</v>
      </c>
      <c r="B8" s="30" t="inlineStr">
        <is>
          <t>SKU-004</t>
        </is>
      </c>
      <c r="C8" s="30" t="inlineStr">
        <is>
          <t>Canvas Tote - Coral</t>
        </is>
      </c>
      <c r="D8" s="35">
        <f>VLOOKUP(B8,Inventory!$A$5:$J$104,10,FALSE)</f>
        <v/>
      </c>
      <c r="E8" s="35">
        <f>'Price Calculator'!J8</f>
        <v/>
      </c>
      <c r="F8" s="35">
        <f>'Price Calculator'!K8</f>
        <v/>
      </c>
      <c r="G8" s="37">
        <f>'Price Calculator'!L8</f>
        <v/>
      </c>
      <c r="H8" s="38">
        <f>IF(G8&gt;=0.45,"Good margin","Review")</f>
        <v/>
      </c>
      <c r="I8" s="30" t="inlineStr">
        <is>
          <t>Pricing scenario 4</t>
        </is>
      </c>
    </row>
    <row r="9">
      <c r="A9" s="34" t="n">
        <v>46046</v>
      </c>
      <c r="B9" s="30" t="inlineStr">
        <is>
          <t>SKU-005</t>
        </is>
      </c>
      <c r="C9" s="30" t="inlineStr">
        <is>
          <t>Canvas Tote - Natural</t>
        </is>
      </c>
      <c r="D9" s="35">
        <f>VLOOKUP(B9,Inventory!$A$5:$J$104,10,FALSE)</f>
        <v/>
      </c>
      <c r="E9" s="35">
        <f>'Price Calculator'!J9</f>
        <v/>
      </c>
      <c r="F9" s="35">
        <f>'Price Calculator'!K9</f>
        <v/>
      </c>
      <c r="G9" s="37">
        <f>'Price Calculator'!L9</f>
        <v/>
      </c>
      <c r="H9" s="38">
        <f>IF(G9&gt;=0.45,"Good margin","Review")</f>
        <v/>
      </c>
      <c r="I9" s="30" t="inlineStr">
        <is>
          <t>Pricing scenario 5</t>
        </is>
      </c>
    </row>
    <row r="10">
      <c r="A10" s="34" t="n">
        <v>46047</v>
      </c>
      <c r="B10" s="30" t="inlineStr">
        <is>
          <t>SKU-006</t>
        </is>
      </c>
      <c r="C10" s="30" t="inlineStr">
        <is>
          <t>Ceramic Mug - Sand</t>
        </is>
      </c>
      <c r="D10" s="35">
        <f>VLOOKUP(B10,Inventory!$A$5:$J$104,10,FALSE)</f>
        <v/>
      </c>
      <c r="E10" s="35">
        <f>'Price Calculator'!J10</f>
        <v/>
      </c>
      <c r="F10" s="35">
        <f>'Price Calculator'!K10</f>
        <v/>
      </c>
      <c r="G10" s="37">
        <f>'Price Calculator'!L10</f>
        <v/>
      </c>
      <c r="H10" s="38">
        <f>IF(G10&gt;=0.45,"Good margin","Review")</f>
        <v/>
      </c>
      <c r="I10" s="30" t="inlineStr">
        <is>
          <t>Pricing scenario 6</t>
        </is>
      </c>
    </row>
    <row r="11">
      <c r="A11" s="34" t="n">
        <v>46048</v>
      </c>
      <c r="B11" s="30" t="inlineStr">
        <is>
          <t>SKU-007</t>
        </is>
      </c>
      <c r="C11" s="30" t="inlineStr">
        <is>
          <t>Ceramic Mug - Olive</t>
        </is>
      </c>
      <c r="D11" s="35">
        <f>VLOOKUP(B11,Inventory!$A$5:$J$104,10,FALSE)</f>
        <v/>
      </c>
      <c r="E11" s="35">
        <f>'Price Calculator'!J11</f>
        <v/>
      </c>
      <c r="F11" s="35">
        <f>'Price Calculator'!K11</f>
        <v/>
      </c>
      <c r="G11" s="37">
        <f>'Price Calculator'!L11</f>
        <v/>
      </c>
      <c r="H11" s="38">
        <f>IF(G11&gt;=0.45,"Good margin","Review")</f>
        <v/>
      </c>
      <c r="I11" s="30" t="inlineStr">
        <is>
          <t>Pricing scenario 7</t>
        </is>
      </c>
    </row>
    <row r="12">
      <c r="A12" s="34" t="n">
        <v>46049</v>
      </c>
      <c r="B12" s="30" t="inlineStr">
        <is>
          <t>SKU-008</t>
        </is>
      </c>
      <c r="C12" s="30" t="inlineStr">
        <is>
          <t>Ceramic Mug - Slate</t>
        </is>
      </c>
      <c r="D12" s="35">
        <f>VLOOKUP(B12,Inventory!$A$5:$J$104,10,FALSE)</f>
        <v/>
      </c>
      <c r="E12" s="35">
        <f>'Price Calculator'!J12</f>
        <v/>
      </c>
      <c r="F12" s="35">
        <f>'Price Calculator'!K12</f>
        <v/>
      </c>
      <c r="G12" s="37">
        <f>'Price Calculator'!L12</f>
        <v/>
      </c>
      <c r="H12" s="38">
        <f>IF(G12&gt;=0.45,"Good margin","Review")</f>
        <v/>
      </c>
      <c r="I12" s="30" t="inlineStr">
        <is>
          <t>Pricing scenario 8</t>
        </is>
      </c>
    </row>
    <row r="13">
      <c r="A13" s="34" t="n">
        <v>46050</v>
      </c>
      <c r="B13" s="30" t="inlineStr">
        <is>
          <t>SKU-009</t>
        </is>
      </c>
      <c r="C13" s="30" t="inlineStr">
        <is>
          <t>Ceramic Mug - Coral</t>
        </is>
      </c>
      <c r="D13" s="35">
        <f>VLOOKUP(B13,Inventory!$A$5:$J$104,10,FALSE)</f>
        <v/>
      </c>
      <c r="E13" s="35">
        <f>'Price Calculator'!J13</f>
        <v/>
      </c>
      <c r="F13" s="35">
        <f>'Price Calculator'!K13</f>
        <v/>
      </c>
      <c r="G13" s="37">
        <f>'Price Calculator'!L13</f>
        <v/>
      </c>
      <c r="H13" s="38">
        <f>IF(G13&gt;=0.45,"Good margin","Review")</f>
        <v/>
      </c>
      <c r="I13" s="30" t="inlineStr">
        <is>
          <t>Pricing scenario 9</t>
        </is>
      </c>
    </row>
    <row r="14">
      <c r="A14" s="34" t="n">
        <v>46051</v>
      </c>
      <c r="B14" s="30" t="inlineStr">
        <is>
          <t>SKU-010</t>
        </is>
      </c>
      <c r="C14" s="30" t="inlineStr">
        <is>
          <t>Ceramic Mug - Natural</t>
        </is>
      </c>
      <c r="D14" s="35">
        <f>VLOOKUP(B14,Inventory!$A$5:$J$104,10,FALSE)</f>
        <v/>
      </c>
      <c r="E14" s="35">
        <f>'Price Calculator'!J14</f>
        <v/>
      </c>
      <c r="F14" s="35">
        <f>'Price Calculator'!K14</f>
        <v/>
      </c>
      <c r="G14" s="37">
        <f>'Price Calculator'!L14</f>
        <v/>
      </c>
      <c r="H14" s="38">
        <f>IF(G14&gt;=0.45,"Good margin","Review")</f>
        <v/>
      </c>
      <c r="I14" s="30" t="inlineStr">
        <is>
          <t>Pricing scenario 10</t>
        </is>
      </c>
    </row>
    <row r="15">
      <c r="A15" s="34" t="n">
        <v>46052</v>
      </c>
      <c r="B15" s="30" t="inlineStr">
        <is>
          <t>SKU-011</t>
        </is>
      </c>
      <c r="C15" s="30" t="inlineStr">
        <is>
          <t>A5 Notebook - Sand</t>
        </is>
      </c>
      <c r="D15" s="35">
        <f>VLOOKUP(B15,Inventory!$A$5:$J$104,10,FALSE)</f>
        <v/>
      </c>
      <c r="E15" s="35">
        <f>'Price Calculator'!J15</f>
        <v/>
      </c>
      <c r="F15" s="35">
        <f>'Price Calculator'!K15</f>
        <v/>
      </c>
      <c r="G15" s="37">
        <f>'Price Calculator'!L15</f>
        <v/>
      </c>
      <c r="H15" s="38">
        <f>IF(G15&gt;=0.45,"Good margin","Review")</f>
        <v/>
      </c>
      <c r="I15" s="30" t="inlineStr">
        <is>
          <t>Pricing scenario 11</t>
        </is>
      </c>
    </row>
    <row r="16">
      <c r="A16" s="34" t="n">
        <v>46053</v>
      </c>
      <c r="B16" s="30" t="inlineStr">
        <is>
          <t>SKU-012</t>
        </is>
      </c>
      <c r="C16" s="30" t="inlineStr">
        <is>
          <t>A5 Notebook - Olive</t>
        </is>
      </c>
      <c r="D16" s="35">
        <f>VLOOKUP(B16,Inventory!$A$5:$J$104,10,FALSE)</f>
        <v/>
      </c>
      <c r="E16" s="35">
        <f>'Price Calculator'!J16</f>
        <v/>
      </c>
      <c r="F16" s="35">
        <f>'Price Calculator'!K16</f>
        <v/>
      </c>
      <c r="G16" s="37">
        <f>'Price Calculator'!L16</f>
        <v/>
      </c>
      <c r="H16" s="38">
        <f>IF(G16&gt;=0.45,"Good margin","Review")</f>
        <v/>
      </c>
      <c r="I16" s="30" t="inlineStr">
        <is>
          <t>Pricing scenario 12</t>
        </is>
      </c>
    </row>
    <row r="17">
      <c r="A17" s="34" t="n">
        <v>46054</v>
      </c>
      <c r="B17" s="30" t="inlineStr">
        <is>
          <t>SKU-013</t>
        </is>
      </c>
      <c r="C17" s="30" t="inlineStr">
        <is>
          <t>A5 Notebook - Slate</t>
        </is>
      </c>
      <c r="D17" s="35">
        <f>VLOOKUP(B17,Inventory!$A$5:$J$104,10,FALSE)</f>
        <v/>
      </c>
      <c r="E17" s="35">
        <f>'Price Calculator'!J17</f>
        <v/>
      </c>
      <c r="F17" s="35">
        <f>'Price Calculator'!K17</f>
        <v/>
      </c>
      <c r="G17" s="37">
        <f>'Price Calculator'!L17</f>
        <v/>
      </c>
      <c r="H17" s="38">
        <f>IF(G17&gt;=0.45,"Good margin","Review")</f>
        <v/>
      </c>
      <c r="I17" s="30" t="inlineStr">
        <is>
          <t>Pricing scenario 13</t>
        </is>
      </c>
    </row>
    <row r="18">
      <c r="A18" s="34" t="n">
        <v>46055</v>
      </c>
      <c r="B18" s="30" t="inlineStr">
        <is>
          <t>SKU-014</t>
        </is>
      </c>
      <c r="C18" s="30" t="inlineStr">
        <is>
          <t>A5 Notebook - Coral</t>
        </is>
      </c>
      <c r="D18" s="35">
        <f>VLOOKUP(B18,Inventory!$A$5:$J$104,10,FALSE)</f>
        <v/>
      </c>
      <c r="E18" s="35">
        <f>'Price Calculator'!J18</f>
        <v/>
      </c>
      <c r="F18" s="35">
        <f>'Price Calculator'!K18</f>
        <v/>
      </c>
      <c r="G18" s="37">
        <f>'Price Calculator'!L18</f>
        <v/>
      </c>
      <c r="H18" s="38">
        <f>IF(G18&gt;=0.45,"Good margin","Review")</f>
        <v/>
      </c>
      <c r="I18" s="30" t="inlineStr">
        <is>
          <t>Pricing scenario 14</t>
        </is>
      </c>
    </row>
    <row r="19">
      <c r="A19" s="34" t="n">
        <v>46056</v>
      </c>
      <c r="B19" s="30" t="inlineStr">
        <is>
          <t>SKU-015</t>
        </is>
      </c>
      <c r="C19" s="30" t="inlineStr">
        <is>
          <t>A5 Notebook - Natural</t>
        </is>
      </c>
      <c r="D19" s="35">
        <f>VLOOKUP(B19,Inventory!$A$5:$J$104,10,FALSE)</f>
        <v/>
      </c>
      <c r="E19" s="35">
        <f>'Price Calculator'!J19</f>
        <v/>
      </c>
      <c r="F19" s="35">
        <f>'Price Calculator'!K19</f>
        <v/>
      </c>
      <c r="G19" s="37">
        <f>'Price Calculator'!L19</f>
        <v/>
      </c>
      <c r="H19" s="38">
        <f>IF(G19&gt;=0.45,"Good margin","Review")</f>
        <v/>
      </c>
      <c r="I19" s="30" t="inlineStr">
        <is>
          <t>Pricing scenario 15</t>
        </is>
      </c>
    </row>
    <row r="20">
      <c r="A20" s="34" t="n">
        <v>46057</v>
      </c>
      <c r="B20" s="30" t="inlineStr">
        <is>
          <t>SKU-016</t>
        </is>
      </c>
      <c r="C20" s="30" t="inlineStr">
        <is>
          <t>Sticker Pack - Sand</t>
        </is>
      </c>
      <c r="D20" s="35">
        <f>VLOOKUP(B20,Inventory!$A$5:$J$104,10,FALSE)</f>
        <v/>
      </c>
      <c r="E20" s="35">
        <f>'Price Calculator'!J20</f>
        <v/>
      </c>
      <c r="F20" s="35">
        <f>'Price Calculator'!K20</f>
        <v/>
      </c>
      <c r="G20" s="37">
        <f>'Price Calculator'!L20</f>
        <v/>
      </c>
      <c r="H20" s="38">
        <f>IF(G20&gt;=0.45,"Good margin","Review")</f>
        <v/>
      </c>
      <c r="I20" s="30" t="inlineStr">
        <is>
          <t>Pricing scenario 16</t>
        </is>
      </c>
    </row>
    <row r="21">
      <c r="A21" s="34" t="n">
        <v>46058</v>
      </c>
      <c r="B21" s="30" t="inlineStr">
        <is>
          <t>SKU-017</t>
        </is>
      </c>
      <c r="C21" s="30" t="inlineStr">
        <is>
          <t>Sticker Pack - Olive</t>
        </is>
      </c>
      <c r="D21" s="35">
        <f>VLOOKUP(B21,Inventory!$A$5:$J$104,10,FALSE)</f>
        <v/>
      </c>
      <c r="E21" s="35">
        <f>'Price Calculator'!J21</f>
        <v/>
      </c>
      <c r="F21" s="35">
        <f>'Price Calculator'!K21</f>
        <v/>
      </c>
      <c r="G21" s="37">
        <f>'Price Calculator'!L21</f>
        <v/>
      </c>
      <c r="H21" s="38">
        <f>IF(G21&gt;=0.45,"Good margin","Review")</f>
        <v/>
      </c>
      <c r="I21" s="30" t="inlineStr">
        <is>
          <t>Pricing scenario 17</t>
        </is>
      </c>
    </row>
    <row r="22">
      <c r="A22" s="34" t="n">
        <v>46059</v>
      </c>
      <c r="B22" s="30" t="inlineStr">
        <is>
          <t>SKU-018</t>
        </is>
      </c>
      <c r="C22" s="30" t="inlineStr">
        <is>
          <t>Sticker Pack - Slate</t>
        </is>
      </c>
      <c r="D22" s="35">
        <f>VLOOKUP(B22,Inventory!$A$5:$J$104,10,FALSE)</f>
        <v/>
      </c>
      <c r="E22" s="35">
        <f>'Price Calculator'!J22</f>
        <v/>
      </c>
      <c r="F22" s="35">
        <f>'Price Calculator'!K22</f>
        <v/>
      </c>
      <c r="G22" s="37">
        <f>'Price Calculator'!L22</f>
        <v/>
      </c>
      <c r="H22" s="38">
        <f>IF(G22&gt;=0.45,"Good margin","Review")</f>
        <v/>
      </c>
      <c r="I22" s="30" t="inlineStr">
        <is>
          <t>Pricing scenario 18</t>
        </is>
      </c>
    </row>
    <row r="23">
      <c r="A23" s="34" t="n">
        <v>46060</v>
      </c>
      <c r="B23" s="30" t="inlineStr">
        <is>
          <t>SKU-019</t>
        </is>
      </c>
      <c r="C23" s="30" t="inlineStr">
        <is>
          <t>Sticker Pack - Coral</t>
        </is>
      </c>
      <c r="D23" s="35">
        <f>VLOOKUP(B23,Inventory!$A$5:$J$104,10,FALSE)</f>
        <v/>
      </c>
      <c r="E23" s="35">
        <f>'Price Calculator'!J23</f>
        <v/>
      </c>
      <c r="F23" s="35">
        <f>'Price Calculator'!K23</f>
        <v/>
      </c>
      <c r="G23" s="37">
        <f>'Price Calculator'!L23</f>
        <v/>
      </c>
      <c r="H23" s="38">
        <f>IF(G23&gt;=0.45,"Good margin","Review")</f>
        <v/>
      </c>
      <c r="I23" s="30" t="inlineStr">
        <is>
          <t>Pricing scenario 19</t>
        </is>
      </c>
    </row>
    <row r="24">
      <c r="A24" s="34" t="n">
        <v>46061</v>
      </c>
      <c r="B24" s="30" t="inlineStr">
        <is>
          <t>SKU-020</t>
        </is>
      </c>
      <c r="C24" s="30" t="inlineStr">
        <is>
          <t>Sticker Pack - Natural</t>
        </is>
      </c>
      <c r="D24" s="35">
        <f>VLOOKUP(B24,Inventory!$A$5:$J$104,10,FALSE)</f>
        <v/>
      </c>
      <c r="E24" s="35">
        <f>'Price Calculator'!J24</f>
        <v/>
      </c>
      <c r="F24" s="35">
        <f>'Price Calculator'!K24</f>
        <v/>
      </c>
      <c r="G24" s="37">
        <f>'Price Calculator'!L24</f>
        <v/>
      </c>
      <c r="H24" s="38">
        <f>IF(G24&gt;=0.45,"Good margin","Review")</f>
        <v/>
      </c>
      <c r="I24" s="30" t="inlineStr">
        <is>
          <t>Pricing scenario 20</t>
        </is>
      </c>
    </row>
    <row r="25">
      <c r="A25" s="34" t="n">
        <v>46062</v>
      </c>
      <c r="B25" s="30" t="inlineStr">
        <is>
          <t>SKU-021</t>
        </is>
      </c>
      <c r="C25" s="30" t="inlineStr">
        <is>
          <t>Soy Candle - Sand</t>
        </is>
      </c>
      <c r="D25" s="35">
        <f>VLOOKUP(B25,Inventory!$A$5:$J$104,10,FALSE)</f>
        <v/>
      </c>
      <c r="E25" s="35">
        <f>'Price Calculator'!J25</f>
        <v/>
      </c>
      <c r="F25" s="35">
        <f>'Price Calculator'!K25</f>
        <v/>
      </c>
      <c r="G25" s="37">
        <f>'Price Calculator'!L25</f>
        <v/>
      </c>
      <c r="H25" s="38">
        <f>IF(G25&gt;=0.45,"Good margin","Review")</f>
        <v/>
      </c>
      <c r="I25" s="30" t="inlineStr">
        <is>
          <t>Pricing scenario 21</t>
        </is>
      </c>
    </row>
    <row r="26">
      <c r="A26" s="34" t="n">
        <v>46063</v>
      </c>
      <c r="B26" s="30" t="inlineStr">
        <is>
          <t>SKU-022</t>
        </is>
      </c>
      <c r="C26" s="30" t="inlineStr">
        <is>
          <t>Soy Candle - Olive</t>
        </is>
      </c>
      <c r="D26" s="35">
        <f>VLOOKUP(B26,Inventory!$A$5:$J$104,10,FALSE)</f>
        <v/>
      </c>
      <c r="E26" s="35">
        <f>'Price Calculator'!J26</f>
        <v/>
      </c>
      <c r="F26" s="35">
        <f>'Price Calculator'!K26</f>
        <v/>
      </c>
      <c r="G26" s="37">
        <f>'Price Calculator'!L26</f>
        <v/>
      </c>
      <c r="H26" s="38">
        <f>IF(G26&gt;=0.45,"Good margin","Review")</f>
        <v/>
      </c>
      <c r="I26" s="30" t="inlineStr">
        <is>
          <t>Pricing scenario 22</t>
        </is>
      </c>
    </row>
    <row r="27">
      <c r="A27" s="34" t="n">
        <v>46064</v>
      </c>
      <c r="B27" s="30" t="inlineStr">
        <is>
          <t>SKU-023</t>
        </is>
      </c>
      <c r="C27" s="30" t="inlineStr">
        <is>
          <t>Soy Candle - Slate</t>
        </is>
      </c>
      <c r="D27" s="35">
        <f>VLOOKUP(B27,Inventory!$A$5:$J$104,10,FALSE)</f>
        <v/>
      </c>
      <c r="E27" s="35">
        <f>'Price Calculator'!J27</f>
        <v/>
      </c>
      <c r="F27" s="35">
        <f>'Price Calculator'!K27</f>
        <v/>
      </c>
      <c r="G27" s="37">
        <f>'Price Calculator'!L27</f>
        <v/>
      </c>
      <c r="H27" s="38">
        <f>IF(G27&gt;=0.45,"Good margin","Review")</f>
        <v/>
      </c>
      <c r="I27" s="30" t="inlineStr">
        <is>
          <t>Pricing scenario 23</t>
        </is>
      </c>
    </row>
    <row r="28">
      <c r="A28" s="34" t="n">
        <v>46065</v>
      </c>
      <c r="B28" s="30" t="inlineStr">
        <is>
          <t>SKU-024</t>
        </is>
      </c>
      <c r="C28" s="30" t="inlineStr">
        <is>
          <t>Soy Candle - Coral</t>
        </is>
      </c>
      <c r="D28" s="35">
        <f>VLOOKUP(B28,Inventory!$A$5:$J$104,10,FALSE)</f>
        <v/>
      </c>
      <c r="E28" s="35">
        <f>'Price Calculator'!J28</f>
        <v/>
      </c>
      <c r="F28" s="35">
        <f>'Price Calculator'!K28</f>
        <v/>
      </c>
      <c r="G28" s="37">
        <f>'Price Calculator'!L28</f>
        <v/>
      </c>
      <c r="H28" s="38">
        <f>IF(G28&gt;=0.45,"Good margin","Review")</f>
        <v/>
      </c>
      <c r="I28" s="30" t="inlineStr">
        <is>
          <t>Pricing scenario 24</t>
        </is>
      </c>
    </row>
    <row r="29">
      <c r="A29" s="34" t="n">
        <v>46066</v>
      </c>
      <c r="B29" s="30" t="inlineStr">
        <is>
          <t>SKU-025</t>
        </is>
      </c>
      <c r="C29" s="30" t="inlineStr">
        <is>
          <t>Soy Candle - Natural</t>
        </is>
      </c>
      <c r="D29" s="35">
        <f>VLOOKUP(B29,Inventory!$A$5:$J$104,10,FALSE)</f>
        <v/>
      </c>
      <c r="E29" s="35">
        <f>'Price Calculator'!J29</f>
        <v/>
      </c>
      <c r="F29" s="35">
        <f>'Price Calculator'!K29</f>
        <v/>
      </c>
      <c r="G29" s="37">
        <f>'Price Calculator'!L29</f>
        <v/>
      </c>
      <c r="H29" s="38">
        <f>IF(G29&gt;=0.45,"Good margin","Review")</f>
        <v/>
      </c>
      <c r="I29" s="30" t="inlineStr">
        <is>
          <t>Pricing scenario 25</t>
        </is>
      </c>
    </row>
    <row r="30">
      <c r="A30" s="34" t="n">
        <v>46067</v>
      </c>
      <c r="B30" s="30" t="inlineStr">
        <is>
          <t>SKU-026</t>
        </is>
      </c>
      <c r="C30" s="30" t="inlineStr">
        <is>
          <t>Keychain - Sand</t>
        </is>
      </c>
      <c r="D30" s="35">
        <f>VLOOKUP(B30,Inventory!$A$5:$J$104,10,FALSE)</f>
        <v/>
      </c>
      <c r="E30" s="35">
        <f>'Price Calculator'!J30</f>
        <v/>
      </c>
      <c r="F30" s="35">
        <f>'Price Calculator'!K30</f>
        <v/>
      </c>
      <c r="G30" s="37">
        <f>'Price Calculator'!L30</f>
        <v/>
      </c>
      <c r="H30" s="38">
        <f>IF(G30&gt;=0.45,"Good margin","Review")</f>
        <v/>
      </c>
      <c r="I30" s="30" t="inlineStr">
        <is>
          <t>Pricing scenario 26</t>
        </is>
      </c>
    </row>
    <row r="31">
      <c r="A31" s="34" t="n">
        <v>46068</v>
      </c>
      <c r="B31" s="30" t="inlineStr">
        <is>
          <t>SKU-027</t>
        </is>
      </c>
      <c r="C31" s="30" t="inlineStr">
        <is>
          <t>Keychain - Olive</t>
        </is>
      </c>
      <c r="D31" s="35">
        <f>VLOOKUP(B31,Inventory!$A$5:$J$104,10,FALSE)</f>
        <v/>
      </c>
      <c r="E31" s="35">
        <f>'Price Calculator'!J31</f>
        <v/>
      </c>
      <c r="F31" s="35">
        <f>'Price Calculator'!K31</f>
        <v/>
      </c>
      <c r="G31" s="37">
        <f>'Price Calculator'!L31</f>
        <v/>
      </c>
      <c r="H31" s="38">
        <f>IF(G31&gt;=0.45,"Good margin","Review")</f>
        <v/>
      </c>
      <c r="I31" s="30" t="inlineStr">
        <is>
          <t>Pricing scenario 27</t>
        </is>
      </c>
    </row>
    <row r="32">
      <c r="A32" s="34" t="n">
        <v>46069</v>
      </c>
      <c r="B32" s="30" t="inlineStr">
        <is>
          <t>SKU-028</t>
        </is>
      </c>
      <c r="C32" s="30" t="inlineStr">
        <is>
          <t>Keychain - Slate</t>
        </is>
      </c>
      <c r="D32" s="35">
        <f>VLOOKUP(B32,Inventory!$A$5:$J$104,10,FALSE)</f>
        <v/>
      </c>
      <c r="E32" s="35">
        <f>'Price Calculator'!J32</f>
        <v/>
      </c>
      <c r="F32" s="35">
        <f>'Price Calculator'!K32</f>
        <v/>
      </c>
      <c r="G32" s="37">
        <f>'Price Calculator'!L32</f>
        <v/>
      </c>
      <c r="H32" s="38">
        <f>IF(G32&gt;=0.45,"Good margin","Review")</f>
        <v/>
      </c>
      <c r="I32" s="30" t="inlineStr">
        <is>
          <t>Pricing scenario 28</t>
        </is>
      </c>
    </row>
    <row r="33">
      <c r="A33" s="34" t="n">
        <v>46070</v>
      </c>
      <c r="B33" s="30" t="inlineStr">
        <is>
          <t>SKU-029</t>
        </is>
      </c>
      <c r="C33" s="30" t="inlineStr">
        <is>
          <t>Keychain - Coral</t>
        </is>
      </c>
      <c r="D33" s="35">
        <f>VLOOKUP(B33,Inventory!$A$5:$J$104,10,FALSE)</f>
        <v/>
      </c>
      <c r="E33" s="35">
        <f>'Price Calculator'!J33</f>
        <v/>
      </c>
      <c r="F33" s="35">
        <f>'Price Calculator'!K33</f>
        <v/>
      </c>
      <c r="G33" s="37">
        <f>'Price Calculator'!L33</f>
        <v/>
      </c>
      <c r="H33" s="38">
        <f>IF(G33&gt;=0.45,"Good margin","Review")</f>
        <v/>
      </c>
      <c r="I33" s="30" t="inlineStr">
        <is>
          <t>Pricing scenario 29</t>
        </is>
      </c>
    </row>
    <row r="34">
      <c r="A34" s="34" t="n">
        <v>46071</v>
      </c>
      <c r="B34" s="30" t="inlineStr">
        <is>
          <t>SKU-030</t>
        </is>
      </c>
      <c r="C34" s="30" t="inlineStr">
        <is>
          <t>Keychain - Natural</t>
        </is>
      </c>
      <c r="D34" s="35">
        <f>VLOOKUP(B34,Inventory!$A$5:$J$104,10,FALSE)</f>
        <v/>
      </c>
      <c r="E34" s="35">
        <f>'Price Calculator'!J34</f>
        <v/>
      </c>
      <c r="F34" s="35">
        <f>'Price Calculator'!K34</f>
        <v/>
      </c>
      <c r="G34" s="37">
        <f>'Price Calculator'!L34</f>
        <v/>
      </c>
      <c r="H34" s="38">
        <f>IF(G34&gt;=0.45,"Good margin","Review")</f>
        <v/>
      </c>
      <c r="I34" s="30" t="inlineStr">
        <is>
          <t>Pricing scenario 30</t>
        </is>
      </c>
    </row>
    <row r="35">
      <c r="A35" s="34" t="n">
        <v>46072</v>
      </c>
      <c r="B35" s="30" t="inlineStr">
        <is>
          <t>SKU-031</t>
        </is>
      </c>
      <c r="C35" s="30" t="inlineStr">
        <is>
          <t>Water Bottle - Sand</t>
        </is>
      </c>
      <c r="D35" s="35">
        <f>VLOOKUP(B35,Inventory!$A$5:$J$104,10,FALSE)</f>
        <v/>
      </c>
      <c r="E35" s="35">
        <f>'Price Calculator'!J35</f>
        <v/>
      </c>
      <c r="F35" s="35">
        <f>'Price Calculator'!K35</f>
        <v/>
      </c>
      <c r="G35" s="37">
        <f>'Price Calculator'!L35</f>
        <v/>
      </c>
      <c r="H35" s="38">
        <f>IF(G35&gt;=0.45,"Good margin","Review")</f>
        <v/>
      </c>
      <c r="I35" s="30" t="inlineStr">
        <is>
          <t>Pricing scenario 31</t>
        </is>
      </c>
    </row>
    <row r="36">
      <c r="A36" s="34" t="n">
        <v>46073</v>
      </c>
      <c r="B36" s="30" t="inlineStr">
        <is>
          <t>SKU-032</t>
        </is>
      </c>
      <c r="C36" s="30" t="inlineStr">
        <is>
          <t>Water Bottle - Olive</t>
        </is>
      </c>
      <c r="D36" s="35">
        <f>VLOOKUP(B36,Inventory!$A$5:$J$104,10,FALSE)</f>
        <v/>
      </c>
      <c r="E36" s="35">
        <f>'Price Calculator'!J36</f>
        <v/>
      </c>
      <c r="F36" s="35">
        <f>'Price Calculator'!K36</f>
        <v/>
      </c>
      <c r="G36" s="37">
        <f>'Price Calculator'!L36</f>
        <v/>
      </c>
      <c r="H36" s="38">
        <f>IF(G36&gt;=0.45,"Good margin","Review")</f>
        <v/>
      </c>
      <c r="I36" s="30" t="inlineStr">
        <is>
          <t>Pricing scenario 32</t>
        </is>
      </c>
    </row>
    <row r="37">
      <c r="A37" s="34" t="n">
        <v>46074</v>
      </c>
      <c r="B37" s="30" t="inlineStr">
        <is>
          <t>SKU-033</t>
        </is>
      </c>
      <c r="C37" s="30" t="inlineStr">
        <is>
          <t>Water Bottle - Slate</t>
        </is>
      </c>
      <c r="D37" s="35">
        <f>VLOOKUP(B37,Inventory!$A$5:$J$104,10,FALSE)</f>
        <v/>
      </c>
      <c r="E37" s="35">
        <f>'Price Calculator'!J37</f>
        <v/>
      </c>
      <c r="F37" s="35">
        <f>'Price Calculator'!K37</f>
        <v/>
      </c>
      <c r="G37" s="37">
        <f>'Price Calculator'!L37</f>
        <v/>
      </c>
      <c r="H37" s="38">
        <f>IF(G37&gt;=0.45,"Good margin","Review")</f>
        <v/>
      </c>
      <c r="I37" s="30" t="inlineStr">
        <is>
          <t>Pricing scenario 33</t>
        </is>
      </c>
    </row>
    <row r="38">
      <c r="A38" s="34" t="n">
        <v>46075</v>
      </c>
      <c r="B38" s="30" t="inlineStr">
        <is>
          <t>SKU-034</t>
        </is>
      </c>
      <c r="C38" s="30" t="inlineStr">
        <is>
          <t>Water Bottle - Coral</t>
        </is>
      </c>
      <c r="D38" s="35">
        <f>VLOOKUP(B38,Inventory!$A$5:$J$104,10,FALSE)</f>
        <v/>
      </c>
      <c r="E38" s="35">
        <f>'Price Calculator'!J38</f>
        <v/>
      </c>
      <c r="F38" s="35">
        <f>'Price Calculator'!K38</f>
        <v/>
      </c>
      <c r="G38" s="37">
        <f>'Price Calculator'!L38</f>
        <v/>
      </c>
      <c r="H38" s="38">
        <f>IF(G38&gt;=0.45,"Good margin","Review")</f>
        <v/>
      </c>
      <c r="I38" s="30" t="inlineStr">
        <is>
          <t>Pricing scenario 34</t>
        </is>
      </c>
    </row>
    <row r="39">
      <c r="A39" s="34" t="n">
        <v>46076</v>
      </c>
      <c r="B39" s="30" t="inlineStr">
        <is>
          <t>SKU-035</t>
        </is>
      </c>
      <c r="C39" s="30" t="inlineStr">
        <is>
          <t>Water Bottle - Natural</t>
        </is>
      </c>
      <c r="D39" s="35">
        <f>VLOOKUP(B39,Inventory!$A$5:$J$104,10,FALSE)</f>
        <v/>
      </c>
      <c r="E39" s="35">
        <f>'Price Calculator'!J39</f>
        <v/>
      </c>
      <c r="F39" s="35">
        <f>'Price Calculator'!K39</f>
        <v/>
      </c>
      <c r="G39" s="37">
        <f>'Price Calculator'!L39</f>
        <v/>
      </c>
      <c r="H39" s="38">
        <f>IF(G39&gt;=0.45,"Good margin","Review")</f>
        <v/>
      </c>
      <c r="I39" s="30" t="inlineStr">
        <is>
          <t>Pricing scenario 35</t>
        </is>
      </c>
    </row>
    <row r="40">
      <c r="A40" s="34" t="n">
        <v>46077</v>
      </c>
      <c r="B40" s="30" t="inlineStr">
        <is>
          <t>SKU-036</t>
        </is>
      </c>
      <c r="C40" s="30" t="inlineStr">
        <is>
          <t>Print Set - Sand</t>
        </is>
      </c>
      <c r="D40" s="35">
        <f>VLOOKUP(B40,Inventory!$A$5:$J$104,10,FALSE)</f>
        <v/>
      </c>
      <c r="E40" s="35">
        <f>'Price Calculator'!J40</f>
        <v/>
      </c>
      <c r="F40" s="35">
        <f>'Price Calculator'!K40</f>
        <v/>
      </c>
      <c r="G40" s="37">
        <f>'Price Calculator'!L40</f>
        <v/>
      </c>
      <c r="H40" s="38">
        <f>IF(G40&gt;=0.45,"Good margin","Review")</f>
        <v/>
      </c>
      <c r="I40" s="30" t="inlineStr">
        <is>
          <t>Pricing scenario 36</t>
        </is>
      </c>
    </row>
    <row r="41">
      <c r="A41" s="34" t="n">
        <v>46078</v>
      </c>
      <c r="B41" s="30" t="inlineStr">
        <is>
          <t>SKU-037</t>
        </is>
      </c>
      <c r="C41" s="30" t="inlineStr">
        <is>
          <t>Print Set - Olive</t>
        </is>
      </c>
      <c r="D41" s="35">
        <f>VLOOKUP(B41,Inventory!$A$5:$J$104,10,FALSE)</f>
        <v/>
      </c>
      <c r="E41" s="35">
        <f>'Price Calculator'!J41</f>
        <v/>
      </c>
      <c r="F41" s="35">
        <f>'Price Calculator'!K41</f>
        <v/>
      </c>
      <c r="G41" s="37">
        <f>'Price Calculator'!L41</f>
        <v/>
      </c>
      <c r="H41" s="38">
        <f>IF(G41&gt;=0.45,"Good margin","Review")</f>
        <v/>
      </c>
      <c r="I41" s="30" t="inlineStr">
        <is>
          <t>Pricing scenario 37</t>
        </is>
      </c>
    </row>
    <row r="42">
      <c r="A42" s="34" t="n">
        <v>46079</v>
      </c>
      <c r="B42" s="30" t="inlineStr">
        <is>
          <t>SKU-038</t>
        </is>
      </c>
      <c r="C42" s="30" t="inlineStr">
        <is>
          <t>Print Set - Slate</t>
        </is>
      </c>
      <c r="D42" s="35">
        <f>VLOOKUP(B42,Inventory!$A$5:$J$104,10,FALSE)</f>
        <v/>
      </c>
      <c r="E42" s="35">
        <f>'Price Calculator'!J42</f>
        <v/>
      </c>
      <c r="F42" s="35">
        <f>'Price Calculator'!K42</f>
        <v/>
      </c>
      <c r="G42" s="37">
        <f>'Price Calculator'!L42</f>
        <v/>
      </c>
      <c r="H42" s="38">
        <f>IF(G42&gt;=0.45,"Good margin","Review")</f>
        <v/>
      </c>
      <c r="I42" s="30" t="inlineStr">
        <is>
          <t>Pricing scenario 38</t>
        </is>
      </c>
    </row>
    <row r="43">
      <c r="A43" s="34" t="n">
        <v>46080</v>
      </c>
      <c r="B43" s="30" t="inlineStr">
        <is>
          <t>SKU-039</t>
        </is>
      </c>
      <c r="C43" s="30" t="inlineStr">
        <is>
          <t>Print Set - Coral</t>
        </is>
      </c>
      <c r="D43" s="35">
        <f>VLOOKUP(B43,Inventory!$A$5:$J$104,10,FALSE)</f>
        <v/>
      </c>
      <c r="E43" s="35">
        <f>'Price Calculator'!J43</f>
        <v/>
      </c>
      <c r="F43" s="35">
        <f>'Price Calculator'!K43</f>
        <v/>
      </c>
      <c r="G43" s="37">
        <f>'Price Calculator'!L43</f>
        <v/>
      </c>
      <c r="H43" s="38">
        <f>IF(G43&gt;=0.45,"Good margin","Review")</f>
        <v/>
      </c>
      <c r="I43" s="30" t="inlineStr">
        <is>
          <t>Pricing scenario 39</t>
        </is>
      </c>
    </row>
    <row r="44">
      <c r="A44" s="34" t="n">
        <v>46081</v>
      </c>
      <c r="B44" s="30" t="inlineStr">
        <is>
          <t>SKU-040</t>
        </is>
      </c>
      <c r="C44" s="30" t="inlineStr">
        <is>
          <t>Print Set - Natural</t>
        </is>
      </c>
      <c r="D44" s="35">
        <f>VLOOKUP(B44,Inventory!$A$5:$J$104,10,FALSE)</f>
        <v/>
      </c>
      <c r="E44" s="35">
        <f>'Price Calculator'!J44</f>
        <v/>
      </c>
      <c r="F44" s="35">
        <f>'Price Calculator'!K44</f>
        <v/>
      </c>
      <c r="G44" s="37">
        <f>'Price Calculator'!L44</f>
        <v/>
      </c>
      <c r="H44" s="38">
        <f>IF(G44&gt;=0.45,"Good margin","Review")</f>
        <v/>
      </c>
      <c r="I44" s="30" t="inlineStr">
        <is>
          <t>Pricing scenario 40</t>
        </is>
      </c>
    </row>
    <row r="45">
      <c r="A45" s="34" t="n">
        <v>46082</v>
      </c>
      <c r="B45" s="30" t="inlineStr">
        <is>
          <t>SKU-041</t>
        </is>
      </c>
      <c r="C45" s="30" t="inlineStr">
        <is>
          <t>Phone Grip - Sand</t>
        </is>
      </c>
      <c r="D45" s="35">
        <f>VLOOKUP(B45,Inventory!$A$5:$J$104,10,FALSE)</f>
        <v/>
      </c>
      <c r="E45" s="35">
        <f>'Price Calculator'!J45</f>
        <v/>
      </c>
      <c r="F45" s="35">
        <f>'Price Calculator'!K45</f>
        <v/>
      </c>
      <c r="G45" s="37">
        <f>'Price Calculator'!L45</f>
        <v/>
      </c>
      <c r="H45" s="38">
        <f>IF(G45&gt;=0.45,"Good margin","Review")</f>
        <v/>
      </c>
      <c r="I45" s="30" t="inlineStr">
        <is>
          <t>Pricing scenario 41</t>
        </is>
      </c>
    </row>
    <row r="46">
      <c r="A46" s="34" t="n">
        <v>46083</v>
      </c>
      <c r="B46" s="30" t="inlineStr">
        <is>
          <t>SKU-042</t>
        </is>
      </c>
      <c r="C46" s="30" t="inlineStr">
        <is>
          <t>Phone Grip - Olive</t>
        </is>
      </c>
      <c r="D46" s="35">
        <f>VLOOKUP(B46,Inventory!$A$5:$J$104,10,FALSE)</f>
        <v/>
      </c>
      <c r="E46" s="35">
        <f>'Price Calculator'!J46</f>
        <v/>
      </c>
      <c r="F46" s="35">
        <f>'Price Calculator'!K46</f>
        <v/>
      </c>
      <c r="G46" s="37">
        <f>'Price Calculator'!L46</f>
        <v/>
      </c>
      <c r="H46" s="38">
        <f>IF(G46&gt;=0.45,"Good margin","Review")</f>
        <v/>
      </c>
      <c r="I46" s="30" t="inlineStr">
        <is>
          <t>Pricing scenario 42</t>
        </is>
      </c>
    </row>
    <row r="47">
      <c r="A47" s="34" t="n">
        <v>46084</v>
      </c>
      <c r="B47" s="30" t="inlineStr">
        <is>
          <t>SKU-043</t>
        </is>
      </c>
      <c r="C47" s="30" t="inlineStr">
        <is>
          <t>Phone Grip - Slate</t>
        </is>
      </c>
      <c r="D47" s="35">
        <f>VLOOKUP(B47,Inventory!$A$5:$J$104,10,FALSE)</f>
        <v/>
      </c>
      <c r="E47" s="35">
        <f>'Price Calculator'!J47</f>
        <v/>
      </c>
      <c r="F47" s="35">
        <f>'Price Calculator'!K47</f>
        <v/>
      </c>
      <c r="G47" s="37">
        <f>'Price Calculator'!L47</f>
        <v/>
      </c>
      <c r="H47" s="38">
        <f>IF(G47&gt;=0.45,"Good margin","Review")</f>
        <v/>
      </c>
      <c r="I47" s="30" t="inlineStr">
        <is>
          <t>Pricing scenario 43</t>
        </is>
      </c>
    </row>
    <row r="48">
      <c r="A48" s="34" t="n">
        <v>46085</v>
      </c>
      <c r="B48" s="30" t="inlineStr">
        <is>
          <t>SKU-044</t>
        </is>
      </c>
      <c r="C48" s="30" t="inlineStr">
        <is>
          <t>Phone Grip - Coral</t>
        </is>
      </c>
      <c r="D48" s="35">
        <f>VLOOKUP(B48,Inventory!$A$5:$J$104,10,FALSE)</f>
        <v/>
      </c>
      <c r="E48" s="35">
        <f>'Price Calculator'!J48</f>
        <v/>
      </c>
      <c r="F48" s="35">
        <f>'Price Calculator'!K48</f>
        <v/>
      </c>
      <c r="G48" s="37">
        <f>'Price Calculator'!L48</f>
        <v/>
      </c>
      <c r="H48" s="38">
        <f>IF(G48&gt;=0.45,"Good margin","Review")</f>
        <v/>
      </c>
      <c r="I48" s="30" t="inlineStr">
        <is>
          <t>Pricing scenario 44</t>
        </is>
      </c>
    </row>
    <row r="49">
      <c r="A49" s="34" t="n">
        <v>46086</v>
      </c>
      <c r="B49" s="30" t="inlineStr">
        <is>
          <t>SKU-045</t>
        </is>
      </c>
      <c r="C49" s="30" t="inlineStr">
        <is>
          <t>Phone Grip - Natural</t>
        </is>
      </c>
      <c r="D49" s="35">
        <f>VLOOKUP(B49,Inventory!$A$5:$J$104,10,FALSE)</f>
        <v/>
      </c>
      <c r="E49" s="35">
        <f>'Price Calculator'!J49</f>
        <v/>
      </c>
      <c r="F49" s="35">
        <f>'Price Calculator'!K49</f>
        <v/>
      </c>
      <c r="G49" s="37">
        <f>'Price Calculator'!L49</f>
        <v/>
      </c>
      <c r="H49" s="38">
        <f>IF(G49&gt;=0.45,"Good margin","Review")</f>
        <v/>
      </c>
      <c r="I49" s="30" t="inlineStr">
        <is>
          <t>Pricing scenario 45</t>
        </is>
      </c>
    </row>
    <row r="50">
      <c r="A50" s="34" t="n">
        <v>46087</v>
      </c>
      <c r="B50" s="30" t="inlineStr">
        <is>
          <t>SKU-046</t>
        </is>
      </c>
      <c r="C50" s="30" t="inlineStr">
        <is>
          <t>Crew Socks - Sand</t>
        </is>
      </c>
      <c r="D50" s="35">
        <f>VLOOKUP(B50,Inventory!$A$5:$J$104,10,FALSE)</f>
        <v/>
      </c>
      <c r="E50" s="35">
        <f>'Price Calculator'!J50</f>
        <v/>
      </c>
      <c r="F50" s="35">
        <f>'Price Calculator'!K50</f>
        <v/>
      </c>
      <c r="G50" s="37">
        <f>'Price Calculator'!L50</f>
        <v/>
      </c>
      <c r="H50" s="38">
        <f>IF(G50&gt;=0.45,"Good margin","Review")</f>
        <v/>
      </c>
      <c r="I50" s="30" t="inlineStr">
        <is>
          <t>Pricing scenario 46</t>
        </is>
      </c>
    </row>
    <row r="51">
      <c r="A51" s="34" t="n">
        <v>46088</v>
      </c>
      <c r="B51" s="30" t="inlineStr">
        <is>
          <t>SKU-047</t>
        </is>
      </c>
      <c r="C51" s="30" t="inlineStr">
        <is>
          <t>Crew Socks - Olive</t>
        </is>
      </c>
      <c r="D51" s="35">
        <f>VLOOKUP(B51,Inventory!$A$5:$J$104,10,FALSE)</f>
        <v/>
      </c>
      <c r="E51" s="35">
        <f>'Price Calculator'!J51</f>
        <v/>
      </c>
      <c r="F51" s="35">
        <f>'Price Calculator'!K51</f>
        <v/>
      </c>
      <c r="G51" s="37">
        <f>'Price Calculator'!L51</f>
        <v/>
      </c>
      <c r="H51" s="38">
        <f>IF(G51&gt;=0.45,"Good margin","Review")</f>
        <v/>
      </c>
      <c r="I51" s="30" t="inlineStr">
        <is>
          <t>Pricing scenario 47</t>
        </is>
      </c>
    </row>
    <row r="52">
      <c r="A52" s="34" t="n">
        <v>46089</v>
      </c>
      <c r="B52" s="30" t="inlineStr">
        <is>
          <t>SKU-048</t>
        </is>
      </c>
      <c r="C52" s="30" t="inlineStr">
        <is>
          <t>Crew Socks - Slate</t>
        </is>
      </c>
      <c r="D52" s="35">
        <f>VLOOKUP(B52,Inventory!$A$5:$J$104,10,FALSE)</f>
        <v/>
      </c>
      <c r="E52" s="35">
        <f>'Price Calculator'!J52</f>
        <v/>
      </c>
      <c r="F52" s="35">
        <f>'Price Calculator'!K52</f>
        <v/>
      </c>
      <c r="G52" s="37">
        <f>'Price Calculator'!L52</f>
        <v/>
      </c>
      <c r="H52" s="38">
        <f>IF(G52&gt;=0.45,"Good margin","Review")</f>
        <v/>
      </c>
      <c r="I52" s="30" t="inlineStr">
        <is>
          <t>Pricing scenario 48</t>
        </is>
      </c>
    </row>
    <row r="53">
      <c r="A53" s="34" t="n">
        <v>46090</v>
      </c>
      <c r="B53" s="30" t="inlineStr">
        <is>
          <t>SKU-049</t>
        </is>
      </c>
      <c r="C53" s="30" t="inlineStr">
        <is>
          <t>Crew Socks - Coral</t>
        </is>
      </c>
      <c r="D53" s="35">
        <f>VLOOKUP(B53,Inventory!$A$5:$J$104,10,FALSE)</f>
        <v/>
      </c>
      <c r="E53" s="35">
        <f>'Price Calculator'!J53</f>
        <v/>
      </c>
      <c r="F53" s="35">
        <f>'Price Calculator'!K53</f>
        <v/>
      </c>
      <c r="G53" s="37">
        <f>'Price Calculator'!L53</f>
        <v/>
      </c>
      <c r="H53" s="38">
        <f>IF(G53&gt;=0.45,"Good margin","Review")</f>
        <v/>
      </c>
      <c r="I53" s="30" t="inlineStr">
        <is>
          <t>Pricing scenario 49</t>
        </is>
      </c>
    </row>
    <row r="54">
      <c r="A54" s="34" t="n">
        <v>46091</v>
      </c>
      <c r="B54" s="30" t="inlineStr">
        <is>
          <t>SKU-050</t>
        </is>
      </c>
      <c r="C54" s="30" t="inlineStr">
        <is>
          <t>Crew Socks - Natural</t>
        </is>
      </c>
      <c r="D54" s="35">
        <f>VLOOKUP(B54,Inventory!$A$5:$J$104,10,FALSE)</f>
        <v/>
      </c>
      <c r="E54" s="35">
        <f>'Price Calculator'!J54</f>
        <v/>
      </c>
      <c r="F54" s="35">
        <f>'Price Calculator'!K54</f>
        <v/>
      </c>
      <c r="G54" s="37">
        <f>'Price Calculator'!L54</f>
        <v/>
      </c>
      <c r="H54" s="38">
        <f>IF(G54&gt;=0.45,"Good margin","Review")</f>
        <v/>
      </c>
      <c r="I54" s="30" t="inlineStr">
        <is>
          <t>Pricing scenario 50</t>
        </is>
      </c>
    </row>
    <row r="55">
      <c r="A55" s="34" t="n">
        <v>46092</v>
      </c>
      <c r="B55" s="30" t="inlineStr">
        <is>
          <t>SKU-051</t>
        </is>
      </c>
      <c r="C55" s="30" t="inlineStr">
        <is>
          <t>Softcover Journal - Sand</t>
        </is>
      </c>
      <c r="D55" s="35">
        <f>VLOOKUP(B55,Inventory!$A$5:$J$104,10,FALSE)</f>
        <v/>
      </c>
      <c r="E55" s="35">
        <f>'Price Calculator'!J55</f>
        <v/>
      </c>
      <c r="F55" s="35">
        <f>'Price Calculator'!K55</f>
        <v/>
      </c>
      <c r="G55" s="37">
        <f>'Price Calculator'!L55</f>
        <v/>
      </c>
      <c r="H55" s="38">
        <f>IF(G55&gt;=0.45,"Good margin","Review")</f>
        <v/>
      </c>
      <c r="I55" s="30" t="inlineStr">
        <is>
          <t>Pricing scenario 51</t>
        </is>
      </c>
    </row>
    <row r="56">
      <c r="A56" s="34" t="n">
        <v>46093</v>
      </c>
      <c r="B56" s="30" t="inlineStr">
        <is>
          <t>SKU-052</t>
        </is>
      </c>
      <c r="C56" s="30" t="inlineStr">
        <is>
          <t>Softcover Journal - Olive</t>
        </is>
      </c>
      <c r="D56" s="35">
        <f>VLOOKUP(B56,Inventory!$A$5:$J$104,10,FALSE)</f>
        <v/>
      </c>
      <c r="E56" s="35">
        <f>'Price Calculator'!J56</f>
        <v/>
      </c>
      <c r="F56" s="35">
        <f>'Price Calculator'!K56</f>
        <v/>
      </c>
      <c r="G56" s="37">
        <f>'Price Calculator'!L56</f>
        <v/>
      </c>
      <c r="H56" s="38">
        <f>IF(G56&gt;=0.45,"Good margin","Review")</f>
        <v/>
      </c>
      <c r="I56" s="30" t="inlineStr">
        <is>
          <t>Pricing scenario 52</t>
        </is>
      </c>
    </row>
    <row r="57">
      <c r="A57" s="34" t="n">
        <v>46094</v>
      </c>
      <c r="B57" s="30" t="inlineStr">
        <is>
          <t>SKU-053</t>
        </is>
      </c>
      <c r="C57" s="30" t="inlineStr">
        <is>
          <t>Softcover Journal - Slate</t>
        </is>
      </c>
      <c r="D57" s="35">
        <f>VLOOKUP(B57,Inventory!$A$5:$J$104,10,FALSE)</f>
        <v/>
      </c>
      <c r="E57" s="35">
        <f>'Price Calculator'!J57</f>
        <v/>
      </c>
      <c r="F57" s="35">
        <f>'Price Calculator'!K57</f>
        <v/>
      </c>
      <c r="G57" s="37">
        <f>'Price Calculator'!L57</f>
        <v/>
      </c>
      <c r="H57" s="38">
        <f>IF(G57&gt;=0.45,"Good margin","Review")</f>
        <v/>
      </c>
      <c r="I57" s="30" t="inlineStr">
        <is>
          <t>Pricing scenario 53</t>
        </is>
      </c>
    </row>
    <row r="58">
      <c r="A58" s="34" t="n">
        <v>46095</v>
      </c>
      <c r="B58" s="30" t="inlineStr">
        <is>
          <t>SKU-054</t>
        </is>
      </c>
      <c r="C58" s="30" t="inlineStr">
        <is>
          <t>Softcover Journal - Coral</t>
        </is>
      </c>
      <c r="D58" s="35">
        <f>VLOOKUP(B58,Inventory!$A$5:$J$104,10,FALSE)</f>
        <v/>
      </c>
      <c r="E58" s="35">
        <f>'Price Calculator'!J58</f>
        <v/>
      </c>
      <c r="F58" s="35">
        <f>'Price Calculator'!K58</f>
        <v/>
      </c>
      <c r="G58" s="37">
        <f>'Price Calculator'!L58</f>
        <v/>
      </c>
      <c r="H58" s="38">
        <f>IF(G58&gt;=0.45,"Good margin","Review")</f>
        <v/>
      </c>
      <c r="I58" s="30" t="inlineStr">
        <is>
          <t>Pricing scenario 54</t>
        </is>
      </c>
    </row>
    <row r="59">
      <c r="A59" s="34" t="n">
        <v>46096</v>
      </c>
      <c r="B59" s="30" t="inlineStr">
        <is>
          <t>SKU-055</t>
        </is>
      </c>
      <c r="C59" s="30" t="inlineStr">
        <is>
          <t>Softcover Journal - Natural</t>
        </is>
      </c>
      <c r="D59" s="35">
        <f>VLOOKUP(B59,Inventory!$A$5:$J$104,10,FALSE)</f>
        <v/>
      </c>
      <c r="E59" s="35">
        <f>'Price Calculator'!J59</f>
        <v/>
      </c>
      <c r="F59" s="35">
        <f>'Price Calculator'!K59</f>
        <v/>
      </c>
      <c r="G59" s="37">
        <f>'Price Calculator'!L59</f>
        <v/>
      </c>
      <c r="H59" s="38">
        <f>IF(G59&gt;=0.45,"Good margin","Review")</f>
        <v/>
      </c>
      <c r="I59" s="30" t="inlineStr">
        <is>
          <t>Pricing scenario 55</t>
        </is>
      </c>
    </row>
    <row r="60">
      <c r="A60" s="34" t="n">
        <v>46097</v>
      </c>
      <c r="B60" s="30" t="inlineStr">
        <is>
          <t>SKU-056</t>
        </is>
      </c>
      <c r="C60" s="30" t="inlineStr">
        <is>
          <t>Enamel Pin - Sand</t>
        </is>
      </c>
      <c r="D60" s="35">
        <f>VLOOKUP(B60,Inventory!$A$5:$J$104,10,FALSE)</f>
        <v/>
      </c>
      <c r="E60" s="35">
        <f>'Price Calculator'!J60</f>
        <v/>
      </c>
      <c r="F60" s="35">
        <f>'Price Calculator'!K60</f>
        <v/>
      </c>
      <c r="G60" s="37">
        <f>'Price Calculator'!L60</f>
        <v/>
      </c>
      <c r="H60" s="38">
        <f>IF(G60&gt;=0.45,"Good margin","Review")</f>
        <v/>
      </c>
      <c r="I60" s="30" t="inlineStr">
        <is>
          <t>Pricing scenario 56</t>
        </is>
      </c>
    </row>
    <row r="61">
      <c r="A61" s="34" t="n">
        <v>46098</v>
      </c>
      <c r="B61" s="30" t="inlineStr">
        <is>
          <t>SKU-057</t>
        </is>
      </c>
      <c r="C61" s="30" t="inlineStr">
        <is>
          <t>Enamel Pin - Olive</t>
        </is>
      </c>
      <c r="D61" s="35">
        <f>VLOOKUP(B61,Inventory!$A$5:$J$104,10,FALSE)</f>
        <v/>
      </c>
      <c r="E61" s="35">
        <f>'Price Calculator'!J61</f>
        <v/>
      </c>
      <c r="F61" s="35">
        <f>'Price Calculator'!K61</f>
        <v/>
      </c>
      <c r="G61" s="37">
        <f>'Price Calculator'!L61</f>
        <v/>
      </c>
      <c r="H61" s="38">
        <f>IF(G61&gt;=0.45,"Good margin","Review")</f>
        <v/>
      </c>
      <c r="I61" s="30" t="inlineStr">
        <is>
          <t>Pricing scenario 57</t>
        </is>
      </c>
    </row>
    <row r="62">
      <c r="A62" s="34" t="n">
        <v>46099</v>
      </c>
      <c r="B62" s="30" t="inlineStr">
        <is>
          <t>SKU-058</t>
        </is>
      </c>
      <c r="C62" s="30" t="inlineStr">
        <is>
          <t>Enamel Pin - Slate</t>
        </is>
      </c>
      <c r="D62" s="35">
        <f>VLOOKUP(B62,Inventory!$A$5:$J$104,10,FALSE)</f>
        <v/>
      </c>
      <c r="E62" s="35">
        <f>'Price Calculator'!J62</f>
        <v/>
      </c>
      <c r="F62" s="35">
        <f>'Price Calculator'!K62</f>
        <v/>
      </c>
      <c r="G62" s="37">
        <f>'Price Calculator'!L62</f>
        <v/>
      </c>
      <c r="H62" s="38">
        <f>IF(G62&gt;=0.45,"Good margin","Review")</f>
        <v/>
      </c>
      <c r="I62" s="30" t="inlineStr">
        <is>
          <t>Pricing scenario 58</t>
        </is>
      </c>
    </row>
    <row r="63">
      <c r="A63" s="34" t="n">
        <v>46100</v>
      </c>
      <c r="B63" s="30" t="inlineStr">
        <is>
          <t>SKU-059</t>
        </is>
      </c>
      <c r="C63" s="30" t="inlineStr">
        <is>
          <t>Enamel Pin - Coral</t>
        </is>
      </c>
      <c r="D63" s="35">
        <f>VLOOKUP(B63,Inventory!$A$5:$J$104,10,FALSE)</f>
        <v/>
      </c>
      <c r="E63" s="35">
        <f>'Price Calculator'!J63</f>
        <v/>
      </c>
      <c r="F63" s="35">
        <f>'Price Calculator'!K63</f>
        <v/>
      </c>
      <c r="G63" s="37">
        <f>'Price Calculator'!L63</f>
        <v/>
      </c>
      <c r="H63" s="38">
        <f>IF(G63&gt;=0.45,"Good margin","Review")</f>
        <v/>
      </c>
      <c r="I63" s="30" t="inlineStr">
        <is>
          <t>Pricing scenario 59</t>
        </is>
      </c>
    </row>
    <row r="64">
      <c r="A64" s="34" t="n">
        <v>46101</v>
      </c>
      <c r="B64" s="30" t="inlineStr">
        <is>
          <t>SKU-060</t>
        </is>
      </c>
      <c r="C64" s="30" t="inlineStr">
        <is>
          <t>Enamel Pin - Natural</t>
        </is>
      </c>
      <c r="D64" s="35">
        <f>VLOOKUP(B64,Inventory!$A$5:$J$104,10,FALSE)</f>
        <v/>
      </c>
      <c r="E64" s="35">
        <f>'Price Calculator'!J64</f>
        <v/>
      </c>
      <c r="F64" s="35">
        <f>'Price Calculator'!K64</f>
        <v/>
      </c>
      <c r="G64" s="37">
        <f>'Price Calculator'!L64</f>
        <v/>
      </c>
      <c r="H64" s="38">
        <f>IF(G64&gt;=0.45,"Good margin","Review")</f>
        <v/>
      </c>
      <c r="I64" s="30" t="inlineStr">
        <is>
          <t>Pricing scenario 60</t>
        </is>
      </c>
    </row>
    <row r="65">
      <c r="A65" s="34" t="n">
        <v>46102</v>
      </c>
      <c r="B65" s="30" t="inlineStr">
        <is>
          <t>SKU-061</t>
        </is>
      </c>
      <c r="C65" s="30" t="inlineStr">
        <is>
          <t>Lunch Box - Sand</t>
        </is>
      </c>
      <c r="D65" s="35">
        <f>VLOOKUP(B65,Inventory!$A$5:$J$104,10,FALSE)</f>
        <v/>
      </c>
      <c r="E65" s="35">
        <f>'Price Calculator'!J65</f>
        <v/>
      </c>
      <c r="F65" s="35">
        <f>'Price Calculator'!K65</f>
        <v/>
      </c>
      <c r="G65" s="37">
        <f>'Price Calculator'!L65</f>
        <v/>
      </c>
      <c r="H65" s="38">
        <f>IF(G65&gt;=0.45,"Good margin","Review")</f>
        <v/>
      </c>
      <c r="I65" s="30" t="inlineStr">
        <is>
          <t>Pricing scenario 61</t>
        </is>
      </c>
    </row>
    <row r="66">
      <c r="A66" s="34" t="n">
        <v>46103</v>
      </c>
      <c r="B66" s="30" t="inlineStr">
        <is>
          <t>SKU-062</t>
        </is>
      </c>
      <c r="C66" s="30" t="inlineStr">
        <is>
          <t>Lunch Box - Olive</t>
        </is>
      </c>
      <c r="D66" s="35">
        <f>VLOOKUP(B66,Inventory!$A$5:$J$104,10,FALSE)</f>
        <v/>
      </c>
      <c r="E66" s="35">
        <f>'Price Calculator'!J66</f>
        <v/>
      </c>
      <c r="F66" s="35">
        <f>'Price Calculator'!K66</f>
        <v/>
      </c>
      <c r="G66" s="37">
        <f>'Price Calculator'!L66</f>
        <v/>
      </c>
      <c r="H66" s="38">
        <f>IF(G66&gt;=0.45,"Good margin","Review")</f>
        <v/>
      </c>
      <c r="I66" s="30" t="inlineStr">
        <is>
          <t>Pricing scenario 62</t>
        </is>
      </c>
    </row>
    <row r="67">
      <c r="A67" s="34" t="n">
        <v>46104</v>
      </c>
      <c r="B67" s="30" t="inlineStr">
        <is>
          <t>SKU-063</t>
        </is>
      </c>
      <c r="C67" s="30" t="inlineStr">
        <is>
          <t>Lunch Box - Slate</t>
        </is>
      </c>
      <c r="D67" s="35">
        <f>VLOOKUP(B67,Inventory!$A$5:$J$104,10,FALSE)</f>
        <v/>
      </c>
      <c r="E67" s="35">
        <f>'Price Calculator'!J67</f>
        <v/>
      </c>
      <c r="F67" s="35">
        <f>'Price Calculator'!K67</f>
        <v/>
      </c>
      <c r="G67" s="37">
        <f>'Price Calculator'!L67</f>
        <v/>
      </c>
      <c r="H67" s="38">
        <f>IF(G67&gt;=0.45,"Good margin","Review")</f>
        <v/>
      </c>
      <c r="I67" s="30" t="inlineStr">
        <is>
          <t>Pricing scenario 63</t>
        </is>
      </c>
    </row>
    <row r="68">
      <c r="A68" s="34" t="n">
        <v>46105</v>
      </c>
      <c r="B68" s="30" t="inlineStr">
        <is>
          <t>SKU-064</t>
        </is>
      </c>
      <c r="C68" s="30" t="inlineStr">
        <is>
          <t>Lunch Box - Coral</t>
        </is>
      </c>
      <c r="D68" s="35">
        <f>VLOOKUP(B68,Inventory!$A$5:$J$104,10,FALSE)</f>
        <v/>
      </c>
      <c r="E68" s="35">
        <f>'Price Calculator'!J68</f>
        <v/>
      </c>
      <c r="F68" s="35">
        <f>'Price Calculator'!K68</f>
        <v/>
      </c>
      <c r="G68" s="37">
        <f>'Price Calculator'!L68</f>
        <v/>
      </c>
      <c r="H68" s="38">
        <f>IF(G68&gt;=0.45,"Good margin","Review")</f>
        <v/>
      </c>
      <c r="I68" s="30" t="inlineStr">
        <is>
          <t>Pricing scenario 64</t>
        </is>
      </c>
    </row>
    <row r="69">
      <c r="A69" s="34" t="n">
        <v>46106</v>
      </c>
      <c r="B69" s="30" t="inlineStr">
        <is>
          <t>SKU-065</t>
        </is>
      </c>
      <c r="C69" s="30" t="inlineStr">
        <is>
          <t>Lunch Box - Natural</t>
        </is>
      </c>
      <c r="D69" s="35">
        <f>VLOOKUP(B69,Inventory!$A$5:$J$104,10,FALSE)</f>
        <v/>
      </c>
      <c r="E69" s="35">
        <f>'Price Calculator'!J69</f>
        <v/>
      </c>
      <c r="F69" s="35">
        <f>'Price Calculator'!K69</f>
        <v/>
      </c>
      <c r="G69" s="37">
        <f>'Price Calculator'!L69</f>
        <v/>
      </c>
      <c r="H69" s="38">
        <f>IF(G69&gt;=0.45,"Good margin","Review")</f>
        <v/>
      </c>
      <c r="I69" s="30" t="inlineStr">
        <is>
          <t>Pricing scenario 65</t>
        </is>
      </c>
    </row>
    <row r="70">
      <c r="A70" s="34" t="n">
        <v>46107</v>
      </c>
      <c r="B70" s="30" t="inlineStr">
        <is>
          <t>SKU-066</t>
        </is>
      </c>
      <c r="C70" s="30" t="inlineStr">
        <is>
          <t>Desk Mat - Sand</t>
        </is>
      </c>
      <c r="D70" s="35">
        <f>VLOOKUP(B70,Inventory!$A$5:$J$104,10,FALSE)</f>
        <v/>
      </c>
      <c r="E70" s="35">
        <f>'Price Calculator'!J70</f>
        <v/>
      </c>
      <c r="F70" s="35">
        <f>'Price Calculator'!K70</f>
        <v/>
      </c>
      <c r="G70" s="37">
        <f>'Price Calculator'!L70</f>
        <v/>
      </c>
      <c r="H70" s="38">
        <f>IF(G70&gt;=0.45,"Good margin","Review")</f>
        <v/>
      </c>
      <c r="I70" s="30" t="inlineStr">
        <is>
          <t>Pricing scenario 66</t>
        </is>
      </c>
    </row>
    <row r="71">
      <c r="A71" s="34" t="n">
        <v>46108</v>
      </c>
      <c r="B71" s="30" t="inlineStr">
        <is>
          <t>SKU-067</t>
        </is>
      </c>
      <c r="C71" s="30" t="inlineStr">
        <is>
          <t>Desk Mat - Olive</t>
        </is>
      </c>
      <c r="D71" s="35">
        <f>VLOOKUP(B71,Inventory!$A$5:$J$104,10,FALSE)</f>
        <v/>
      </c>
      <c r="E71" s="35">
        <f>'Price Calculator'!J71</f>
        <v/>
      </c>
      <c r="F71" s="35">
        <f>'Price Calculator'!K71</f>
        <v/>
      </c>
      <c r="G71" s="37">
        <f>'Price Calculator'!L71</f>
        <v/>
      </c>
      <c r="H71" s="38">
        <f>IF(G71&gt;=0.45,"Good margin","Review")</f>
        <v/>
      </c>
      <c r="I71" s="30" t="inlineStr">
        <is>
          <t>Pricing scenario 67</t>
        </is>
      </c>
    </row>
    <row r="72">
      <c r="A72" s="34" t="n">
        <v>46109</v>
      </c>
      <c r="B72" s="30" t="inlineStr">
        <is>
          <t>SKU-068</t>
        </is>
      </c>
      <c r="C72" s="30" t="inlineStr">
        <is>
          <t>Desk Mat - Slate</t>
        </is>
      </c>
      <c r="D72" s="35">
        <f>VLOOKUP(B72,Inventory!$A$5:$J$104,10,FALSE)</f>
        <v/>
      </c>
      <c r="E72" s="35">
        <f>'Price Calculator'!J72</f>
        <v/>
      </c>
      <c r="F72" s="35">
        <f>'Price Calculator'!K72</f>
        <v/>
      </c>
      <c r="G72" s="37">
        <f>'Price Calculator'!L72</f>
        <v/>
      </c>
      <c r="H72" s="38">
        <f>IF(G72&gt;=0.45,"Good margin","Review")</f>
        <v/>
      </c>
      <c r="I72" s="30" t="inlineStr">
        <is>
          <t>Pricing scenario 68</t>
        </is>
      </c>
    </row>
    <row r="73">
      <c r="A73" s="34" t="n">
        <v>46110</v>
      </c>
      <c r="B73" s="30" t="inlineStr">
        <is>
          <t>SKU-069</t>
        </is>
      </c>
      <c r="C73" s="30" t="inlineStr">
        <is>
          <t>Desk Mat - Coral</t>
        </is>
      </c>
      <c r="D73" s="35">
        <f>VLOOKUP(B73,Inventory!$A$5:$J$104,10,FALSE)</f>
        <v/>
      </c>
      <c r="E73" s="35">
        <f>'Price Calculator'!J73</f>
        <v/>
      </c>
      <c r="F73" s="35">
        <f>'Price Calculator'!K73</f>
        <v/>
      </c>
      <c r="G73" s="37">
        <f>'Price Calculator'!L73</f>
        <v/>
      </c>
      <c r="H73" s="38">
        <f>IF(G73&gt;=0.45,"Good margin","Review")</f>
        <v/>
      </c>
      <c r="I73" s="30" t="inlineStr">
        <is>
          <t>Pricing scenario 69</t>
        </is>
      </c>
    </row>
    <row r="74">
      <c r="A74" s="34" t="n">
        <v>46111</v>
      </c>
      <c r="B74" s="30" t="inlineStr">
        <is>
          <t>SKU-070</t>
        </is>
      </c>
      <c r="C74" s="30" t="inlineStr">
        <is>
          <t>Desk Mat - Natural</t>
        </is>
      </c>
      <c r="D74" s="35">
        <f>VLOOKUP(B74,Inventory!$A$5:$J$104,10,FALSE)</f>
        <v/>
      </c>
      <c r="E74" s="35">
        <f>'Price Calculator'!J74</f>
        <v/>
      </c>
      <c r="F74" s="35">
        <f>'Price Calculator'!K74</f>
        <v/>
      </c>
      <c r="G74" s="37">
        <f>'Price Calculator'!L74</f>
        <v/>
      </c>
      <c r="H74" s="38">
        <f>IF(G74&gt;=0.45,"Good margin","Review")</f>
        <v/>
      </c>
      <c r="I74" s="30" t="inlineStr">
        <is>
          <t>Pricing scenario 70</t>
        </is>
      </c>
    </row>
    <row r="75">
      <c r="A75" s="34" t="n">
        <v>46112</v>
      </c>
      <c r="B75" s="30" t="inlineStr">
        <is>
          <t>SKU-071</t>
        </is>
      </c>
      <c r="C75" s="30" t="inlineStr">
        <is>
          <t>Gift Tag Set - Sand</t>
        </is>
      </c>
      <c r="D75" s="35">
        <f>VLOOKUP(B75,Inventory!$A$5:$J$104,10,FALSE)</f>
        <v/>
      </c>
      <c r="E75" s="35">
        <f>'Price Calculator'!J75</f>
        <v/>
      </c>
      <c r="F75" s="35">
        <f>'Price Calculator'!K75</f>
        <v/>
      </c>
      <c r="G75" s="37">
        <f>'Price Calculator'!L75</f>
        <v/>
      </c>
      <c r="H75" s="38">
        <f>IF(G75&gt;=0.45,"Good margin","Review")</f>
        <v/>
      </c>
      <c r="I75" s="30" t="inlineStr">
        <is>
          <t>Pricing scenario 71</t>
        </is>
      </c>
    </row>
    <row r="76">
      <c r="A76" s="34" t="n">
        <v>46113</v>
      </c>
      <c r="B76" s="30" t="inlineStr">
        <is>
          <t>SKU-072</t>
        </is>
      </c>
      <c r="C76" s="30" t="inlineStr">
        <is>
          <t>Gift Tag Set - Olive</t>
        </is>
      </c>
      <c r="D76" s="35">
        <f>VLOOKUP(B76,Inventory!$A$5:$J$104,10,FALSE)</f>
        <v/>
      </c>
      <c r="E76" s="35">
        <f>'Price Calculator'!J76</f>
        <v/>
      </c>
      <c r="F76" s="35">
        <f>'Price Calculator'!K76</f>
        <v/>
      </c>
      <c r="G76" s="37">
        <f>'Price Calculator'!L76</f>
        <v/>
      </c>
      <c r="H76" s="38">
        <f>IF(G76&gt;=0.45,"Good margin","Review")</f>
        <v/>
      </c>
      <c r="I76" s="30" t="inlineStr">
        <is>
          <t>Pricing scenario 72</t>
        </is>
      </c>
    </row>
    <row r="77">
      <c r="A77" s="34" t="n">
        <v>46114</v>
      </c>
      <c r="B77" s="30" t="inlineStr">
        <is>
          <t>SKU-073</t>
        </is>
      </c>
      <c r="C77" s="30" t="inlineStr">
        <is>
          <t>Gift Tag Set - Slate</t>
        </is>
      </c>
      <c r="D77" s="35">
        <f>VLOOKUP(B77,Inventory!$A$5:$J$104,10,FALSE)</f>
        <v/>
      </c>
      <c r="E77" s="35">
        <f>'Price Calculator'!J77</f>
        <v/>
      </c>
      <c r="F77" s="35">
        <f>'Price Calculator'!K77</f>
        <v/>
      </c>
      <c r="G77" s="37">
        <f>'Price Calculator'!L77</f>
        <v/>
      </c>
      <c r="H77" s="38">
        <f>IF(G77&gt;=0.45,"Good margin","Review")</f>
        <v/>
      </c>
      <c r="I77" s="30" t="inlineStr">
        <is>
          <t>Pricing scenario 73</t>
        </is>
      </c>
    </row>
    <row r="78">
      <c r="A78" s="34" t="n">
        <v>46115</v>
      </c>
      <c r="B78" s="30" t="inlineStr">
        <is>
          <t>SKU-074</t>
        </is>
      </c>
      <c r="C78" s="30" t="inlineStr">
        <is>
          <t>Gift Tag Set - Coral</t>
        </is>
      </c>
      <c r="D78" s="35">
        <f>VLOOKUP(B78,Inventory!$A$5:$J$104,10,FALSE)</f>
        <v/>
      </c>
      <c r="E78" s="35">
        <f>'Price Calculator'!J78</f>
        <v/>
      </c>
      <c r="F78" s="35">
        <f>'Price Calculator'!K78</f>
        <v/>
      </c>
      <c r="G78" s="37">
        <f>'Price Calculator'!L78</f>
        <v/>
      </c>
      <c r="H78" s="38">
        <f>IF(G78&gt;=0.45,"Good margin","Review")</f>
        <v/>
      </c>
      <c r="I78" s="30" t="inlineStr">
        <is>
          <t>Pricing scenario 74</t>
        </is>
      </c>
    </row>
    <row r="79">
      <c r="A79" s="34" t="n">
        <v>46116</v>
      </c>
      <c r="B79" s="30" t="inlineStr">
        <is>
          <t>SKU-075</t>
        </is>
      </c>
      <c r="C79" s="30" t="inlineStr">
        <is>
          <t>Gift Tag Set - Natural</t>
        </is>
      </c>
      <c r="D79" s="35">
        <f>VLOOKUP(B79,Inventory!$A$5:$J$104,10,FALSE)</f>
        <v/>
      </c>
      <c r="E79" s="35">
        <f>'Price Calculator'!J79</f>
        <v/>
      </c>
      <c r="F79" s="35">
        <f>'Price Calculator'!K79</f>
        <v/>
      </c>
      <c r="G79" s="37">
        <f>'Price Calculator'!L79</f>
        <v/>
      </c>
      <c r="H79" s="38">
        <f>IF(G79&gt;=0.45,"Good margin","Review")</f>
        <v/>
      </c>
      <c r="I79" s="30" t="inlineStr">
        <is>
          <t>Pricing scenario 75</t>
        </is>
      </c>
    </row>
    <row r="80">
      <c r="A80" s="34" t="n">
        <v>46117</v>
      </c>
      <c r="B80" s="30" t="inlineStr">
        <is>
          <t>SKU-076</t>
        </is>
      </c>
      <c r="C80" s="30" t="inlineStr">
        <is>
          <t>Washi Tape - Sand</t>
        </is>
      </c>
      <c r="D80" s="35">
        <f>VLOOKUP(B80,Inventory!$A$5:$J$104,10,FALSE)</f>
        <v/>
      </c>
      <c r="E80" s="35">
        <f>'Price Calculator'!J80</f>
        <v/>
      </c>
      <c r="F80" s="35">
        <f>'Price Calculator'!K80</f>
        <v/>
      </c>
      <c r="G80" s="37">
        <f>'Price Calculator'!L80</f>
        <v/>
      </c>
      <c r="H80" s="38">
        <f>IF(G80&gt;=0.45,"Good margin","Review")</f>
        <v/>
      </c>
      <c r="I80" s="30" t="inlineStr">
        <is>
          <t>Pricing scenario 76</t>
        </is>
      </c>
    </row>
    <row r="81">
      <c r="A81" s="34" t="n">
        <v>46118</v>
      </c>
      <c r="B81" s="30" t="inlineStr">
        <is>
          <t>SKU-077</t>
        </is>
      </c>
      <c r="C81" s="30" t="inlineStr">
        <is>
          <t>Washi Tape - Olive</t>
        </is>
      </c>
      <c r="D81" s="35">
        <f>VLOOKUP(B81,Inventory!$A$5:$J$104,10,FALSE)</f>
        <v/>
      </c>
      <c r="E81" s="35">
        <f>'Price Calculator'!J81</f>
        <v/>
      </c>
      <c r="F81" s="35">
        <f>'Price Calculator'!K81</f>
        <v/>
      </c>
      <c r="G81" s="37">
        <f>'Price Calculator'!L81</f>
        <v/>
      </c>
      <c r="H81" s="38">
        <f>IF(G81&gt;=0.45,"Good margin","Review")</f>
        <v/>
      </c>
      <c r="I81" s="30" t="inlineStr">
        <is>
          <t>Pricing scenario 77</t>
        </is>
      </c>
    </row>
    <row r="82">
      <c r="A82" s="34" t="n">
        <v>46119</v>
      </c>
      <c r="B82" s="30" t="inlineStr">
        <is>
          <t>SKU-078</t>
        </is>
      </c>
      <c r="C82" s="30" t="inlineStr">
        <is>
          <t>Washi Tape - Slate</t>
        </is>
      </c>
      <c r="D82" s="35">
        <f>VLOOKUP(B82,Inventory!$A$5:$J$104,10,FALSE)</f>
        <v/>
      </c>
      <c r="E82" s="35">
        <f>'Price Calculator'!J82</f>
        <v/>
      </c>
      <c r="F82" s="35">
        <f>'Price Calculator'!K82</f>
        <v/>
      </c>
      <c r="G82" s="37">
        <f>'Price Calculator'!L82</f>
        <v/>
      </c>
      <c r="H82" s="38">
        <f>IF(G82&gt;=0.45,"Good margin","Review")</f>
        <v/>
      </c>
      <c r="I82" s="30" t="inlineStr">
        <is>
          <t>Pricing scenario 78</t>
        </is>
      </c>
    </row>
    <row r="83">
      <c r="A83" s="34" t="n">
        <v>46120</v>
      </c>
      <c r="B83" s="30" t="inlineStr">
        <is>
          <t>SKU-079</t>
        </is>
      </c>
      <c r="C83" s="30" t="inlineStr">
        <is>
          <t>Washi Tape - Coral</t>
        </is>
      </c>
      <c r="D83" s="35">
        <f>VLOOKUP(B83,Inventory!$A$5:$J$104,10,FALSE)</f>
        <v/>
      </c>
      <c r="E83" s="35">
        <f>'Price Calculator'!J83</f>
        <v/>
      </c>
      <c r="F83" s="35">
        <f>'Price Calculator'!K83</f>
        <v/>
      </c>
      <c r="G83" s="37">
        <f>'Price Calculator'!L83</f>
        <v/>
      </c>
      <c r="H83" s="38">
        <f>IF(G83&gt;=0.45,"Good margin","Review")</f>
        <v/>
      </c>
      <c r="I83" s="30" t="inlineStr">
        <is>
          <t>Pricing scenario 79</t>
        </is>
      </c>
    </row>
    <row r="84">
      <c r="A84" s="34" t="n">
        <v>46121</v>
      </c>
      <c r="B84" s="30" t="inlineStr">
        <is>
          <t>SKU-080</t>
        </is>
      </c>
      <c r="C84" s="30" t="inlineStr">
        <is>
          <t>Washi Tape - Natural</t>
        </is>
      </c>
      <c r="D84" s="35">
        <f>VLOOKUP(B84,Inventory!$A$5:$J$104,10,FALSE)</f>
        <v/>
      </c>
      <c r="E84" s="35">
        <f>'Price Calculator'!J84</f>
        <v/>
      </c>
      <c r="F84" s="35">
        <f>'Price Calculator'!K84</f>
        <v/>
      </c>
      <c r="G84" s="37">
        <f>'Price Calculator'!L84</f>
        <v/>
      </c>
      <c r="H84" s="38">
        <f>IF(G84&gt;=0.45,"Good margin","Review")</f>
        <v/>
      </c>
      <c r="I84" s="30" t="inlineStr">
        <is>
          <t>Pricing scenario 80</t>
        </is>
      </c>
    </row>
    <row r="85">
      <c r="A85" s="34" t="n">
        <v>46122</v>
      </c>
      <c r="B85" s="30" t="inlineStr">
        <is>
          <t>SKU-081</t>
        </is>
      </c>
      <c r="C85" s="30" t="inlineStr">
        <is>
          <t>Tote Pouch - Sand</t>
        </is>
      </c>
      <c r="D85" s="35">
        <f>VLOOKUP(B85,Inventory!$A$5:$J$104,10,FALSE)</f>
        <v/>
      </c>
      <c r="E85" s="35">
        <f>'Price Calculator'!J85</f>
        <v/>
      </c>
      <c r="F85" s="35">
        <f>'Price Calculator'!K85</f>
        <v/>
      </c>
      <c r="G85" s="37">
        <f>'Price Calculator'!L85</f>
        <v/>
      </c>
      <c r="H85" s="38">
        <f>IF(G85&gt;=0.45,"Good margin","Review")</f>
        <v/>
      </c>
      <c r="I85" s="30" t="inlineStr">
        <is>
          <t>Pricing scenario 81</t>
        </is>
      </c>
    </row>
    <row r="86">
      <c r="A86" s="34" t="n">
        <v>46123</v>
      </c>
      <c r="B86" s="30" t="inlineStr">
        <is>
          <t>SKU-082</t>
        </is>
      </c>
      <c r="C86" s="30" t="inlineStr">
        <is>
          <t>Tote Pouch - Olive</t>
        </is>
      </c>
      <c r="D86" s="35">
        <f>VLOOKUP(B86,Inventory!$A$5:$J$104,10,FALSE)</f>
        <v/>
      </c>
      <c r="E86" s="35">
        <f>'Price Calculator'!J86</f>
        <v/>
      </c>
      <c r="F86" s="35">
        <f>'Price Calculator'!K86</f>
        <v/>
      </c>
      <c r="G86" s="37">
        <f>'Price Calculator'!L86</f>
        <v/>
      </c>
      <c r="H86" s="38">
        <f>IF(G86&gt;=0.45,"Good margin","Review")</f>
        <v/>
      </c>
      <c r="I86" s="30" t="inlineStr">
        <is>
          <t>Pricing scenario 82</t>
        </is>
      </c>
    </row>
    <row r="87">
      <c r="A87" s="34" t="n">
        <v>46124</v>
      </c>
      <c r="B87" s="30" t="inlineStr">
        <is>
          <t>SKU-083</t>
        </is>
      </c>
      <c r="C87" s="30" t="inlineStr">
        <is>
          <t>Tote Pouch - Slate</t>
        </is>
      </c>
      <c r="D87" s="35">
        <f>VLOOKUP(B87,Inventory!$A$5:$J$104,10,FALSE)</f>
        <v/>
      </c>
      <c r="E87" s="35">
        <f>'Price Calculator'!J87</f>
        <v/>
      </c>
      <c r="F87" s="35">
        <f>'Price Calculator'!K87</f>
        <v/>
      </c>
      <c r="G87" s="37">
        <f>'Price Calculator'!L87</f>
        <v/>
      </c>
      <c r="H87" s="38">
        <f>IF(G87&gt;=0.45,"Good margin","Review")</f>
        <v/>
      </c>
      <c r="I87" s="30" t="inlineStr">
        <is>
          <t>Pricing scenario 83</t>
        </is>
      </c>
    </row>
    <row r="88">
      <c r="A88" s="34" t="n">
        <v>46125</v>
      </c>
      <c r="B88" s="30" t="inlineStr">
        <is>
          <t>SKU-084</t>
        </is>
      </c>
      <c r="C88" s="30" t="inlineStr">
        <is>
          <t>Tote Pouch - Coral</t>
        </is>
      </c>
      <c r="D88" s="35">
        <f>VLOOKUP(B88,Inventory!$A$5:$J$104,10,FALSE)</f>
        <v/>
      </c>
      <c r="E88" s="35">
        <f>'Price Calculator'!J88</f>
        <v/>
      </c>
      <c r="F88" s="35">
        <f>'Price Calculator'!K88</f>
        <v/>
      </c>
      <c r="G88" s="37">
        <f>'Price Calculator'!L88</f>
        <v/>
      </c>
      <c r="H88" s="38">
        <f>IF(G88&gt;=0.45,"Good margin","Review")</f>
        <v/>
      </c>
      <c r="I88" s="30" t="inlineStr">
        <is>
          <t>Pricing scenario 84</t>
        </is>
      </c>
    </row>
    <row r="89">
      <c r="A89" s="34" t="n">
        <v>46126</v>
      </c>
      <c r="B89" s="30" t="inlineStr">
        <is>
          <t>SKU-085</t>
        </is>
      </c>
      <c r="C89" s="30" t="inlineStr">
        <is>
          <t>Tote Pouch - Natural</t>
        </is>
      </c>
      <c r="D89" s="35">
        <f>VLOOKUP(B89,Inventory!$A$5:$J$104,10,FALSE)</f>
        <v/>
      </c>
      <c r="E89" s="35">
        <f>'Price Calculator'!J89</f>
        <v/>
      </c>
      <c r="F89" s="35">
        <f>'Price Calculator'!K89</f>
        <v/>
      </c>
      <c r="G89" s="37">
        <f>'Price Calculator'!L89</f>
        <v/>
      </c>
      <c r="H89" s="38">
        <f>IF(G89&gt;=0.45,"Good margin","Review")</f>
        <v/>
      </c>
      <c r="I89" s="30" t="inlineStr">
        <is>
          <t>Pricing scenario 85</t>
        </is>
      </c>
    </row>
    <row r="90">
      <c r="A90" s="34" t="n">
        <v>46127</v>
      </c>
      <c r="B90" s="30" t="inlineStr">
        <is>
          <t>SKU-086</t>
        </is>
      </c>
      <c r="C90" s="30" t="inlineStr">
        <is>
          <t>Metal Bookmark - Sand</t>
        </is>
      </c>
      <c r="D90" s="35">
        <f>VLOOKUP(B90,Inventory!$A$5:$J$104,10,FALSE)</f>
        <v/>
      </c>
      <c r="E90" s="35">
        <f>'Price Calculator'!J90</f>
        <v/>
      </c>
      <c r="F90" s="35">
        <f>'Price Calculator'!K90</f>
        <v/>
      </c>
      <c r="G90" s="37">
        <f>'Price Calculator'!L90</f>
        <v/>
      </c>
      <c r="H90" s="38">
        <f>IF(G90&gt;=0.45,"Good margin","Review")</f>
        <v/>
      </c>
      <c r="I90" s="30" t="inlineStr">
        <is>
          <t>Pricing scenario 86</t>
        </is>
      </c>
    </row>
    <row r="91">
      <c r="A91" s="34" t="n">
        <v>46128</v>
      </c>
      <c r="B91" s="30" t="inlineStr">
        <is>
          <t>SKU-087</t>
        </is>
      </c>
      <c r="C91" s="30" t="inlineStr">
        <is>
          <t>Metal Bookmark - Olive</t>
        </is>
      </c>
      <c r="D91" s="35">
        <f>VLOOKUP(B91,Inventory!$A$5:$J$104,10,FALSE)</f>
        <v/>
      </c>
      <c r="E91" s="35">
        <f>'Price Calculator'!J91</f>
        <v/>
      </c>
      <c r="F91" s="35">
        <f>'Price Calculator'!K91</f>
        <v/>
      </c>
      <c r="G91" s="37">
        <f>'Price Calculator'!L91</f>
        <v/>
      </c>
      <c r="H91" s="38">
        <f>IF(G91&gt;=0.45,"Good margin","Review")</f>
        <v/>
      </c>
      <c r="I91" s="30" t="inlineStr">
        <is>
          <t>Pricing scenario 87</t>
        </is>
      </c>
    </row>
    <row r="92">
      <c r="A92" s="34" t="n">
        <v>46129</v>
      </c>
      <c r="B92" s="30" t="inlineStr">
        <is>
          <t>SKU-088</t>
        </is>
      </c>
      <c r="C92" s="30" t="inlineStr">
        <is>
          <t>Metal Bookmark - Slate</t>
        </is>
      </c>
      <c r="D92" s="35">
        <f>VLOOKUP(B92,Inventory!$A$5:$J$104,10,FALSE)</f>
        <v/>
      </c>
      <c r="E92" s="35">
        <f>'Price Calculator'!J92</f>
        <v/>
      </c>
      <c r="F92" s="35">
        <f>'Price Calculator'!K92</f>
        <v/>
      </c>
      <c r="G92" s="37">
        <f>'Price Calculator'!L92</f>
        <v/>
      </c>
      <c r="H92" s="38">
        <f>IF(G92&gt;=0.45,"Good margin","Review")</f>
        <v/>
      </c>
      <c r="I92" s="30" t="inlineStr">
        <is>
          <t>Pricing scenario 88</t>
        </is>
      </c>
    </row>
    <row r="93">
      <c r="A93" s="34" t="n">
        <v>46130</v>
      </c>
      <c r="B93" s="30" t="inlineStr">
        <is>
          <t>SKU-089</t>
        </is>
      </c>
      <c r="C93" s="30" t="inlineStr">
        <is>
          <t>Metal Bookmark - Coral</t>
        </is>
      </c>
      <c r="D93" s="35">
        <f>VLOOKUP(B93,Inventory!$A$5:$J$104,10,FALSE)</f>
        <v/>
      </c>
      <c r="E93" s="35">
        <f>'Price Calculator'!J93</f>
        <v/>
      </c>
      <c r="F93" s="35">
        <f>'Price Calculator'!K93</f>
        <v/>
      </c>
      <c r="G93" s="37">
        <f>'Price Calculator'!L93</f>
        <v/>
      </c>
      <c r="H93" s="38">
        <f>IF(G93&gt;=0.45,"Good margin","Review")</f>
        <v/>
      </c>
      <c r="I93" s="30" t="inlineStr">
        <is>
          <t>Pricing scenario 89</t>
        </is>
      </c>
    </row>
    <row r="94">
      <c r="A94" s="34" t="n">
        <v>46131</v>
      </c>
      <c r="B94" s="30" t="inlineStr">
        <is>
          <t>SKU-090</t>
        </is>
      </c>
      <c r="C94" s="30" t="inlineStr">
        <is>
          <t>Metal Bookmark - Natural</t>
        </is>
      </c>
      <c r="D94" s="35">
        <f>VLOOKUP(B94,Inventory!$A$5:$J$104,10,FALSE)</f>
        <v/>
      </c>
      <c r="E94" s="35">
        <f>'Price Calculator'!J94</f>
        <v/>
      </c>
      <c r="F94" s="35">
        <f>'Price Calculator'!K94</f>
        <v/>
      </c>
      <c r="G94" s="37">
        <f>'Price Calculator'!L94</f>
        <v/>
      </c>
      <c r="H94" s="38">
        <f>IF(G94&gt;=0.45,"Good margin","Review")</f>
        <v/>
      </c>
      <c r="I94" s="30" t="inlineStr">
        <is>
          <t>Pricing scenario 90</t>
        </is>
      </c>
    </row>
    <row r="95">
      <c r="A95" s="34" t="n">
        <v>46132</v>
      </c>
      <c r="B95" s="30" t="inlineStr">
        <is>
          <t>SKU-091</t>
        </is>
      </c>
      <c r="C95" s="30" t="inlineStr">
        <is>
          <t>Wall Print - Sand</t>
        </is>
      </c>
      <c r="D95" s="35">
        <f>VLOOKUP(B95,Inventory!$A$5:$J$104,10,FALSE)</f>
        <v/>
      </c>
      <c r="E95" s="35">
        <f>'Price Calculator'!J95</f>
        <v/>
      </c>
      <c r="F95" s="35">
        <f>'Price Calculator'!K95</f>
        <v/>
      </c>
      <c r="G95" s="37">
        <f>'Price Calculator'!L95</f>
        <v/>
      </c>
      <c r="H95" s="38">
        <f>IF(G95&gt;=0.45,"Good margin","Review")</f>
        <v/>
      </c>
      <c r="I95" s="30" t="inlineStr">
        <is>
          <t>Pricing scenario 91</t>
        </is>
      </c>
    </row>
    <row r="96">
      <c r="A96" s="34" t="n">
        <v>46133</v>
      </c>
      <c r="B96" s="30" t="inlineStr">
        <is>
          <t>SKU-092</t>
        </is>
      </c>
      <c r="C96" s="30" t="inlineStr">
        <is>
          <t>Wall Print - Olive</t>
        </is>
      </c>
      <c r="D96" s="35">
        <f>VLOOKUP(B96,Inventory!$A$5:$J$104,10,FALSE)</f>
        <v/>
      </c>
      <c r="E96" s="35">
        <f>'Price Calculator'!J96</f>
        <v/>
      </c>
      <c r="F96" s="35">
        <f>'Price Calculator'!K96</f>
        <v/>
      </c>
      <c r="G96" s="37">
        <f>'Price Calculator'!L96</f>
        <v/>
      </c>
      <c r="H96" s="38">
        <f>IF(G96&gt;=0.45,"Good margin","Review")</f>
        <v/>
      </c>
      <c r="I96" s="30" t="inlineStr">
        <is>
          <t>Pricing scenario 92</t>
        </is>
      </c>
    </row>
    <row r="97">
      <c r="A97" s="34" t="n">
        <v>46134</v>
      </c>
      <c r="B97" s="30" t="inlineStr">
        <is>
          <t>SKU-093</t>
        </is>
      </c>
      <c r="C97" s="30" t="inlineStr">
        <is>
          <t>Wall Print - Slate</t>
        </is>
      </c>
      <c r="D97" s="35">
        <f>VLOOKUP(B97,Inventory!$A$5:$J$104,10,FALSE)</f>
        <v/>
      </c>
      <c r="E97" s="35">
        <f>'Price Calculator'!J97</f>
        <v/>
      </c>
      <c r="F97" s="35">
        <f>'Price Calculator'!K97</f>
        <v/>
      </c>
      <c r="G97" s="37">
        <f>'Price Calculator'!L97</f>
        <v/>
      </c>
      <c r="H97" s="38">
        <f>IF(G97&gt;=0.45,"Good margin","Review")</f>
        <v/>
      </c>
      <c r="I97" s="30" t="inlineStr">
        <is>
          <t>Pricing scenario 93</t>
        </is>
      </c>
    </row>
    <row r="98">
      <c r="A98" s="34" t="n">
        <v>46135</v>
      </c>
      <c r="B98" s="30" t="inlineStr">
        <is>
          <t>SKU-094</t>
        </is>
      </c>
      <c r="C98" s="30" t="inlineStr">
        <is>
          <t>Wall Print - Coral</t>
        </is>
      </c>
      <c r="D98" s="35">
        <f>VLOOKUP(B98,Inventory!$A$5:$J$104,10,FALSE)</f>
        <v/>
      </c>
      <c r="E98" s="35">
        <f>'Price Calculator'!J98</f>
        <v/>
      </c>
      <c r="F98" s="35">
        <f>'Price Calculator'!K98</f>
        <v/>
      </c>
      <c r="G98" s="37">
        <f>'Price Calculator'!L98</f>
        <v/>
      </c>
      <c r="H98" s="38">
        <f>IF(G98&gt;=0.45,"Good margin","Review")</f>
        <v/>
      </c>
      <c r="I98" s="30" t="inlineStr">
        <is>
          <t>Pricing scenario 94</t>
        </is>
      </c>
    </row>
    <row r="99">
      <c r="A99" s="34" t="n">
        <v>46136</v>
      </c>
      <c r="B99" s="30" t="inlineStr">
        <is>
          <t>SKU-095</t>
        </is>
      </c>
      <c r="C99" s="30" t="inlineStr">
        <is>
          <t>Wall Print - Natural</t>
        </is>
      </c>
      <c r="D99" s="35">
        <f>VLOOKUP(B99,Inventory!$A$5:$J$104,10,FALSE)</f>
        <v/>
      </c>
      <c r="E99" s="35">
        <f>'Price Calculator'!J99</f>
        <v/>
      </c>
      <c r="F99" s="35">
        <f>'Price Calculator'!K99</f>
        <v/>
      </c>
      <c r="G99" s="37">
        <f>'Price Calculator'!L99</f>
        <v/>
      </c>
      <c r="H99" s="38">
        <f>IF(G99&gt;=0.45,"Good margin","Review")</f>
        <v/>
      </c>
      <c r="I99" s="30" t="inlineStr">
        <is>
          <t>Pricing scenario 95</t>
        </is>
      </c>
    </row>
    <row r="100">
      <c r="A100" s="34" t="n">
        <v>46137</v>
      </c>
      <c r="B100" s="30" t="inlineStr">
        <is>
          <t>SKU-096</t>
        </is>
      </c>
      <c r="C100" s="30" t="inlineStr">
        <is>
          <t>Tea Tin - Sand</t>
        </is>
      </c>
      <c r="D100" s="35">
        <f>VLOOKUP(B100,Inventory!$A$5:$J$104,10,FALSE)</f>
        <v/>
      </c>
      <c r="E100" s="35">
        <f>'Price Calculator'!J100</f>
        <v/>
      </c>
      <c r="F100" s="35">
        <f>'Price Calculator'!K100</f>
        <v/>
      </c>
      <c r="G100" s="37">
        <f>'Price Calculator'!L100</f>
        <v/>
      </c>
      <c r="H100" s="38">
        <f>IF(G100&gt;=0.45,"Good margin","Review")</f>
        <v/>
      </c>
      <c r="I100" s="30" t="inlineStr">
        <is>
          <t>Pricing scenario 96</t>
        </is>
      </c>
    </row>
    <row r="101">
      <c r="A101" s="34" t="n">
        <v>46138</v>
      </c>
      <c r="B101" s="30" t="inlineStr">
        <is>
          <t>SKU-097</t>
        </is>
      </c>
      <c r="C101" s="30" t="inlineStr">
        <is>
          <t>Tea Tin - Olive</t>
        </is>
      </c>
      <c r="D101" s="35">
        <f>VLOOKUP(B101,Inventory!$A$5:$J$104,10,FALSE)</f>
        <v/>
      </c>
      <c r="E101" s="35">
        <f>'Price Calculator'!J101</f>
        <v/>
      </c>
      <c r="F101" s="35">
        <f>'Price Calculator'!K101</f>
        <v/>
      </c>
      <c r="G101" s="37">
        <f>'Price Calculator'!L101</f>
        <v/>
      </c>
      <c r="H101" s="38">
        <f>IF(G101&gt;=0.45,"Good margin","Review")</f>
        <v/>
      </c>
      <c r="I101" s="30" t="inlineStr">
        <is>
          <t>Pricing scenario 97</t>
        </is>
      </c>
    </row>
    <row r="102">
      <c r="A102" s="34" t="n">
        <v>46139</v>
      </c>
      <c r="B102" s="30" t="inlineStr">
        <is>
          <t>SKU-098</t>
        </is>
      </c>
      <c r="C102" s="30" t="inlineStr">
        <is>
          <t>Tea Tin - Slate</t>
        </is>
      </c>
      <c r="D102" s="35">
        <f>VLOOKUP(B102,Inventory!$A$5:$J$104,10,FALSE)</f>
        <v/>
      </c>
      <c r="E102" s="35">
        <f>'Price Calculator'!J102</f>
        <v/>
      </c>
      <c r="F102" s="35">
        <f>'Price Calculator'!K102</f>
        <v/>
      </c>
      <c r="G102" s="37">
        <f>'Price Calculator'!L102</f>
        <v/>
      </c>
      <c r="H102" s="38">
        <f>IF(G102&gt;=0.45,"Good margin","Review")</f>
        <v/>
      </c>
      <c r="I102" s="30" t="inlineStr">
        <is>
          <t>Pricing scenario 98</t>
        </is>
      </c>
    </row>
    <row r="103">
      <c r="A103" s="34" t="n">
        <v>46140</v>
      </c>
      <c r="B103" s="30" t="inlineStr">
        <is>
          <t>SKU-099</t>
        </is>
      </c>
      <c r="C103" s="30" t="inlineStr">
        <is>
          <t>Tea Tin - Coral</t>
        </is>
      </c>
      <c r="D103" s="35">
        <f>VLOOKUP(B103,Inventory!$A$5:$J$104,10,FALSE)</f>
        <v/>
      </c>
      <c r="E103" s="35">
        <f>'Price Calculator'!J103</f>
        <v/>
      </c>
      <c r="F103" s="35">
        <f>'Price Calculator'!K103</f>
        <v/>
      </c>
      <c r="G103" s="37">
        <f>'Price Calculator'!L103</f>
        <v/>
      </c>
      <c r="H103" s="38">
        <f>IF(G103&gt;=0.45,"Good margin","Review")</f>
        <v/>
      </c>
      <c r="I103" s="30" t="inlineStr">
        <is>
          <t>Pricing scenario 99</t>
        </is>
      </c>
    </row>
    <row r="104">
      <c r="A104" s="34" t="n">
        <v>46141</v>
      </c>
      <c r="B104" s="30" t="inlineStr">
        <is>
          <t>SKU-100</t>
        </is>
      </c>
      <c r="C104" s="30" t="inlineStr">
        <is>
          <t>Tea Tin - Natural</t>
        </is>
      </c>
      <c r="D104" s="35">
        <f>VLOOKUP(B104,Inventory!$A$5:$J$104,10,FALSE)</f>
        <v/>
      </c>
      <c r="E104" s="35">
        <f>'Price Calculator'!J104</f>
        <v/>
      </c>
      <c r="F104" s="35">
        <f>'Price Calculator'!K104</f>
        <v/>
      </c>
      <c r="G104" s="37">
        <f>'Price Calculator'!L104</f>
        <v/>
      </c>
      <c r="H104" s="38">
        <f>IF(G104&gt;=0.45,"Good margin","Review")</f>
        <v/>
      </c>
      <c r="I104" s="30" t="inlineStr">
        <is>
          <t>Pricing scenario 100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I1"/>
    <mergeCell ref="A2:I2"/>
  </mergeCells>
  <dataValidations count="1">
    <dataValidation sqref="B5:B1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4" customWidth="1" min="1" max="1"/>
  </cols>
  <sheetData>
    <row r="1" ht="28" customHeight="1">
      <c r="A1" s="1" t="inlineStr">
        <is>
          <t>Help</t>
        </is>
      </c>
    </row>
    <row r="2" ht="22" customHeight="1">
      <c r="A2" s="2" t="inlineStr">
        <is>
          <t>Compatibility, limits, and support scope. Keep this sheet visible if you share the file.</t>
        </is>
      </c>
    </row>
    <row r="4">
      <c r="A4" s="3" t="inlineStr">
        <is>
          <t>Compatible with</t>
        </is>
      </c>
    </row>
    <row r="5">
      <c r="A5" s="4" t="inlineStr">
        <is>
          <t>• Excel-compatible spreadsheet editors</t>
        </is>
      </c>
    </row>
    <row r="6">
      <c r="A6" s="4" t="inlineStr">
        <is>
          <t>• Google Sheets standard-formula import</t>
        </is>
      </c>
    </row>
    <row r="8">
      <c r="A8" s="3" t="inlineStr">
        <is>
          <t>You can change</t>
        </is>
      </c>
    </row>
    <row r="9">
      <c r="A9" s="4" t="inlineStr">
        <is>
          <t>• Yellow input cells in Setup</t>
        </is>
      </c>
    </row>
    <row r="10">
      <c r="A10" s="4" t="inlineStr">
        <is>
          <t>• Yellow input cells on Inventory, Purchases, Sales, and Price Calculator</t>
        </is>
      </c>
    </row>
    <row r="12">
      <c r="A12" s="3" t="inlineStr">
        <is>
          <t>Leave alone</t>
        </is>
      </c>
    </row>
    <row r="13">
      <c r="A13" s="4" t="inlineStr">
        <is>
          <t>• Dashboard formulas and charts</t>
        </is>
      </c>
    </row>
    <row r="14">
      <c r="A14" s="4" t="inlineStr">
        <is>
          <t>• Inventory status formulas</t>
        </is>
      </c>
    </row>
    <row r="15">
      <c r="A15" s="4" t="inlineStr">
        <is>
          <t>• Sales profit formulas</t>
        </is>
      </c>
    </row>
    <row r="16">
      <c r="A16" s="4" t="inlineStr">
        <is>
          <t>• Price List snapshot formulas</t>
        </is>
      </c>
    </row>
    <row r="18">
      <c r="A18" s="3" t="inlineStr">
        <is>
          <t>Support scope</t>
        </is>
      </c>
    </row>
    <row r="19">
      <c r="A19" s="4" t="inlineStr">
        <is>
          <t>• File access, setup guidance, and workbook questions</t>
        </is>
      </c>
    </row>
    <row r="20">
      <c r="A20" s="4" t="inlineStr">
        <is>
          <t>• Not bookkeeping, tax advice, or live account connections</t>
        </is>
      </c>
    </row>
    <row r="22">
      <c r="A22" s="3" t="inlineStr">
        <is>
          <t>Limits</t>
        </is>
      </c>
    </row>
    <row r="23">
      <c r="A23" s="4" t="inlineStr">
        <is>
          <t>• This workbook does not connect to banks or live inventory services.</t>
        </is>
      </c>
    </row>
    <row r="24">
      <c r="A24" s="4" t="inlineStr">
        <is>
          <t>• Imported protection settings can vary by editor or account.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H2"/>
    <mergeCell ref="A1:H1"/>
  </mergeCells>
  <printOptions horizontalCentered="0" verticalCentered="0"/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SKUs</t>
        </is>
      </c>
      <c r="B1" t="inlineStr">
        <is>
          <t>Categories</t>
        </is>
      </c>
    </row>
    <row r="2">
      <c r="A2" t="inlineStr">
        <is>
          <t>SKU-001</t>
        </is>
      </c>
      <c r="B2" t="inlineStr">
        <is>
          <t>Accessories</t>
        </is>
      </c>
    </row>
    <row r="3">
      <c r="A3" t="inlineStr">
        <is>
          <t>SKU-002</t>
        </is>
      </c>
      <c r="B3" t="inlineStr">
        <is>
          <t>Drinkware</t>
        </is>
      </c>
    </row>
    <row r="4">
      <c r="A4" t="inlineStr">
        <is>
          <t>SKU-003</t>
        </is>
      </c>
      <c r="B4" t="inlineStr">
        <is>
          <t>Stationery</t>
        </is>
      </c>
    </row>
    <row r="5">
      <c r="A5" t="inlineStr">
        <is>
          <t>SKU-004</t>
        </is>
      </c>
      <c r="B5" t="inlineStr">
        <is>
          <t>Home</t>
        </is>
      </c>
    </row>
    <row r="6">
      <c r="A6" t="inlineStr">
        <is>
          <t>SKU-005</t>
        </is>
      </c>
      <c r="B6" t="inlineStr">
        <is>
          <t>Wall Art</t>
        </is>
      </c>
    </row>
    <row r="7">
      <c r="A7" t="inlineStr">
        <is>
          <t>SKU-006</t>
        </is>
      </c>
      <c r="B7" t="inlineStr">
        <is>
          <t>Apparel</t>
        </is>
      </c>
    </row>
    <row r="8">
      <c r="A8" t="inlineStr">
        <is>
          <t>SKU-007</t>
        </is>
      </c>
    </row>
    <row r="9">
      <c r="A9" t="inlineStr">
        <is>
          <t>SKU-008</t>
        </is>
      </c>
    </row>
    <row r="10">
      <c r="A10" t="inlineStr">
        <is>
          <t>SKU-009</t>
        </is>
      </c>
    </row>
    <row r="11">
      <c r="A11" t="inlineStr">
        <is>
          <t>SKU-010</t>
        </is>
      </c>
    </row>
    <row r="12">
      <c r="A12" t="inlineStr">
        <is>
          <t>SKU-011</t>
        </is>
      </c>
    </row>
    <row r="13">
      <c r="A13" t="inlineStr">
        <is>
          <t>SKU-012</t>
        </is>
      </c>
    </row>
    <row r="14">
      <c r="A14" t="inlineStr">
        <is>
          <t>SKU-013</t>
        </is>
      </c>
    </row>
    <row r="15">
      <c r="A15" t="inlineStr">
        <is>
          <t>SKU-014</t>
        </is>
      </c>
    </row>
    <row r="16">
      <c r="A16" t="inlineStr">
        <is>
          <t>SKU-015</t>
        </is>
      </c>
    </row>
    <row r="17">
      <c r="A17" t="inlineStr">
        <is>
          <t>SKU-016</t>
        </is>
      </c>
    </row>
    <row r="18">
      <c r="A18" t="inlineStr">
        <is>
          <t>SKU-017</t>
        </is>
      </c>
    </row>
    <row r="19">
      <c r="A19" t="inlineStr">
        <is>
          <t>SKU-018</t>
        </is>
      </c>
    </row>
    <row r="20">
      <c r="A20" t="inlineStr">
        <is>
          <t>SKU-019</t>
        </is>
      </c>
    </row>
    <row r="21">
      <c r="A21" t="inlineStr">
        <is>
          <t>SKU-020</t>
        </is>
      </c>
    </row>
    <row r="22">
      <c r="A22" t="inlineStr">
        <is>
          <t>SKU-021</t>
        </is>
      </c>
    </row>
    <row r="23">
      <c r="A23" t="inlineStr">
        <is>
          <t>SKU-022</t>
        </is>
      </c>
    </row>
    <row r="24">
      <c r="A24" t="inlineStr">
        <is>
          <t>SKU-023</t>
        </is>
      </c>
    </row>
    <row r="25">
      <c r="A25" t="inlineStr">
        <is>
          <t>SKU-024</t>
        </is>
      </c>
    </row>
    <row r="26">
      <c r="A26" t="inlineStr">
        <is>
          <t>SKU-025</t>
        </is>
      </c>
    </row>
    <row r="27">
      <c r="A27" t="inlineStr">
        <is>
          <t>SKU-026</t>
        </is>
      </c>
    </row>
    <row r="28">
      <c r="A28" t="inlineStr">
        <is>
          <t>SKU-027</t>
        </is>
      </c>
    </row>
    <row r="29">
      <c r="A29" t="inlineStr">
        <is>
          <t>SKU-028</t>
        </is>
      </c>
    </row>
    <row r="30">
      <c r="A30" t="inlineStr">
        <is>
          <t>SKU-029</t>
        </is>
      </c>
    </row>
    <row r="31">
      <c r="A31" t="inlineStr">
        <is>
          <t>SKU-030</t>
        </is>
      </c>
    </row>
    <row r="32">
      <c r="A32" t="inlineStr">
        <is>
          <t>SKU-031</t>
        </is>
      </c>
    </row>
    <row r="33">
      <c r="A33" t="inlineStr">
        <is>
          <t>SKU-032</t>
        </is>
      </c>
    </row>
    <row r="34">
      <c r="A34" t="inlineStr">
        <is>
          <t>SKU-033</t>
        </is>
      </c>
    </row>
    <row r="35">
      <c r="A35" t="inlineStr">
        <is>
          <t>SKU-034</t>
        </is>
      </c>
    </row>
    <row r="36">
      <c r="A36" t="inlineStr">
        <is>
          <t>SKU-035</t>
        </is>
      </c>
    </row>
    <row r="37">
      <c r="A37" t="inlineStr">
        <is>
          <t>SKU-036</t>
        </is>
      </c>
    </row>
    <row r="38">
      <c r="A38" t="inlineStr">
        <is>
          <t>SKU-037</t>
        </is>
      </c>
    </row>
    <row r="39">
      <c r="A39" t="inlineStr">
        <is>
          <t>SKU-038</t>
        </is>
      </c>
    </row>
    <row r="40">
      <c r="A40" t="inlineStr">
        <is>
          <t>SKU-039</t>
        </is>
      </c>
    </row>
    <row r="41">
      <c r="A41" t="inlineStr">
        <is>
          <t>SKU-040</t>
        </is>
      </c>
    </row>
    <row r="42">
      <c r="A42" t="inlineStr">
        <is>
          <t>SKU-041</t>
        </is>
      </c>
    </row>
    <row r="43">
      <c r="A43" t="inlineStr">
        <is>
          <t>SKU-042</t>
        </is>
      </c>
    </row>
    <row r="44">
      <c r="A44" t="inlineStr">
        <is>
          <t>SKU-043</t>
        </is>
      </c>
    </row>
    <row r="45">
      <c r="A45" t="inlineStr">
        <is>
          <t>SKU-044</t>
        </is>
      </c>
    </row>
    <row r="46">
      <c r="A46" t="inlineStr">
        <is>
          <t>SKU-045</t>
        </is>
      </c>
    </row>
    <row r="47">
      <c r="A47" t="inlineStr">
        <is>
          <t>SKU-046</t>
        </is>
      </c>
    </row>
    <row r="48">
      <c r="A48" t="inlineStr">
        <is>
          <t>SKU-047</t>
        </is>
      </c>
    </row>
    <row r="49">
      <c r="A49" t="inlineStr">
        <is>
          <t>SKU-048</t>
        </is>
      </c>
    </row>
    <row r="50">
      <c r="A50" t="inlineStr">
        <is>
          <t>SKU-049</t>
        </is>
      </c>
    </row>
    <row r="51">
      <c r="A51" t="inlineStr">
        <is>
          <t>SKU-050</t>
        </is>
      </c>
    </row>
    <row r="52">
      <c r="A52" t="inlineStr">
        <is>
          <t>SKU-051</t>
        </is>
      </c>
    </row>
    <row r="53">
      <c r="A53" t="inlineStr">
        <is>
          <t>SKU-052</t>
        </is>
      </c>
    </row>
    <row r="54">
      <c r="A54" t="inlineStr">
        <is>
          <t>SKU-053</t>
        </is>
      </c>
    </row>
    <row r="55">
      <c r="A55" t="inlineStr">
        <is>
          <t>SKU-054</t>
        </is>
      </c>
    </row>
    <row r="56">
      <c r="A56" t="inlineStr">
        <is>
          <t>SKU-055</t>
        </is>
      </c>
    </row>
    <row r="57">
      <c r="A57" t="inlineStr">
        <is>
          <t>SKU-056</t>
        </is>
      </c>
    </row>
    <row r="58">
      <c r="A58" t="inlineStr">
        <is>
          <t>SKU-057</t>
        </is>
      </c>
    </row>
    <row r="59">
      <c r="A59" t="inlineStr">
        <is>
          <t>SKU-058</t>
        </is>
      </c>
    </row>
    <row r="60">
      <c r="A60" t="inlineStr">
        <is>
          <t>SKU-059</t>
        </is>
      </c>
    </row>
    <row r="61">
      <c r="A61" t="inlineStr">
        <is>
          <t>SKU-060</t>
        </is>
      </c>
    </row>
    <row r="62">
      <c r="A62" t="inlineStr">
        <is>
          <t>SKU-061</t>
        </is>
      </c>
    </row>
    <row r="63">
      <c r="A63" t="inlineStr">
        <is>
          <t>SKU-062</t>
        </is>
      </c>
    </row>
    <row r="64">
      <c r="A64" t="inlineStr">
        <is>
          <t>SKU-063</t>
        </is>
      </c>
    </row>
    <row r="65">
      <c r="A65" t="inlineStr">
        <is>
          <t>SKU-064</t>
        </is>
      </c>
    </row>
    <row r="66">
      <c r="A66" t="inlineStr">
        <is>
          <t>SKU-065</t>
        </is>
      </c>
    </row>
    <row r="67">
      <c r="A67" t="inlineStr">
        <is>
          <t>SKU-066</t>
        </is>
      </c>
    </row>
    <row r="68">
      <c r="A68" t="inlineStr">
        <is>
          <t>SKU-067</t>
        </is>
      </c>
    </row>
    <row r="69">
      <c r="A69" t="inlineStr">
        <is>
          <t>SKU-068</t>
        </is>
      </c>
    </row>
    <row r="70">
      <c r="A70" t="inlineStr">
        <is>
          <t>SKU-069</t>
        </is>
      </c>
    </row>
    <row r="71">
      <c r="A71" t="inlineStr">
        <is>
          <t>SKU-070</t>
        </is>
      </c>
    </row>
    <row r="72">
      <c r="A72" t="inlineStr">
        <is>
          <t>SKU-071</t>
        </is>
      </c>
    </row>
    <row r="73">
      <c r="A73" t="inlineStr">
        <is>
          <t>SKU-072</t>
        </is>
      </c>
    </row>
    <row r="74">
      <c r="A74" t="inlineStr">
        <is>
          <t>SKU-073</t>
        </is>
      </c>
    </row>
    <row r="75">
      <c r="A75" t="inlineStr">
        <is>
          <t>SKU-074</t>
        </is>
      </c>
    </row>
    <row r="76">
      <c r="A76" t="inlineStr">
        <is>
          <t>SKU-075</t>
        </is>
      </c>
    </row>
    <row r="77">
      <c r="A77" t="inlineStr">
        <is>
          <t>SKU-076</t>
        </is>
      </c>
    </row>
    <row r="78">
      <c r="A78" t="inlineStr">
        <is>
          <t>SKU-077</t>
        </is>
      </c>
    </row>
    <row r="79">
      <c r="A79" t="inlineStr">
        <is>
          <t>SKU-078</t>
        </is>
      </c>
    </row>
    <row r="80">
      <c r="A80" t="inlineStr">
        <is>
          <t>SKU-079</t>
        </is>
      </c>
    </row>
    <row r="81">
      <c r="A81" t="inlineStr">
        <is>
          <t>SKU-080</t>
        </is>
      </c>
    </row>
    <row r="82">
      <c r="A82" t="inlineStr">
        <is>
          <t>SKU-081</t>
        </is>
      </c>
    </row>
    <row r="83">
      <c r="A83" t="inlineStr">
        <is>
          <t>SKU-082</t>
        </is>
      </c>
    </row>
    <row r="84">
      <c r="A84" t="inlineStr">
        <is>
          <t>SKU-083</t>
        </is>
      </c>
    </row>
    <row r="85">
      <c r="A85" t="inlineStr">
        <is>
          <t>SKU-084</t>
        </is>
      </c>
    </row>
    <row r="86">
      <c r="A86" t="inlineStr">
        <is>
          <t>SKU-085</t>
        </is>
      </c>
    </row>
    <row r="87">
      <c r="A87" t="inlineStr">
        <is>
          <t>SKU-086</t>
        </is>
      </c>
    </row>
    <row r="88">
      <c r="A88" t="inlineStr">
        <is>
          <t>SKU-087</t>
        </is>
      </c>
    </row>
    <row r="89">
      <c r="A89" t="inlineStr">
        <is>
          <t>SKU-088</t>
        </is>
      </c>
    </row>
    <row r="90">
      <c r="A90" t="inlineStr">
        <is>
          <t>SKU-089</t>
        </is>
      </c>
    </row>
    <row r="91">
      <c r="A91" t="inlineStr">
        <is>
          <t>SKU-090</t>
        </is>
      </c>
    </row>
    <row r="92">
      <c r="A92" t="inlineStr">
        <is>
          <t>SKU-091</t>
        </is>
      </c>
    </row>
    <row r="93">
      <c r="A93" t="inlineStr">
        <is>
          <t>SKU-092</t>
        </is>
      </c>
    </row>
    <row r="94">
      <c r="A94" t="inlineStr">
        <is>
          <t>SKU-093</t>
        </is>
      </c>
    </row>
    <row r="95">
      <c r="A95" t="inlineStr">
        <is>
          <t>SKU-094</t>
        </is>
      </c>
    </row>
    <row r="96">
      <c r="A96" t="inlineStr">
        <is>
          <t>SKU-095</t>
        </is>
      </c>
    </row>
    <row r="97">
      <c r="A97" t="inlineStr">
        <is>
          <t>SKU-096</t>
        </is>
      </c>
    </row>
    <row r="98">
      <c r="A98" t="inlineStr">
        <is>
          <t>SKU-097</t>
        </is>
      </c>
    </row>
    <row r="99">
      <c r="A99" t="inlineStr">
        <is>
          <t>SKU-098</t>
        </is>
      </c>
    </row>
    <row r="100">
      <c r="A100" t="inlineStr">
        <is>
          <t>SKU-099</t>
        </is>
      </c>
    </row>
    <row r="101">
      <c r="A101" t="inlineStr">
        <is>
          <t>SKU-100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Inventory Tracker Studio</dc:title>
  <dc:description>Inventory Tracker Studio for replenishment decisions, stock, purchases, sales, reorder alerts, pricing, and snapshots with seeded human-scale capacity.</dc:description>
  <dc:subject>Inventory tracker spreadsheet</dc:subject>
  <dcterms:created xsi:type="dcterms:W3CDTF">2026-06-27T18:24:32Z</dcterms:created>
  <dcterms:modified xsi:type="dcterms:W3CDTF">2026-06-27T18:24:33Z</dcterms:modified>
  <cp:category>business</cp:category>
  <cp:keywords>inventory tracker, stock tracker, replenishment, reorder date, order quantity, purchases, sales, pricing spreadsheet</cp:keywords>
</cp:coreProperties>
</file>