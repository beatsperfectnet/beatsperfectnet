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hart3.xml" ContentType="application/vnd.openxmlformats-officedocument.drawingml.chart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1.xml" ContentType="application/vnd.ms-office.chartstyle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Start Here" sheetId="2" state="visible" r:id="rId4"/>
    <sheet name="Settings" sheetId="3" state="visible" r:id="rId5"/>
    <sheet name="Recipes" sheetId="4" state="visible" r:id="rId6"/>
    <sheet name="Pantry" sheetId="5" state="visible" r:id="rId7"/>
    <sheet name="Weekly Planner" sheetId="6" state="visible" r:id="rId8"/>
    <sheet name="Grocery List" sheetId="7" state="visible" r:id="rId9"/>
    <sheet name="Help" sheetId="8" state="visible" r:id="rId10"/>
  </sheets>
  <definedNames>
    <definedName function="false" hidden="false" localSheetId="0" name="_xlnm.Print_Titles" vbProcedure="false">Dashboard!$1:$4</definedName>
    <definedName function="false" hidden="false" localSheetId="6" name="_xlnm.Print_Titles" vbProcedure="false">'Grocery List'!$1:$4</definedName>
    <definedName function="false" hidden="false" localSheetId="7" name="_xlnm.Print_Titles" vbProcedure="false">Help!$1:$4</definedName>
    <definedName function="false" hidden="false" localSheetId="4" name="_xlnm.Print_Titles" vbProcedure="false">Pantry!$1:$4</definedName>
    <definedName function="false" hidden="false" localSheetId="3" name="_xlnm.Print_Titles" vbProcedure="false">Recipes!$1:$4</definedName>
    <definedName function="false" hidden="false" localSheetId="2" name="_xlnm.Print_Titles" vbProcedure="false">Settings!$1:$4</definedName>
    <definedName function="false" hidden="false" localSheetId="1" name="_xlnm.Print_Titles" vbProcedure="false">'Start Here'!$1:$4</definedName>
    <definedName function="false" hidden="false" localSheetId="5" name="_xlnm.Print_Titles" vbProcedure="false">'Weekly Planner'!$1:$4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<sst xmlns="http://schemas.openxmlformats.org/spreadsheetml/2006/main" count="359" uniqueCount="187">
  <si>
    <t xml:space="preserve">Dashboard</t>
  </si>
  <si>
    <t xml:space="preserve">Read this first. It summarizes your planned week: calories, estimated food cost, pantry gaps, grocery items, and meal coverage.</t>
  </si>
  <si>
    <t xml:space="preserve">Dashboard is protected. Edit source data in yellow cells on Settings, Recipes, Pantry, Weekly Planner, and Grocery List.</t>
  </si>
  <si>
    <t xml:space="preserve">Metric</t>
  </si>
  <si>
    <t xml:space="preserve">Value</t>
  </si>
  <si>
    <t xml:space="preserve">Target/Context</t>
  </si>
  <si>
    <t xml:space="preserve">Weekly calories</t>
  </si>
  <si>
    <t xml:space="preserve">Target kcal/week</t>
  </si>
  <si>
    <t xml:space="preserve">Estimated food cost</t>
  </si>
  <si>
    <t xml:space="preserve">Budget USD/week</t>
  </si>
  <si>
    <t xml:space="preserve">Grocery items</t>
  </si>
  <si>
    <t xml:space="preserve">Pantry gaps</t>
  </si>
  <si>
    <t xml:space="preserve">Planned meals</t>
  </si>
  <si>
    <t xml:space="preserve">Days planned</t>
  </si>
  <si>
    <t xml:space="preserve">Day</t>
  </si>
  <si>
    <t xml:space="preserve">Calories</t>
  </si>
  <si>
    <t xml:space="preserve">Cost</t>
  </si>
  <si>
    <t xml:space="preserve">Category</t>
  </si>
  <si>
    <t xml:space="preserve">Items</t>
  </si>
  <si>
    <t xml:space="preserve">Monday</t>
  </si>
  <si>
    <t xml:space="preserve">Produce</t>
  </si>
  <si>
    <t xml:space="preserve">Tuesday</t>
  </si>
  <si>
    <t xml:space="preserve">Dairy &amp; Eggs</t>
  </si>
  <si>
    <t xml:space="preserve">Wednesday</t>
  </si>
  <si>
    <t xml:space="preserve">Bakery</t>
  </si>
  <si>
    <t xml:space="preserve">Thursday</t>
  </si>
  <si>
    <t xml:space="preserve">Pantry</t>
  </si>
  <si>
    <t xml:space="preserve">Friday</t>
  </si>
  <si>
    <t xml:space="preserve">Frozen</t>
  </si>
  <si>
    <t xml:space="preserve">Saturday</t>
  </si>
  <si>
    <t xml:space="preserve">Sunday</t>
  </si>
  <si>
    <t xml:space="preserve">Start Here</t>
  </si>
  <si>
    <t xml:space="preserve">Follow these five steps for first success. Yellow cells elsewhere are the only normal edit areas.</t>
  </si>
  <si>
    <t xml:space="preserve">Do not delete tabs or columns. Make a backup copy before customization.</t>
  </si>
  <si>
    <t xml:space="preserve">Step</t>
  </si>
  <si>
    <t xml:space="preserve">Action</t>
  </si>
  <si>
    <t xml:space="preserve">Done?</t>
  </si>
  <si>
    <t xml:space="preserve">Why it matters</t>
  </si>
  <si>
    <t xml:space="preserve">Expected result</t>
  </si>
  <si>
    <t xml:space="preserve">Support note</t>
  </si>
  <si>
    <t xml:space="preserve">Review Dashboard</t>
  </si>
  <si>
    <t xml:space="preserve">See the finished sample week</t>
  </si>
  <si>
    <t xml:space="preserve">Calories, cost, groceries, pantry gaps visible</t>
  </si>
  <si>
    <t xml:space="preserve">No edits here</t>
  </si>
  <si>
    <t xml:space="preserve">Edit Settings</t>
  </si>
  <si>
    <t xml:space="preserve">Set targets and categories</t>
  </si>
  <si>
    <t xml:space="preserve">Dashboard target values update</t>
  </si>
  <si>
    <t xml:space="preserve">Yellow cells only</t>
  </si>
  <si>
    <t xml:space="preserve">Edit Pantry and Recipes</t>
  </si>
  <si>
    <t xml:space="preserve">Match your household</t>
  </si>
  <si>
    <t xml:space="preserve">Inputs feed planning and grocery list</t>
  </si>
  <si>
    <t xml:space="preserve">Rows 6-105 supported</t>
  </si>
  <si>
    <t xml:space="preserve">Choose meals</t>
  </si>
  <si>
    <t xml:space="preserve">Create the week</t>
  </si>
  <si>
    <t xml:space="preserve">Daily totals update</t>
  </si>
  <si>
    <t xml:space="preserve">Use dropdowns</t>
  </si>
  <si>
    <t xml:space="preserve">Use Grocery List</t>
  </si>
  <si>
    <t xml:space="preserve">Shop from final list</t>
  </si>
  <si>
    <t xml:space="preserve">Buy qty and estimated cost visible</t>
  </si>
  <si>
    <t xml:space="preserve">Unit prices are editable</t>
  </si>
  <si>
    <t xml:space="preserve">Settings</t>
  </si>
  <si>
    <t xml:space="preserve">Edit yellow cells only. These values drive dashboard targets, grocery categories, and row labels. Add categories only inside the yellow category block below.</t>
  </si>
  <si>
    <t xml:space="preserve">Do not insert or delete columns. Add new categories inside the provided yellow rows so formulas and dropdowns stay stable.</t>
  </si>
  <si>
    <t xml:space="preserve">Setting</t>
  </si>
  <si>
    <t xml:space="preserve">Unit/Notes</t>
  </si>
  <si>
    <t xml:space="preserve">Editable?</t>
  </si>
  <si>
    <t xml:space="preserve">Used by</t>
  </si>
  <si>
    <t xml:space="preserve">Status</t>
  </si>
  <si>
    <t xml:space="preserve">Weekly calorie target</t>
  </si>
  <si>
    <t xml:space="preserve">kcal/week</t>
  </si>
  <si>
    <t xml:space="preserve">yes</t>
  </si>
  <si>
    <t xml:space="preserve">ready</t>
  </si>
  <si>
    <t xml:space="preserve">Weekly food budget</t>
  </si>
  <si>
    <t xml:space="preserve">USD/week</t>
  </si>
  <si>
    <t xml:space="preserve">Household servings default</t>
  </si>
  <si>
    <t xml:space="preserve">servings</t>
  </si>
  <si>
    <t xml:space="preserve">Planner</t>
  </si>
  <si>
    <t xml:space="preserve">Currency symbol</t>
  </si>
  <si>
    <t xml:space="preserve">$</t>
  </si>
  <si>
    <t xml:space="preserve">display</t>
  </si>
  <si>
    <t xml:space="preserve">First planning date</t>
  </si>
  <si>
    <t xml:space="preserve">2026-06-22</t>
  </si>
  <si>
    <t xml:space="preserve">YYYY-MM-DD</t>
  </si>
  <si>
    <t xml:space="preserve">Category list</t>
  </si>
  <si>
    <t xml:space="preserve">Meat &amp; Seafood</t>
  </si>
  <si>
    <t xml:space="preserve">Drinks</t>
  </si>
  <si>
    <t xml:space="preserve">Household</t>
  </si>
  <si>
    <t xml:space="preserve">Other</t>
  </si>
  <si>
    <t xml:space="preserve">Recipes</t>
  </si>
  <si>
    <t xml:space="preserve">Add or edit recipes in the yellow rows. Formulas read rows 6-105. Keep one ingredient per row so grocery quantities can be reviewed clearly.</t>
  </si>
  <si>
    <t xml:space="preserve">Do not insert/delete columns. Add recipes only in the provided yellow rows 6-105; formulas are designed for that range.</t>
  </si>
  <si>
    <t xml:space="preserve">Recipe ID</t>
  </si>
  <si>
    <t xml:space="preserve">Meal type</t>
  </si>
  <si>
    <t xml:space="preserve">Recipe name</t>
  </si>
  <si>
    <t xml:space="preserve">Default servings</t>
  </si>
  <si>
    <t xml:space="preserve">Ingredient</t>
  </si>
  <si>
    <t xml:space="preserve">Qty per serving</t>
  </si>
  <si>
    <t xml:space="preserve">Unit</t>
  </si>
  <si>
    <t xml:space="preserve">Calories/serving</t>
  </si>
  <si>
    <t xml:space="preserve">Unit price</t>
  </si>
  <si>
    <t xml:space="preserve">R001</t>
  </si>
  <si>
    <t xml:space="preserve">Breakfast</t>
  </si>
  <si>
    <t xml:space="preserve">Greek yogurt berry bowl</t>
  </si>
  <si>
    <t xml:space="preserve">Greek yogurt</t>
  </si>
  <si>
    <t xml:space="preserve">cup</t>
  </si>
  <si>
    <t xml:space="preserve">Berries</t>
  </si>
  <si>
    <t xml:space="preserve">R002</t>
  </si>
  <si>
    <t xml:space="preserve">Lunch</t>
  </si>
  <si>
    <t xml:space="preserve">Tomato soup and toast</t>
  </si>
  <si>
    <t xml:space="preserve">Tomato soup</t>
  </si>
  <si>
    <t xml:space="preserve">serving</t>
  </si>
  <si>
    <t xml:space="preserve">Whole grain bread</t>
  </si>
  <si>
    <t xml:space="preserve">slice</t>
  </si>
  <si>
    <t xml:space="preserve">R003</t>
  </si>
  <si>
    <t xml:space="preserve">Dinner</t>
  </si>
  <si>
    <t xml:space="preserve">Salmon rice bowl</t>
  </si>
  <si>
    <t xml:space="preserve">Salmon fillet</t>
  </si>
  <si>
    <t xml:space="preserve">portion</t>
  </si>
  <si>
    <t xml:space="preserve">Rice</t>
  </si>
  <si>
    <t xml:space="preserve">Broccoli</t>
  </si>
  <si>
    <t xml:space="preserve">R004</t>
  </si>
  <si>
    <t xml:space="preserve">Snack</t>
  </si>
  <si>
    <t xml:space="preserve">Apple and peanut butter</t>
  </si>
  <si>
    <t xml:space="preserve">Apple</t>
  </si>
  <si>
    <t xml:space="preserve">each</t>
  </si>
  <si>
    <t xml:space="preserve">Peanut butter</t>
  </si>
  <si>
    <t xml:space="preserve">tbsp</t>
  </si>
  <si>
    <t xml:space="preserve">R005</t>
  </si>
  <si>
    <t xml:space="preserve">Bean taco bowls</t>
  </si>
  <si>
    <t xml:space="preserve">Black beans</t>
  </si>
  <si>
    <t xml:space="preserve">Tortillas</t>
  </si>
  <si>
    <t xml:space="preserve">Salsa</t>
  </si>
  <si>
    <t xml:space="preserve">Edit yellow rows to record what you already have. Grocery List compares needed quantity against pantry on hand. Add pantry items only inside rows 6-105.</t>
  </si>
  <si>
    <t xml:space="preserve">Do not insert/delete columns. Add rows inside the provided yellow range only; formulas cover rows 6-105.</t>
  </si>
  <si>
    <t xml:space="preserve">Item</t>
  </si>
  <si>
    <t xml:space="preserve">On hand qty</t>
  </si>
  <si>
    <t xml:space="preserve">Reorder at</t>
  </si>
  <si>
    <t xml:space="preserve">Need soon?</t>
  </si>
  <si>
    <t xml:space="preserve">Notes</t>
  </si>
  <si>
    <t xml:space="preserve">starter</t>
  </si>
  <si>
    <t xml:space="preserve">Weekly Planner</t>
  </si>
  <si>
    <t xml:space="preserve">Choose meals from dropdowns in yellow cells, set servings, and add notes. Dashboard and Grocery List use this planned week.</t>
  </si>
  <si>
    <t xml:space="preserve">Do not insert/delete columns or rows on this tab. Use the seven day rows provided; duplicate the workbook for a new planning week.</t>
  </si>
  <si>
    <t xml:space="preserve">Servings</t>
  </si>
  <si>
    <t xml:space="preserve">Day calories</t>
  </si>
  <si>
    <t xml:space="preserve">Day cost</t>
  </si>
  <si>
    <t xml:space="preserve">sample week</t>
  </si>
  <si>
    <t xml:space="preserve">Grocery List</t>
  </si>
  <si>
    <t xml:space="preserve">Review and shop from this final list. Yellow quantity, pantry, unit price, checked, and notes cells are editable. Estimated cost uses the visible Unit price column.</t>
  </si>
  <si>
    <t xml:space="preserve">Do not insert/delete columns. Add custom items inside yellow rows 6-105; formulas are prefilled for those rows.</t>
  </si>
  <si>
    <t xml:space="preserve">Needed qty</t>
  </si>
  <si>
    <t xml:space="preserve">Pantry on hand</t>
  </si>
  <si>
    <t xml:space="preserve">Buy qty</t>
  </si>
  <si>
    <t xml:space="preserve">Estimated cost</t>
  </si>
  <si>
    <t xml:space="preserve">Checked</t>
  </si>
  <si>
    <t xml:space="preserve">Help</t>
  </si>
  <si>
    <t xml:space="preserve">Use this tab when something looks wrong. It explains setup, protected formulas, supported edits, and recovery.</t>
  </si>
  <si>
    <t xml:space="preserve">Support does not include custom formulas, spreadsheet redesign, personal nutrition advice, or data-entry work.</t>
  </si>
  <si>
    <t xml:space="preserve">Topic</t>
  </si>
  <si>
    <t xml:space="preserve">Guidance</t>
  </si>
  <si>
    <t xml:space="preserve">Supported</t>
  </si>
  <si>
    <t xml:space="preserve">Not supported</t>
  </si>
  <si>
    <t xml:space="preserve">Recovery</t>
  </si>
  <si>
    <t xml:space="preserve">Editable cells</t>
  </si>
  <si>
    <t xml:space="preserve">Yellow cells are safe to edit. Blue cells are formulas or outputs.</t>
  </si>
  <si>
    <t xml:space="preserve">Settings, Recipes, Pantry, Planner, Grocery notes/prices</t>
  </si>
  <si>
    <t xml:space="preserve">Formula columns and structural changes</t>
  </si>
  <si>
    <t xml:space="preserve">Use clean backup copy</t>
  </si>
  <si>
    <t xml:space="preserve">Rows 6-105 are prefilled</t>
  </si>
  <si>
    <t xml:space="preserve">Rows and columns</t>
  </si>
  <si>
    <t xml:space="preserve">Add data inside existing yellow rows only. Do not insert/delete columns.</t>
  </si>
  <si>
    <t xml:space="preserve">Using provided blank yellow rows</t>
  </si>
  <si>
    <t xml:space="preserve">Adding columns or deleting formula rows</t>
  </si>
  <si>
    <t xml:space="preserve">Restore from backup</t>
  </si>
  <si>
    <t xml:space="preserve">Warnings appear on every tab</t>
  </si>
  <si>
    <t xml:space="preserve">Compatibility</t>
  </si>
  <si>
    <t xml:space="preserve">Google Sheets primary. Excel export must be QA checked before claim.</t>
  </si>
  <si>
    <t xml:space="preserve">Normal viewing/editing in supported file</t>
  </si>
  <si>
    <t xml:space="preserve">External scripts/add-ons</t>
  </si>
  <si>
    <t xml:space="preserve">Use primary file if export differs</t>
  </si>
  <si>
    <t xml:space="preserve">No external-data formulas</t>
  </si>
  <si>
    <t xml:space="preserve">Support scope</t>
  </si>
  <si>
    <t xml:space="preserve">Access, setup, documented use.</t>
  </si>
  <si>
    <t xml:space="preserve">Basic questions</t>
  </si>
  <si>
    <t xml:space="preserve">Custom formulas, nutrition advice, redesign</t>
  </si>
  <si>
    <t xml:space="preserve">Read FAQ and reset from backup</t>
  </si>
  <si>
    <t xml:space="preserve">Clear scope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</si>
</sst>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Inter"/>
      <family val="0"/>
      <charset val="1"/>
    </font>
    <font>
      <sz val="10"/>
      <color rgb="FF102A43"/>
      <name val="Inter"/>
      <family val="0"/>
      <charset val="1"/>
    </font>
    <font>
      <b val="true"/>
      <sz val="10"/>
      <color rgb="FF102A43"/>
      <name val="Inter"/>
      <family val="0"/>
      <charset val="1"/>
    </font>
    <font>
      <b val="true"/>
      <sz val="11"/>
      <color rgb="FFFFFFFF"/>
      <name val="Inter"/>
      <family val="0"/>
      <charset val="1"/>
    </font>
    <font>
      <sz val="11"/>
      <color theme="1"/>
      <name val="Inter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6F8B"/>
        <bgColor rgb="FF008080"/>
      </patternFill>
    </fill>
    <fill>
      <patternFill patternType="solid">
        <fgColor rgb="FFF8FAFC"/>
        <bgColor rgb="FFFFFFFF"/>
      </patternFill>
    </fill>
    <fill>
      <patternFill patternType="solid">
        <fgColor rgb="FFFDE68A"/>
        <bgColor rgb="FFFFCC99"/>
      </patternFill>
    </fill>
    <fill>
      <patternFill patternType="solid">
        <fgColor rgb="FFE8F3F5"/>
        <bgColor rgb="FFF8FAFC"/>
      </patternFill>
    </fill>
    <fill>
      <patternFill patternType="solid">
        <fgColor rgb="FFFFF2CC"/>
        <bgColor rgb="FFF8FA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0" fillId="6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8B"/>
      <rgbColor rgb="FFC0C0C0"/>
      <rgbColor rgb="FF878787"/>
      <rgbColor rgb="FF9999FF"/>
      <rgbColor rgb="FFC0504D"/>
      <rgbColor rgb="FFFFF2CC"/>
      <rgbColor rgb="FFE8F3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EC"/>
      <rgbColor rgb="FFF8FAFC"/>
      <rgbColor rgb="FFFDE68A"/>
      <rgbColor rgb="FF99CCFF"/>
      <rgbColor rgb="FFFF99CC"/>
      <rgbColor rgb="FFCC99FF"/>
      <rgbColor rgb="FFFFCC99"/>
      <rgbColor rgb="FF4A7EBB"/>
      <rgbColor rgb="FF4BACC6"/>
      <rgbColor rgb="FF9BBB59"/>
      <rgbColor rgb="FFFFCC00"/>
      <rgbColor rgb="FFFF9900"/>
      <rgbColor rgb="FFFF6600"/>
      <rgbColor rgb="FF8064A2"/>
      <rgbColor rgb="FF969696"/>
      <rgbColor rgb="FF102A43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Calories by 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Dashboard!B12</c:f>
              <c:strCache>
                <c:ptCount val="1"/>
                <c:pt idx="0">
                  <c:v>Calories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Dashboard!$A$13:$A$19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Dashboard!$B$13:$B$19</c:f>
              <c:numCache>
                <c:formatCode>General</c:formatCode>
                <c:ptCount val="7"/>
                <c:pt idx="0">
                  <c:v>3340</c:v>
                </c:pt>
                <c:pt idx="1">
                  <c:v>3600</c:v>
                </c:pt>
                <c:pt idx="2">
                  <c:v>3340</c:v>
                </c:pt>
                <c:pt idx="3">
                  <c:v>3600</c:v>
                </c:pt>
                <c:pt idx="4">
                  <c:v>3340</c:v>
                </c:pt>
                <c:pt idx="5">
                  <c:v>3600</c:v>
                </c:pt>
                <c:pt idx="6">
                  <c:v>3340</c:v>
                </c:pt>
              </c:numCache>
            </c:numRef>
          </c:val>
        </c:ser>
        <c:gapWidth val="150"/>
        <c:overlap val="0"/>
        <c:axId val="75533363"/>
        <c:axId val="49610182"/>
      </c:barChart>
      <c:catAx>
        <c:axId val="755333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9610182"/>
        <c:crosses val="autoZero"/>
        <c:auto val="1"/>
        <c:lblAlgn val="ctr"/>
        <c:lblOffset val="100"/>
        <c:noMultiLvlLbl val="0"/>
      </c:catAx>
      <c:valAx>
        <c:axId val="496101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kcal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553336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Food cost by 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Dashboard!C12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Dashboard!$A$13:$A$19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Dashboard!$C$13:$C$19</c:f>
              <c:numCache>
                <c:formatCode>General</c:formatCode>
                <c:ptCount val="7"/>
                <c:pt idx="0">
                  <c:v>7.5</c:v>
                </c:pt>
                <c:pt idx="1">
                  <c:v>12.85</c:v>
                </c:pt>
                <c:pt idx="2">
                  <c:v>7.5</c:v>
                </c:pt>
                <c:pt idx="3">
                  <c:v>12.85</c:v>
                </c:pt>
                <c:pt idx="4">
                  <c:v>7.5</c:v>
                </c:pt>
                <c:pt idx="5">
                  <c:v>12.85</c:v>
                </c:pt>
                <c:pt idx="6">
                  <c:v>7.5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2092101"/>
        <c:axId val="51711456"/>
      </c:lineChart>
      <c:catAx>
        <c:axId val="120921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1711456"/>
        <c:crosses val="autoZero"/>
        <c:auto val="1"/>
        <c:lblAlgn val="ctr"/>
        <c:lblOffset val="100"/>
        <c:noMultiLvlLbl val="0"/>
      </c:catAx>
      <c:valAx>
        <c:axId val="517114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209210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Grocery categories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Dashboard!F12</c:f>
              <c:strCache>
                <c:ptCount val="1"/>
                <c:pt idx="0">
                  <c:v>Items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Dashboard!$E$13:$E$17</c:f>
              <c:strCache>
                <c:ptCount val="5"/>
                <c:pt idx="0">
                  <c:v>Produce</c:v>
                </c:pt>
                <c:pt idx="1">
                  <c:v>Dairy &amp; Eggs</c:v>
                </c:pt>
                <c:pt idx="2">
                  <c:v>Bakery</c:v>
                </c:pt>
                <c:pt idx="3">
                  <c:v>Pantry</c:v>
                </c:pt>
                <c:pt idx="4">
                  <c:v>Frozen</c:v>
                </c:pt>
              </c:strCache>
            </c:strRef>
          </c:cat>
          <c:val>
            <c:numRef>
              <c:f>Dashboard!$F$13:$F$17</c:f>
              <c:numCache>
                <c:formatCode>General</c:formatCode>
                <c:ptCount val="5"/>
                <c:pt idx="0">
                  <c:v>3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0</xdr:rowOff>
    </xdr:from>
    <xdr:to>
      <xdr:col>14</xdr:col>
      <xdr:colOff>461880</xdr:colOff>
      <xdr:row>17</xdr:row>
      <xdr:rowOff>72720</xdr:rowOff>
    </xdr:to>
    <xdr:graphicFrame>
      <xdr:nvGraphicFramePr>
        <xdr:cNvPr id="1" name="Chart 1"/>
        <xdr:cNvGraphicFramePr/>
      </xdr:nvGraphicFramePr>
      <xdr:xfrm>
        <a:off x="8881200" y="16750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19</xdr:row>
      <xdr:rowOff>0</xdr:rowOff>
    </xdr:from>
    <xdr:to>
      <xdr:col>14</xdr:col>
      <xdr:colOff>461880</xdr:colOff>
      <xdr:row>33</xdr:row>
      <xdr:rowOff>32760</xdr:rowOff>
    </xdr:to>
    <xdr:graphicFrame>
      <xdr:nvGraphicFramePr>
        <xdr:cNvPr id="2" name="Chart 2"/>
        <xdr:cNvGraphicFramePr/>
      </xdr:nvGraphicFramePr>
      <xdr:xfrm>
        <a:off x="8881200" y="46832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22</xdr:row>
      <xdr:rowOff>0</xdr:rowOff>
    </xdr:from>
    <xdr:to>
      <xdr:col>4</xdr:col>
      <xdr:colOff>324720</xdr:colOff>
      <xdr:row>36</xdr:row>
      <xdr:rowOff>32400</xdr:rowOff>
    </xdr:to>
    <xdr:graphicFrame>
      <xdr:nvGraphicFramePr>
        <xdr:cNvPr id="3" name="Chart 3"/>
        <xdr:cNvGraphicFramePr/>
      </xdr:nvGraphicFramePr>
      <xdr:xfrm>
        <a:off x="0" y="52545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42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42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17.9" hidden="false" customHeight="false" outlineLevel="0" collapsed="false">
      <c r="A4" s="4" t="s">
        <v>3</v>
      </c>
      <c r="B4" s="4" t="s">
        <v>4</v>
      </c>
      <c r="C4" s="4" t="s">
        <v>5</v>
      </c>
      <c r="D4" s="4" t="s">
        <v>4</v>
      </c>
      <c r="E4" s="4"/>
      <c r="F4" s="4"/>
      <c r="G4" s="4"/>
      <c r="H4" s="4"/>
    </row>
    <row r="5" customFormat="false" ht="15" hidden="false" customHeight="false" outlineLevel="0" collapsed="false">
      <c r="A5" s="5" t="s">
        <v>6</v>
      </c>
      <c r="B5" s="6" t="n">
        <f aca="false">SUM('Weekly Planner'!H6:H12)</f>
        <v>24160</v>
      </c>
      <c r="C5" s="5" t="s">
        <v>7</v>
      </c>
      <c r="D5" s="6" t="n">
        <f aca="false">Settings!B5</f>
        <v>14000</v>
      </c>
      <c r="E5" s="5"/>
      <c r="F5" s="5"/>
      <c r="G5" s="5"/>
      <c r="H5" s="5"/>
    </row>
    <row r="6" customFormat="false" ht="26.85" hidden="false" customHeight="false" outlineLevel="0" collapsed="false">
      <c r="A6" s="5" t="s">
        <v>8</v>
      </c>
      <c r="B6" s="6" t="n">
        <f aca="false">SUMIF('Grocery List'!H6:H105,"&gt;0",'Grocery List'!H6:H105)</f>
        <v>67.275</v>
      </c>
      <c r="C6" s="5" t="s">
        <v>9</v>
      </c>
      <c r="D6" s="6" t="n">
        <f aca="false">Settings!B6</f>
        <v>165</v>
      </c>
      <c r="E6" s="5"/>
      <c r="F6" s="5"/>
      <c r="G6" s="5"/>
      <c r="H6" s="5"/>
    </row>
    <row r="7" customFormat="false" ht="15" hidden="false" customHeight="false" outlineLevel="0" collapsed="false">
      <c r="A7" s="5" t="s">
        <v>10</v>
      </c>
      <c r="B7" s="6" t="n">
        <f aca="false">COUNTIF('Grocery List'!B6:B105,"&lt;&gt;")</f>
        <v>11</v>
      </c>
      <c r="C7" s="5" t="s">
        <v>11</v>
      </c>
      <c r="D7" s="6" t="n">
        <f aca="false">COUNTIF(Pantry!G6:G105,"yes")</f>
        <v>3</v>
      </c>
      <c r="E7" s="5"/>
      <c r="F7" s="5"/>
      <c r="G7" s="5"/>
      <c r="H7" s="5"/>
    </row>
    <row r="8" customFormat="false" ht="15" hidden="false" customHeight="false" outlineLevel="0" collapsed="false">
      <c r="A8" s="5" t="s">
        <v>12</v>
      </c>
      <c r="B8" s="6" t="n">
        <f aca="false">COUNTA('Weekly Planner'!B6:E12)</f>
        <v>28</v>
      </c>
      <c r="C8" s="5" t="s">
        <v>13</v>
      </c>
      <c r="D8" s="6" t="n">
        <f aca="false">COUNTA('Weekly Planner'!A6:A12)</f>
        <v>7</v>
      </c>
      <c r="E8" s="5"/>
      <c r="F8" s="5"/>
      <c r="G8" s="5"/>
      <c r="H8" s="5"/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5"/>
      <c r="H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5" t="s">
        <v>14</v>
      </c>
      <c r="B12" s="5" t="s">
        <v>15</v>
      </c>
      <c r="C12" s="5" t="s">
        <v>16</v>
      </c>
      <c r="D12" s="5"/>
      <c r="E12" s="5" t="s">
        <v>17</v>
      </c>
      <c r="F12" s="5" t="s">
        <v>18</v>
      </c>
      <c r="G12" s="5"/>
      <c r="H12" s="5"/>
    </row>
    <row r="13" customFormat="false" ht="15" hidden="false" customHeight="false" outlineLevel="0" collapsed="false">
      <c r="A13" s="5" t="s">
        <v>19</v>
      </c>
      <c r="B13" s="6" t="n">
        <f aca="false">'Weekly Planner'!H6</f>
        <v>3340</v>
      </c>
      <c r="C13" s="6" t="n">
        <f aca="false">'Weekly Planner'!I6</f>
        <v>7.5</v>
      </c>
      <c r="D13" s="5"/>
      <c r="E13" s="5" t="s">
        <v>20</v>
      </c>
      <c r="F13" s="6" t="n">
        <f aca="false">COUNTIF('Grocery List'!$A$6:$A$105,E13)</f>
        <v>3</v>
      </c>
      <c r="G13" s="5"/>
      <c r="H13" s="5"/>
    </row>
    <row r="14" customFormat="false" ht="15" hidden="false" customHeight="false" outlineLevel="0" collapsed="false">
      <c r="A14" s="5" t="s">
        <v>21</v>
      </c>
      <c r="B14" s="6" t="n">
        <f aca="false">'Weekly Planner'!H7</f>
        <v>3600</v>
      </c>
      <c r="C14" s="6" t="n">
        <f aca="false">'Weekly Planner'!I7</f>
        <v>12.85</v>
      </c>
      <c r="D14" s="5"/>
      <c r="E14" s="5" t="s">
        <v>22</v>
      </c>
      <c r="F14" s="6" t="n">
        <f aca="false">COUNTIF('Grocery List'!$A$6:$A$105,E14)</f>
        <v>0</v>
      </c>
      <c r="G14" s="5"/>
      <c r="H14" s="5"/>
    </row>
    <row r="15" customFormat="false" ht="15" hidden="false" customHeight="false" outlineLevel="0" collapsed="false">
      <c r="A15" s="5" t="s">
        <v>23</v>
      </c>
      <c r="B15" s="6" t="n">
        <f aca="false">'Weekly Planner'!H8</f>
        <v>3340</v>
      </c>
      <c r="C15" s="6" t="n">
        <f aca="false">'Weekly Planner'!I8</f>
        <v>7.5</v>
      </c>
      <c r="D15" s="5"/>
      <c r="E15" s="5" t="s">
        <v>24</v>
      </c>
      <c r="F15" s="6" t="n">
        <f aca="false">COUNTIF('Grocery List'!$A$6:$A$105,E15)</f>
        <v>2</v>
      </c>
      <c r="G15" s="5"/>
      <c r="H15" s="5"/>
    </row>
    <row r="16" customFormat="false" ht="15" hidden="false" customHeight="false" outlineLevel="0" collapsed="false">
      <c r="A16" s="5" t="s">
        <v>25</v>
      </c>
      <c r="B16" s="6" t="n">
        <f aca="false">'Weekly Planner'!H9</f>
        <v>3600</v>
      </c>
      <c r="C16" s="6" t="n">
        <f aca="false">'Weekly Planner'!I9</f>
        <v>12.85</v>
      </c>
      <c r="D16" s="5"/>
      <c r="E16" s="5" t="s">
        <v>26</v>
      </c>
      <c r="F16" s="6" t="n">
        <f aca="false">COUNTIF('Grocery List'!$A$6:$A$105,E16)</f>
        <v>5</v>
      </c>
      <c r="G16" s="5"/>
      <c r="H16" s="5"/>
    </row>
    <row r="17" customFormat="false" ht="15" hidden="false" customHeight="false" outlineLevel="0" collapsed="false">
      <c r="A17" s="5" t="s">
        <v>27</v>
      </c>
      <c r="B17" s="6" t="n">
        <f aca="false">'Weekly Planner'!H10</f>
        <v>3340</v>
      </c>
      <c r="C17" s="6" t="n">
        <f aca="false">'Weekly Planner'!I10</f>
        <v>7.5</v>
      </c>
      <c r="D17" s="5"/>
      <c r="E17" s="5" t="s">
        <v>28</v>
      </c>
      <c r="F17" s="6" t="n">
        <f aca="false">COUNTIF('Grocery List'!$A$6:$A$105,E17)</f>
        <v>0</v>
      </c>
      <c r="G17" s="5"/>
      <c r="H17" s="5"/>
    </row>
    <row r="18" customFormat="false" ht="15" hidden="false" customHeight="false" outlineLevel="0" collapsed="false">
      <c r="A18" s="5" t="s">
        <v>29</v>
      </c>
      <c r="B18" s="6" t="n">
        <f aca="false">'Weekly Planner'!H11</f>
        <v>3600</v>
      </c>
      <c r="C18" s="6" t="n">
        <f aca="false">'Weekly Planner'!I11</f>
        <v>12.85</v>
      </c>
      <c r="D18" s="5"/>
      <c r="E18" s="5"/>
      <c r="F18" s="5"/>
      <c r="G18" s="5"/>
      <c r="H18" s="5"/>
    </row>
    <row r="19" customFormat="false" ht="15" hidden="false" customHeight="false" outlineLevel="0" collapsed="false">
      <c r="A19" s="5" t="s">
        <v>30</v>
      </c>
      <c r="B19" s="6" t="n">
        <f aca="false">'Weekly Planner'!H12</f>
        <v>3340</v>
      </c>
      <c r="C19" s="6" t="n">
        <f aca="false">'Weekly Planner'!I12</f>
        <v>7.5</v>
      </c>
      <c r="D19" s="5"/>
      <c r="E19" s="5"/>
      <c r="F19" s="5"/>
      <c r="G19" s="5"/>
      <c r="H19" s="5"/>
    </row>
  </sheetData>
  <sheetProtection sheet="true" password="cac9"/>
  <mergeCells count="3">
    <mergeCell ref="A1:H1"/>
    <mergeCell ref="A2:H2"/>
    <mergeCell ref="A3:H3"/>
  </mergeCells>
  <printOptions headings="false" gridLines="false" gridLinesSet="true" horizontalCentered="false" verticalCentered="false"/>
  <pageMargins left="0.25" right="0.25" top="0.25" bottom="0.2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5" min="4" style="0" width="32"/>
    <col collapsed="false" customWidth="true" hidden="false" outlineLevel="0" max="6" min="6" style="0" width="28"/>
  </cols>
  <sheetData>
    <row r="1" customFormat="false" ht="30" hidden="false" customHeight="true" outlineLevel="0" collapsed="false">
      <c r="A1" s="1" t="s">
        <v>31</v>
      </c>
      <c r="B1" s="1"/>
      <c r="C1" s="1"/>
      <c r="D1" s="1"/>
      <c r="E1" s="1"/>
      <c r="F1" s="1"/>
    </row>
    <row r="2" customFormat="false" ht="42" hidden="false" customHeight="true" outlineLevel="0" collapsed="false">
      <c r="A2" s="2" t="s">
        <v>32</v>
      </c>
      <c r="B2" s="2"/>
      <c r="C2" s="2"/>
      <c r="D2" s="2"/>
      <c r="E2" s="2"/>
      <c r="F2" s="2"/>
    </row>
    <row r="3" customFormat="false" ht="42" hidden="false" customHeight="true" outlineLevel="0" collapsed="false">
      <c r="A3" s="3" t="s">
        <v>33</v>
      </c>
      <c r="B3" s="3"/>
      <c r="C3" s="3"/>
      <c r="D3" s="3"/>
      <c r="E3" s="3"/>
      <c r="F3" s="3"/>
    </row>
    <row r="4" customFormat="false" ht="17.9" hidden="false" customHeight="false" outlineLevel="0" collapsed="false">
      <c r="A4" s="4" t="s">
        <v>34</v>
      </c>
      <c r="B4" s="4" t="s">
        <v>35</v>
      </c>
      <c r="C4" s="4" t="s">
        <v>36</v>
      </c>
      <c r="D4" s="4" t="s">
        <v>37</v>
      </c>
      <c r="E4" s="4" t="s">
        <v>38</v>
      </c>
      <c r="F4" s="4" t="s">
        <v>39</v>
      </c>
    </row>
    <row r="5" customFormat="false" ht="26.85" hidden="false" customHeight="false" outlineLevel="0" collapsed="false">
      <c r="A5" s="5" t="n">
        <v>1</v>
      </c>
      <c r="B5" s="5" t="s">
        <v>40</v>
      </c>
      <c r="C5" s="5"/>
      <c r="D5" s="5" t="s">
        <v>41</v>
      </c>
      <c r="E5" s="5" t="s">
        <v>42</v>
      </c>
      <c r="F5" s="5" t="s">
        <v>43</v>
      </c>
    </row>
    <row r="6" customFormat="false" ht="15" hidden="false" customHeight="false" outlineLevel="0" collapsed="false">
      <c r="A6" s="5" t="n">
        <v>2</v>
      </c>
      <c r="B6" s="5" t="s">
        <v>44</v>
      </c>
      <c r="C6" s="7"/>
      <c r="D6" s="5" t="s">
        <v>45</v>
      </c>
      <c r="E6" s="5" t="s">
        <v>46</v>
      </c>
      <c r="F6" s="5" t="s">
        <v>47</v>
      </c>
    </row>
    <row r="7" customFormat="false" ht="26.85" hidden="false" customHeight="false" outlineLevel="0" collapsed="false">
      <c r="A7" s="5" t="n">
        <v>3</v>
      </c>
      <c r="B7" s="5" t="s">
        <v>48</v>
      </c>
      <c r="C7" s="7"/>
      <c r="D7" s="5" t="s">
        <v>49</v>
      </c>
      <c r="E7" s="5" t="s">
        <v>50</v>
      </c>
      <c r="F7" s="5" t="s">
        <v>51</v>
      </c>
    </row>
    <row r="8" customFormat="false" ht="15" hidden="false" customHeight="false" outlineLevel="0" collapsed="false">
      <c r="A8" s="5" t="n">
        <v>4</v>
      </c>
      <c r="B8" s="5" t="s">
        <v>52</v>
      </c>
      <c r="C8" s="7"/>
      <c r="D8" s="5" t="s">
        <v>53</v>
      </c>
      <c r="E8" s="5" t="s">
        <v>54</v>
      </c>
      <c r="F8" s="5" t="s">
        <v>55</v>
      </c>
    </row>
    <row r="9" customFormat="false" ht="15" hidden="false" customHeight="false" outlineLevel="0" collapsed="false">
      <c r="A9" s="5" t="n">
        <v>5</v>
      </c>
      <c r="B9" s="5" t="s">
        <v>56</v>
      </c>
      <c r="C9" s="7"/>
      <c r="D9" s="5" t="s">
        <v>57</v>
      </c>
      <c r="E9" s="5" t="s">
        <v>58</v>
      </c>
      <c r="F9" s="5" t="s">
        <v>59</v>
      </c>
    </row>
    <row r="10" customFormat="false" ht="15" hidden="false" customHeight="false" outlineLevel="0" collapsed="false">
      <c r="C10" s="8"/>
    </row>
  </sheetData>
  <sheetProtection sheet="true" password="cac9"/>
  <mergeCells count="3">
    <mergeCell ref="A1:F1"/>
    <mergeCell ref="A2:F2"/>
    <mergeCell ref="A3:F3"/>
  </mergeCells>
  <printOptions headings="false" gridLines="false" gridLinesSet="true" horizontalCentered="false" verticalCentered="false"/>
  <pageMargins left="0.25" right="0.25" top="0.25" bottom="0.2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30" hidden="false" customHeight="true" outlineLevel="0" collapsed="false">
      <c r="A1" s="1" t="s">
        <v>60</v>
      </c>
      <c r="B1" s="1"/>
      <c r="C1" s="1"/>
      <c r="D1" s="1"/>
      <c r="E1" s="1"/>
      <c r="F1" s="1"/>
    </row>
    <row r="2" customFormat="false" ht="42" hidden="false" customHeight="true" outlineLevel="0" collapsed="false">
      <c r="A2" s="2" t="s">
        <v>61</v>
      </c>
      <c r="B2" s="2"/>
      <c r="C2" s="2"/>
      <c r="D2" s="2"/>
      <c r="E2" s="2"/>
      <c r="F2" s="2"/>
    </row>
    <row r="3" customFormat="false" ht="42" hidden="false" customHeight="true" outlineLevel="0" collapsed="false">
      <c r="A3" s="3" t="s">
        <v>62</v>
      </c>
      <c r="B3" s="3"/>
      <c r="C3" s="3"/>
      <c r="D3" s="3"/>
      <c r="E3" s="3"/>
      <c r="F3" s="3"/>
    </row>
    <row r="4" customFormat="false" ht="17.9" hidden="false" customHeight="false" outlineLevel="0" collapsed="false">
      <c r="A4" s="4" t="s">
        <v>63</v>
      </c>
      <c r="B4" s="4" t="s">
        <v>4</v>
      </c>
      <c r="C4" s="4" t="s">
        <v>64</v>
      </c>
      <c r="D4" s="4" t="s">
        <v>65</v>
      </c>
      <c r="E4" s="4" t="s">
        <v>66</v>
      </c>
      <c r="F4" s="4" t="s">
        <v>67</v>
      </c>
    </row>
    <row r="5" customFormat="false" ht="15" hidden="false" customHeight="false" outlineLevel="0" collapsed="false">
      <c r="A5" s="5" t="s">
        <v>68</v>
      </c>
      <c r="B5" s="5" t="n">
        <v>14000</v>
      </c>
      <c r="C5" s="5" t="s">
        <v>69</v>
      </c>
      <c r="D5" s="5" t="s">
        <v>70</v>
      </c>
      <c r="E5" s="5" t="s">
        <v>0</v>
      </c>
      <c r="F5" s="5" t="s">
        <v>71</v>
      </c>
    </row>
    <row r="6" customFormat="false" ht="15" hidden="false" customHeight="false" outlineLevel="0" collapsed="false">
      <c r="A6" s="5" t="s">
        <v>72</v>
      </c>
      <c r="B6" s="7" t="n">
        <v>165</v>
      </c>
      <c r="C6" s="5" t="s">
        <v>73</v>
      </c>
      <c r="D6" s="5" t="s">
        <v>70</v>
      </c>
      <c r="E6" s="5" t="s">
        <v>0</v>
      </c>
      <c r="F6" s="5" t="s">
        <v>71</v>
      </c>
    </row>
    <row r="7" customFormat="false" ht="15" hidden="false" customHeight="false" outlineLevel="0" collapsed="false">
      <c r="A7" s="5" t="s">
        <v>74</v>
      </c>
      <c r="B7" s="7" t="n">
        <v>2</v>
      </c>
      <c r="C7" s="5" t="s">
        <v>75</v>
      </c>
      <c r="D7" s="5" t="s">
        <v>70</v>
      </c>
      <c r="E7" s="5" t="s">
        <v>76</v>
      </c>
      <c r="F7" s="5" t="s">
        <v>71</v>
      </c>
    </row>
    <row r="8" customFormat="false" ht="15" hidden="false" customHeight="false" outlineLevel="0" collapsed="false">
      <c r="A8" s="5" t="s">
        <v>77</v>
      </c>
      <c r="B8" s="7" t="s">
        <v>78</v>
      </c>
      <c r="C8" s="5" t="s">
        <v>79</v>
      </c>
      <c r="D8" s="5" t="s">
        <v>70</v>
      </c>
      <c r="E8" s="5" t="s">
        <v>0</v>
      </c>
      <c r="F8" s="5" t="s">
        <v>71</v>
      </c>
    </row>
    <row r="9" customFormat="false" ht="15" hidden="false" customHeight="false" outlineLevel="0" collapsed="false">
      <c r="A9" s="5" t="s">
        <v>80</v>
      </c>
      <c r="B9" s="7" t="s">
        <v>81</v>
      </c>
      <c r="C9" s="5" t="s">
        <v>82</v>
      </c>
      <c r="D9" s="5" t="s">
        <v>70</v>
      </c>
      <c r="E9" s="5" t="s">
        <v>76</v>
      </c>
      <c r="F9" s="5" t="s">
        <v>71</v>
      </c>
    </row>
    <row r="10" customFormat="false" ht="15" hidden="false" customHeight="false" outlineLevel="0" collapsed="false">
      <c r="A10" s="5"/>
      <c r="B10" s="7"/>
      <c r="C10" s="5"/>
      <c r="D10" s="5"/>
      <c r="E10" s="5"/>
      <c r="F10" s="5"/>
    </row>
    <row r="11" customFormat="false" ht="15" hidden="false" customHeight="false" outlineLevel="0" collapsed="false">
      <c r="A11" s="5" t="s">
        <v>83</v>
      </c>
      <c r="B11" s="5"/>
      <c r="C11" s="5"/>
      <c r="D11" s="5"/>
      <c r="E11" s="5"/>
      <c r="F11" s="5"/>
    </row>
    <row r="12" customFormat="false" ht="15" hidden="false" customHeight="false" outlineLevel="0" collapsed="false">
      <c r="A12" s="5" t="s">
        <v>20</v>
      </c>
      <c r="B12" s="5"/>
      <c r="C12" s="5"/>
      <c r="D12" s="5"/>
      <c r="E12" s="5"/>
      <c r="F12" s="5"/>
    </row>
    <row r="13" customFormat="false" ht="15" hidden="false" customHeight="false" outlineLevel="0" collapsed="false">
      <c r="A13" s="5" t="s">
        <v>22</v>
      </c>
      <c r="B13" s="5"/>
      <c r="C13" s="5"/>
      <c r="D13" s="5"/>
      <c r="E13" s="5"/>
      <c r="F13" s="5"/>
    </row>
    <row r="14" customFormat="false" ht="15" hidden="false" customHeight="false" outlineLevel="0" collapsed="false">
      <c r="A14" s="7" t="s">
        <v>24</v>
      </c>
      <c r="B14" s="5"/>
      <c r="C14" s="5"/>
      <c r="D14" s="5"/>
      <c r="E14" s="5"/>
      <c r="F14" s="5"/>
    </row>
    <row r="15" customFormat="false" ht="15" hidden="false" customHeight="false" outlineLevel="0" collapsed="false">
      <c r="A15" s="7" t="s">
        <v>26</v>
      </c>
      <c r="B15" s="5"/>
      <c r="C15" s="5"/>
      <c r="D15" s="5"/>
      <c r="E15" s="5"/>
      <c r="F15" s="5"/>
    </row>
    <row r="16" customFormat="false" ht="15" hidden="false" customHeight="false" outlineLevel="0" collapsed="false">
      <c r="A16" s="7" t="s">
        <v>28</v>
      </c>
      <c r="B16" s="5"/>
      <c r="C16" s="5"/>
      <c r="D16" s="5"/>
      <c r="E16" s="5"/>
      <c r="F16" s="5"/>
    </row>
    <row r="17" customFormat="false" ht="15" hidden="false" customHeight="false" outlineLevel="0" collapsed="false">
      <c r="A17" s="7" t="s">
        <v>84</v>
      </c>
      <c r="B17" s="5"/>
      <c r="C17" s="5"/>
      <c r="D17" s="5"/>
      <c r="E17" s="5"/>
      <c r="F17" s="5"/>
    </row>
    <row r="18" customFormat="false" ht="15" hidden="false" customHeight="false" outlineLevel="0" collapsed="false">
      <c r="A18" s="7" t="s">
        <v>85</v>
      </c>
      <c r="B18" s="5"/>
      <c r="C18" s="5"/>
      <c r="D18" s="5"/>
      <c r="E18" s="5"/>
      <c r="F18" s="5"/>
    </row>
    <row r="19" customFormat="false" ht="15" hidden="false" customHeight="false" outlineLevel="0" collapsed="false">
      <c r="A19" s="7" t="s">
        <v>86</v>
      </c>
      <c r="B19" s="5"/>
      <c r="C19" s="5"/>
      <c r="D19" s="5"/>
      <c r="E19" s="5"/>
      <c r="F19" s="5"/>
    </row>
    <row r="20" customFormat="false" ht="15" hidden="false" customHeight="false" outlineLevel="0" collapsed="false">
      <c r="A20" s="7" t="s">
        <v>87</v>
      </c>
      <c r="B20" s="5"/>
      <c r="C20" s="5"/>
      <c r="D20" s="5"/>
      <c r="E20" s="5"/>
      <c r="F20" s="5"/>
    </row>
    <row r="21" customFormat="false" ht="15" hidden="false" customHeight="false" outlineLevel="0" collapsed="false">
      <c r="A21" s="7"/>
      <c r="B21" s="5"/>
      <c r="C21" s="5"/>
      <c r="D21" s="5"/>
      <c r="E21" s="5"/>
      <c r="F21" s="5"/>
    </row>
    <row r="22" customFormat="false" ht="15" hidden="false" customHeight="false" outlineLevel="0" collapsed="false">
      <c r="A22" s="7"/>
      <c r="B22" s="5"/>
      <c r="C22" s="5"/>
      <c r="D22" s="5"/>
      <c r="E22" s="5"/>
      <c r="F22" s="5"/>
    </row>
    <row r="23" customFormat="false" ht="15" hidden="false" customHeight="false" outlineLevel="0" collapsed="false">
      <c r="A23" s="7"/>
      <c r="B23" s="5"/>
      <c r="C23" s="5"/>
      <c r="D23" s="5"/>
      <c r="E23" s="5"/>
      <c r="F23" s="5"/>
    </row>
    <row r="24" customFormat="false" ht="15" hidden="false" customHeight="false" outlineLevel="0" collapsed="false">
      <c r="A24" s="7"/>
      <c r="B24" s="5"/>
      <c r="C24" s="5"/>
      <c r="D24" s="5"/>
      <c r="E24" s="5"/>
      <c r="F24" s="5"/>
    </row>
    <row r="25" customFormat="false" ht="15" hidden="false" customHeight="false" outlineLevel="0" collapsed="false">
      <c r="A25" s="7"/>
      <c r="B25" s="5"/>
      <c r="C25" s="5"/>
      <c r="D25" s="5"/>
      <c r="E25" s="5"/>
      <c r="F25" s="5"/>
    </row>
    <row r="26" customFormat="false" ht="15" hidden="false" customHeight="false" outlineLevel="0" collapsed="false">
      <c r="A26" s="7"/>
      <c r="B26" s="5"/>
      <c r="C26" s="5"/>
      <c r="D26" s="5"/>
      <c r="E26" s="5"/>
      <c r="F26" s="5"/>
    </row>
    <row r="27" customFormat="false" ht="15" hidden="false" customHeight="false" outlineLevel="0" collapsed="false">
      <c r="A27" s="7"/>
      <c r="B27" s="5"/>
      <c r="C27" s="5"/>
      <c r="D27" s="5"/>
      <c r="E27" s="5"/>
      <c r="F27" s="5"/>
    </row>
    <row r="28" customFormat="false" ht="15" hidden="false" customHeight="false" outlineLevel="0" collapsed="false">
      <c r="A28" s="7"/>
      <c r="B28" s="5"/>
      <c r="C28" s="5"/>
      <c r="D28" s="5"/>
      <c r="E28" s="5"/>
      <c r="F28" s="5"/>
    </row>
    <row r="29" customFormat="false" ht="15" hidden="false" customHeight="false" outlineLevel="0" collapsed="false">
      <c r="A29" s="7"/>
      <c r="B29" s="5"/>
      <c r="C29" s="5"/>
      <c r="D29" s="5"/>
      <c r="E29" s="5"/>
      <c r="F29" s="5"/>
    </row>
    <row r="30" customFormat="false" ht="15" hidden="false" customHeight="false" outlineLevel="0" collapsed="false">
      <c r="A30" s="7"/>
      <c r="B30" s="5"/>
      <c r="C30" s="5"/>
      <c r="D30" s="5"/>
      <c r="E30" s="5"/>
      <c r="F30" s="5"/>
    </row>
    <row r="31" customFormat="false" ht="15" hidden="false" customHeight="false" outlineLevel="0" collapsed="false">
      <c r="A31" s="7"/>
      <c r="B31" s="5"/>
      <c r="C31" s="5"/>
      <c r="D31" s="5"/>
      <c r="E31" s="5"/>
      <c r="F31" s="5"/>
    </row>
    <row r="32" customFormat="false" ht="15" hidden="false" customHeight="false" outlineLevel="0" collapsed="false">
      <c r="A32" s="7"/>
      <c r="B32" s="5"/>
      <c r="C32" s="5"/>
      <c r="D32" s="5"/>
      <c r="E32" s="5"/>
      <c r="F32" s="5"/>
    </row>
    <row r="33" customFormat="false" ht="15" hidden="false" customHeight="false" outlineLevel="0" collapsed="false">
      <c r="A33" s="7"/>
      <c r="B33" s="5"/>
      <c r="C33" s="5"/>
      <c r="D33" s="5"/>
      <c r="E33" s="5"/>
      <c r="F33" s="5"/>
    </row>
    <row r="34" customFormat="false" ht="15" hidden="false" customHeight="false" outlineLevel="0" collapsed="false">
      <c r="A34" s="7"/>
      <c r="B34" s="5"/>
      <c r="C34" s="5"/>
      <c r="D34" s="5"/>
      <c r="E34" s="5"/>
      <c r="F34" s="5"/>
    </row>
    <row r="35" customFormat="false" ht="15" hidden="false" customHeight="false" outlineLevel="0" collapsed="false">
      <c r="A35" s="7"/>
      <c r="B35" s="5"/>
      <c r="C35" s="5"/>
      <c r="D35" s="5"/>
      <c r="E35" s="5"/>
      <c r="F35" s="5"/>
    </row>
    <row r="36" customFormat="false" ht="15" hidden="false" customHeight="false" outlineLevel="0" collapsed="false">
      <c r="A36" s="7"/>
      <c r="B36" s="5"/>
      <c r="C36" s="5"/>
      <c r="D36" s="5"/>
      <c r="E36" s="5"/>
      <c r="F36" s="5"/>
    </row>
    <row r="37" customFormat="false" ht="15" hidden="false" customHeight="false" outlineLevel="0" collapsed="false">
      <c r="A37" s="7"/>
      <c r="B37" s="5"/>
      <c r="C37" s="5"/>
      <c r="D37" s="5"/>
      <c r="E37" s="5"/>
      <c r="F37" s="5"/>
    </row>
    <row r="38" customFormat="false" ht="15" hidden="false" customHeight="false" outlineLevel="0" collapsed="false">
      <c r="A38" s="7"/>
      <c r="B38" s="5"/>
      <c r="C38" s="5"/>
      <c r="D38" s="5"/>
      <c r="E38" s="5"/>
      <c r="F38" s="5"/>
    </row>
    <row r="39" customFormat="false" ht="15" hidden="false" customHeight="false" outlineLevel="0" collapsed="false">
      <c r="A39" s="7"/>
      <c r="B39" s="5"/>
      <c r="C39" s="5"/>
      <c r="D39" s="5"/>
      <c r="E39" s="5"/>
      <c r="F39" s="5"/>
    </row>
    <row r="40" customFormat="false" ht="15" hidden="false" customHeight="false" outlineLevel="0" collapsed="false">
      <c r="A40" s="7"/>
      <c r="B40" s="5"/>
      <c r="C40" s="5"/>
      <c r="D40" s="5"/>
      <c r="E40" s="5"/>
      <c r="F40" s="5"/>
    </row>
    <row r="41" customFormat="false" ht="15" hidden="false" customHeight="false" outlineLevel="0" collapsed="false">
      <c r="A41" s="7"/>
      <c r="B41" s="5"/>
      <c r="C41" s="5"/>
      <c r="D41" s="5"/>
      <c r="E41" s="5"/>
      <c r="F41" s="5"/>
    </row>
    <row r="42" customFormat="false" ht="15" hidden="false" customHeight="false" outlineLevel="0" collapsed="false">
      <c r="A42" s="8"/>
    </row>
    <row r="43" customFormat="false" ht="15" hidden="false" customHeight="false" outlineLevel="0" collapsed="false">
      <c r="A43" s="8"/>
    </row>
  </sheetData>
  <sheetProtection sheet="true" password="cac9"/>
  <mergeCells count="3">
    <mergeCell ref="A1:F1"/>
    <mergeCell ref="A2:F2"/>
    <mergeCell ref="A3:F3"/>
  </mergeCells>
  <printOptions headings="false" gridLines="false" gridLinesSet="true" horizontalCentered="false" verticalCentered="false"/>
  <pageMargins left="0.25" right="0.25" top="0.25" bottom="0.2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9" min="8" style="0" width="18"/>
    <col collapsed="false" customWidth="true" hidden="false" outlineLevel="0" max="10" min="10" style="0" width="14"/>
  </cols>
  <sheetData>
    <row r="1" customFormat="false" ht="30" hidden="false" customHeight="true" outlineLevel="0" collapsed="false">
      <c r="A1" s="1" t="s">
        <v>88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42" hidden="false" customHeight="true" outlineLevel="0" collapsed="false">
      <c r="A2" s="2" t="s">
        <v>89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42" hidden="false" customHeight="true" outlineLevel="0" collapsed="false">
      <c r="A3" s="3" t="s">
        <v>90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34.3" hidden="false" customHeight="false" outlineLevel="0" collapsed="false">
      <c r="A4" s="4" t="s">
        <v>91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96</v>
      </c>
      <c r="G4" s="4" t="s">
        <v>97</v>
      </c>
      <c r="H4" s="4" t="s">
        <v>17</v>
      </c>
      <c r="I4" s="4" t="s">
        <v>98</v>
      </c>
      <c r="J4" s="4" t="s">
        <v>99</v>
      </c>
    </row>
    <row r="5" customFormat="false" ht="15" hidden="false" customHeight="false" outlineLevel="0" collapsed="false">
      <c r="A5" s="5" t="s">
        <v>100</v>
      </c>
      <c r="B5" s="5" t="s">
        <v>101</v>
      </c>
      <c r="C5" s="5" t="s">
        <v>102</v>
      </c>
      <c r="D5" s="5" t="n">
        <v>2</v>
      </c>
      <c r="E5" s="5" t="s">
        <v>103</v>
      </c>
      <c r="F5" s="5" t="n">
        <v>1</v>
      </c>
      <c r="G5" s="5" t="s">
        <v>104</v>
      </c>
      <c r="H5" s="5" t="s">
        <v>22</v>
      </c>
      <c r="I5" s="5" t="n">
        <v>280</v>
      </c>
      <c r="J5" s="5" t="n">
        <v>2.4</v>
      </c>
    </row>
    <row r="6" customFormat="false" ht="15" hidden="false" customHeight="false" outlineLevel="0" collapsed="false">
      <c r="A6" s="7" t="s">
        <v>100</v>
      </c>
      <c r="B6" s="7" t="s">
        <v>101</v>
      </c>
      <c r="C6" s="7" t="s">
        <v>102</v>
      </c>
      <c r="D6" s="7" t="n">
        <v>2</v>
      </c>
      <c r="E6" s="7" t="s">
        <v>105</v>
      </c>
      <c r="F6" s="7" t="n">
        <v>0.5</v>
      </c>
      <c r="G6" s="7" t="s">
        <v>104</v>
      </c>
      <c r="H6" s="7" t="s">
        <v>20</v>
      </c>
      <c r="I6" s="7" t="n">
        <v>280</v>
      </c>
      <c r="J6" s="7" t="n">
        <v>1.35</v>
      </c>
    </row>
    <row r="7" customFormat="false" ht="15" hidden="false" customHeight="false" outlineLevel="0" collapsed="false">
      <c r="A7" s="7" t="s">
        <v>106</v>
      </c>
      <c r="B7" s="7" t="s">
        <v>107</v>
      </c>
      <c r="C7" s="7" t="s">
        <v>108</v>
      </c>
      <c r="D7" s="7" t="n">
        <v>2</v>
      </c>
      <c r="E7" s="7" t="s">
        <v>109</v>
      </c>
      <c r="F7" s="7" t="n">
        <v>1</v>
      </c>
      <c r="G7" s="7" t="s">
        <v>110</v>
      </c>
      <c r="H7" s="7" t="s">
        <v>26</v>
      </c>
      <c r="I7" s="7" t="n">
        <v>420</v>
      </c>
      <c r="J7" s="7" t="n">
        <v>2.1</v>
      </c>
    </row>
    <row r="8" customFormat="false" ht="15" hidden="false" customHeight="false" outlineLevel="0" collapsed="false">
      <c r="A8" s="7" t="s">
        <v>106</v>
      </c>
      <c r="B8" s="7" t="s">
        <v>107</v>
      </c>
      <c r="C8" s="7" t="s">
        <v>108</v>
      </c>
      <c r="D8" s="7" t="n">
        <v>2</v>
      </c>
      <c r="E8" s="7" t="s">
        <v>111</v>
      </c>
      <c r="F8" s="7" t="n">
        <v>2</v>
      </c>
      <c r="G8" s="7" t="s">
        <v>112</v>
      </c>
      <c r="H8" s="7" t="s">
        <v>24</v>
      </c>
      <c r="I8" s="7" t="n">
        <v>420</v>
      </c>
      <c r="J8" s="7" t="n">
        <v>0.8</v>
      </c>
    </row>
    <row r="9" customFormat="false" ht="15" hidden="false" customHeight="false" outlineLevel="0" collapsed="false">
      <c r="A9" s="7" t="s">
        <v>113</v>
      </c>
      <c r="B9" s="7" t="s">
        <v>114</v>
      </c>
      <c r="C9" s="7" t="s">
        <v>115</v>
      </c>
      <c r="D9" s="7" t="n">
        <v>2</v>
      </c>
      <c r="E9" s="7" t="s">
        <v>116</v>
      </c>
      <c r="F9" s="7" t="n">
        <v>1</v>
      </c>
      <c r="G9" s="7" t="s">
        <v>117</v>
      </c>
      <c r="H9" s="7" t="s">
        <v>84</v>
      </c>
      <c r="I9" s="7" t="n">
        <v>680</v>
      </c>
      <c r="J9" s="7" t="n">
        <v>5.8</v>
      </c>
    </row>
    <row r="10" customFormat="false" ht="15" hidden="false" customHeight="false" outlineLevel="0" collapsed="false">
      <c r="A10" s="7" t="s">
        <v>113</v>
      </c>
      <c r="B10" s="7" t="s">
        <v>114</v>
      </c>
      <c r="C10" s="7" t="s">
        <v>115</v>
      </c>
      <c r="D10" s="7" t="n">
        <v>2</v>
      </c>
      <c r="E10" s="7" t="s">
        <v>118</v>
      </c>
      <c r="F10" s="7" t="n">
        <v>0.75</v>
      </c>
      <c r="G10" s="7" t="s">
        <v>104</v>
      </c>
      <c r="H10" s="7" t="s">
        <v>26</v>
      </c>
      <c r="I10" s="7" t="n">
        <v>680</v>
      </c>
      <c r="J10" s="7" t="n">
        <v>0.45</v>
      </c>
    </row>
    <row r="11" customFormat="false" ht="15" hidden="false" customHeight="false" outlineLevel="0" collapsed="false">
      <c r="A11" s="7" t="s">
        <v>113</v>
      </c>
      <c r="B11" s="7" t="s">
        <v>114</v>
      </c>
      <c r="C11" s="7" t="s">
        <v>115</v>
      </c>
      <c r="D11" s="7" t="n">
        <v>2</v>
      </c>
      <c r="E11" s="7" t="s">
        <v>119</v>
      </c>
      <c r="F11" s="7" t="n">
        <v>1</v>
      </c>
      <c r="G11" s="7" t="s">
        <v>104</v>
      </c>
      <c r="H11" s="7" t="s">
        <v>20</v>
      </c>
      <c r="I11" s="7" t="n">
        <v>680</v>
      </c>
      <c r="J11" s="7" t="n">
        <v>1.1</v>
      </c>
    </row>
    <row r="12" customFormat="false" ht="15" hidden="false" customHeight="false" outlineLevel="0" collapsed="false">
      <c r="A12" s="7" t="s">
        <v>120</v>
      </c>
      <c r="B12" s="7" t="s">
        <v>121</v>
      </c>
      <c r="C12" s="7" t="s">
        <v>122</v>
      </c>
      <c r="D12" s="7" t="n">
        <v>1</v>
      </c>
      <c r="E12" s="7" t="s">
        <v>123</v>
      </c>
      <c r="F12" s="7" t="n">
        <v>1</v>
      </c>
      <c r="G12" s="7" t="s">
        <v>124</v>
      </c>
      <c r="H12" s="7" t="s">
        <v>20</v>
      </c>
      <c r="I12" s="7" t="n">
        <v>220</v>
      </c>
      <c r="J12" s="7" t="n">
        <v>0.7</v>
      </c>
    </row>
    <row r="13" customFormat="false" ht="15" hidden="false" customHeight="false" outlineLevel="0" collapsed="false">
      <c r="A13" s="7" t="s">
        <v>120</v>
      </c>
      <c r="B13" s="7" t="s">
        <v>121</v>
      </c>
      <c r="C13" s="7" t="s">
        <v>122</v>
      </c>
      <c r="D13" s="7" t="n">
        <v>1</v>
      </c>
      <c r="E13" s="7" t="s">
        <v>125</v>
      </c>
      <c r="F13" s="7" t="n">
        <v>2</v>
      </c>
      <c r="G13" s="7" t="s">
        <v>126</v>
      </c>
      <c r="H13" s="7" t="s">
        <v>26</v>
      </c>
      <c r="I13" s="7" t="n">
        <v>220</v>
      </c>
      <c r="J13" s="7" t="n">
        <v>0.55</v>
      </c>
    </row>
    <row r="14" customFormat="false" ht="15" hidden="false" customHeight="false" outlineLevel="0" collapsed="false">
      <c r="A14" s="7" t="s">
        <v>127</v>
      </c>
      <c r="B14" s="7" t="s">
        <v>114</v>
      </c>
      <c r="C14" s="7" t="s">
        <v>128</v>
      </c>
      <c r="D14" s="7" t="n">
        <v>2</v>
      </c>
      <c r="E14" s="7" t="s">
        <v>129</v>
      </c>
      <c r="F14" s="7" t="n">
        <v>1</v>
      </c>
      <c r="G14" s="7" t="s">
        <v>104</v>
      </c>
      <c r="H14" s="7" t="s">
        <v>26</v>
      </c>
      <c r="I14" s="7" t="n">
        <v>540</v>
      </c>
      <c r="J14" s="7" t="n">
        <v>0.9</v>
      </c>
    </row>
    <row r="15" customFormat="false" ht="15" hidden="false" customHeight="false" outlineLevel="0" collapsed="false">
      <c r="A15" s="7" t="s">
        <v>127</v>
      </c>
      <c r="B15" s="7" t="s">
        <v>114</v>
      </c>
      <c r="C15" s="7" t="s">
        <v>128</v>
      </c>
      <c r="D15" s="7" t="n">
        <v>2</v>
      </c>
      <c r="E15" s="7" t="s">
        <v>130</v>
      </c>
      <c r="F15" s="7" t="n">
        <v>2</v>
      </c>
      <c r="G15" s="7" t="s">
        <v>124</v>
      </c>
      <c r="H15" s="7" t="s">
        <v>24</v>
      </c>
      <c r="I15" s="7" t="n">
        <v>540</v>
      </c>
      <c r="J15" s="7" t="n">
        <v>0.75</v>
      </c>
    </row>
    <row r="16" customFormat="false" ht="15" hidden="false" customHeight="false" outlineLevel="0" collapsed="false">
      <c r="A16" s="7" t="s">
        <v>127</v>
      </c>
      <c r="B16" s="7" t="s">
        <v>114</v>
      </c>
      <c r="C16" s="7" t="s">
        <v>128</v>
      </c>
      <c r="D16" s="7" t="n">
        <v>2</v>
      </c>
      <c r="E16" s="7" t="s">
        <v>131</v>
      </c>
      <c r="F16" s="7" t="n">
        <v>0.25</v>
      </c>
      <c r="G16" s="7" t="s">
        <v>104</v>
      </c>
      <c r="H16" s="7" t="s">
        <v>26</v>
      </c>
      <c r="I16" s="7" t="n">
        <v>540</v>
      </c>
      <c r="J16" s="7" t="n">
        <v>0.45</v>
      </c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customFormat="false" ht="15" hidden="false" customHeight="false" outlineLevel="0" collapsed="false">
      <c r="A26" s="7"/>
      <c r="B26" s="7"/>
      <c r="C26" s="7"/>
      <c r="D26" s="7"/>
      <c r="E26" s="7"/>
      <c r="F26" s="7"/>
      <c r="G26" s="7"/>
      <c r="H26" s="7"/>
      <c r="I26" s="7"/>
      <c r="J26" s="7"/>
    </row>
    <row r="27" customFormat="false" ht="15" hidden="false" customHeight="false" outlineLevel="0" collapsed="false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customFormat="false" ht="15" hidden="false" customHeight="false" outlineLevel="0" collapsed="false">
      <c r="A29" s="7"/>
      <c r="B29" s="7"/>
      <c r="C29" s="7"/>
      <c r="D29" s="7"/>
      <c r="E29" s="7"/>
      <c r="F29" s="7"/>
      <c r="G29" s="7"/>
      <c r="H29" s="7"/>
      <c r="I29" s="7"/>
      <c r="J29" s="7"/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7"/>
    </row>
    <row r="31" customFormat="false" ht="15" hidden="false" customHeight="false" outlineLevel="0" collapsed="false">
      <c r="A31" s="7"/>
      <c r="B31" s="7"/>
      <c r="C31" s="7"/>
      <c r="D31" s="7"/>
      <c r="E31" s="7"/>
      <c r="F31" s="7"/>
      <c r="G31" s="7"/>
      <c r="H31" s="7"/>
      <c r="I31" s="7"/>
      <c r="J31" s="7"/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7"/>
    </row>
    <row r="33" customFormat="false" ht="15" hidden="false" customHeight="false" outlineLevel="0" collapsed="false">
      <c r="A33" s="7"/>
      <c r="B33" s="7"/>
      <c r="C33" s="7"/>
      <c r="D33" s="7"/>
      <c r="E33" s="7"/>
      <c r="F33" s="7"/>
      <c r="G33" s="7"/>
      <c r="H33" s="7"/>
      <c r="I33" s="7"/>
      <c r="J33" s="7"/>
    </row>
    <row r="34" customFormat="false" ht="15" hidden="false" customHeight="false" outlineLevel="0" collapsed="false">
      <c r="A34" s="7"/>
      <c r="B34" s="7"/>
      <c r="C34" s="7"/>
      <c r="D34" s="7"/>
      <c r="E34" s="7"/>
      <c r="F34" s="7"/>
      <c r="G34" s="7"/>
      <c r="H34" s="7"/>
      <c r="I34" s="7"/>
      <c r="J34" s="7"/>
    </row>
    <row r="35" customFormat="false" ht="15" hidden="false" customHeight="false" outlineLevel="0" collapsed="false">
      <c r="A35" s="7"/>
      <c r="B35" s="7"/>
      <c r="C35" s="7"/>
      <c r="D35" s="7"/>
      <c r="E35" s="7"/>
      <c r="F35" s="7"/>
      <c r="G35" s="7"/>
      <c r="H35" s="7"/>
      <c r="I35" s="7"/>
      <c r="J35" s="7"/>
    </row>
    <row r="36" customFormat="false" ht="15" hidden="false" customHeight="false" outlineLevel="0" collapsed="false">
      <c r="A36" s="7"/>
      <c r="B36" s="7"/>
      <c r="C36" s="7"/>
      <c r="D36" s="7"/>
      <c r="E36" s="7"/>
      <c r="F36" s="7"/>
      <c r="G36" s="7"/>
      <c r="H36" s="7"/>
      <c r="I36" s="7"/>
      <c r="J36" s="7"/>
    </row>
    <row r="37" customFormat="false" ht="15" hidden="false" customHeight="false" outlineLevel="0" collapsed="false">
      <c r="A37" s="7"/>
      <c r="B37" s="7"/>
      <c r="C37" s="7"/>
      <c r="D37" s="7"/>
      <c r="E37" s="7"/>
      <c r="F37" s="7"/>
      <c r="G37" s="7"/>
      <c r="H37" s="7"/>
      <c r="I37" s="7"/>
      <c r="J37" s="7"/>
    </row>
    <row r="38" customFormat="false" ht="15" hidden="false" customHeight="false" outlineLevel="0" collapsed="false">
      <c r="A38" s="7"/>
      <c r="B38" s="7"/>
      <c r="C38" s="7"/>
      <c r="D38" s="7"/>
      <c r="E38" s="7"/>
      <c r="F38" s="7"/>
      <c r="G38" s="7"/>
      <c r="H38" s="7"/>
      <c r="I38" s="7"/>
      <c r="J38" s="7"/>
    </row>
    <row r="39" customFormat="false" ht="15" hidden="false" customHeight="false" outlineLevel="0" collapsed="false">
      <c r="A39" s="7"/>
      <c r="B39" s="7"/>
      <c r="C39" s="7"/>
      <c r="D39" s="7"/>
      <c r="E39" s="7"/>
      <c r="F39" s="7"/>
      <c r="G39" s="7"/>
      <c r="H39" s="7"/>
      <c r="I39" s="7"/>
      <c r="J39" s="7"/>
    </row>
    <row r="40" customFormat="false" ht="15" hidden="false" customHeight="false" outlineLevel="0" collapsed="false">
      <c r="A40" s="7"/>
      <c r="B40" s="7"/>
      <c r="C40" s="7"/>
      <c r="D40" s="7"/>
      <c r="E40" s="7"/>
      <c r="F40" s="7"/>
      <c r="G40" s="7"/>
      <c r="H40" s="7"/>
      <c r="I40" s="7"/>
      <c r="J40" s="7"/>
    </row>
    <row r="41" customFormat="false" ht="15" hidden="false" customHeight="false" outlineLevel="0" collapsed="false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customFormat="false" ht="15" hidden="false" customHeight="false" outlineLevel="0" collapsed="false">
      <c r="A42" s="7"/>
      <c r="B42" s="7"/>
      <c r="C42" s="7"/>
      <c r="D42" s="7"/>
      <c r="E42" s="7"/>
      <c r="F42" s="7"/>
      <c r="G42" s="7"/>
      <c r="H42" s="7"/>
      <c r="I42" s="7"/>
      <c r="J42" s="7"/>
    </row>
    <row r="43" customFormat="false" ht="15" hidden="false" customHeight="false" outlineLevel="0" collapsed="false">
      <c r="A43" s="7"/>
      <c r="B43" s="7"/>
      <c r="C43" s="7"/>
      <c r="D43" s="7"/>
      <c r="E43" s="7"/>
      <c r="F43" s="7"/>
      <c r="G43" s="7"/>
      <c r="H43" s="7"/>
      <c r="I43" s="7"/>
      <c r="J43" s="7"/>
    </row>
    <row r="44" customFormat="false" ht="15" hidden="false" customHeight="false" outlineLevel="0" collapsed="false">
      <c r="A44" s="7"/>
      <c r="B44" s="7"/>
      <c r="C44" s="7"/>
      <c r="D44" s="7"/>
      <c r="E44" s="7"/>
      <c r="F44" s="7"/>
      <c r="G44" s="7"/>
      <c r="H44" s="7"/>
      <c r="I44" s="7"/>
      <c r="J44" s="7"/>
    </row>
    <row r="45" customFormat="false" ht="15" hidden="false" customHeight="false" outlineLevel="0" collapsed="false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customFormat="false" ht="15" hidden="false" customHeight="false" outlineLevel="0" collapsed="false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customFormat="false" ht="15" hidden="false" customHeight="false" outlineLevel="0" collapsed="false">
      <c r="A47" s="7"/>
      <c r="B47" s="7"/>
      <c r="C47" s="7"/>
      <c r="D47" s="7"/>
      <c r="E47" s="7"/>
      <c r="F47" s="7"/>
      <c r="G47" s="7"/>
      <c r="H47" s="7"/>
      <c r="I47" s="7"/>
      <c r="J47" s="7"/>
    </row>
    <row r="48" customFormat="false" ht="15" hidden="false" customHeight="false" outlineLevel="0" collapsed="false">
      <c r="A48" s="7"/>
      <c r="B48" s="7"/>
      <c r="C48" s="7"/>
      <c r="D48" s="7"/>
      <c r="E48" s="7"/>
      <c r="F48" s="7"/>
      <c r="G48" s="7"/>
      <c r="H48" s="7"/>
      <c r="I48" s="7"/>
      <c r="J48" s="7"/>
    </row>
    <row r="49" customFormat="false" ht="15" hidden="false" customHeight="false" outlineLevel="0" collapsed="false">
      <c r="A49" s="7"/>
      <c r="B49" s="7"/>
      <c r="C49" s="7"/>
      <c r="D49" s="7"/>
      <c r="E49" s="7"/>
      <c r="F49" s="7"/>
      <c r="G49" s="7"/>
      <c r="H49" s="7"/>
      <c r="I49" s="7"/>
      <c r="J49" s="7"/>
    </row>
    <row r="50" customFormat="false" ht="15" hidden="false" customHeight="false" outlineLevel="0" collapsed="false">
      <c r="A50" s="7"/>
      <c r="B50" s="7"/>
      <c r="C50" s="7"/>
      <c r="D50" s="7"/>
      <c r="E50" s="7"/>
      <c r="F50" s="7"/>
      <c r="G50" s="7"/>
      <c r="H50" s="7"/>
      <c r="I50" s="7"/>
      <c r="J50" s="7"/>
    </row>
    <row r="51" customFormat="false" ht="15" hidden="false" customHeight="false" outlineLevel="0" collapsed="false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customFormat="false" ht="15" hidden="false" customHeight="false" outlineLevel="0" collapsed="false">
      <c r="A52" s="7"/>
      <c r="B52" s="7"/>
      <c r="C52" s="7"/>
      <c r="D52" s="7"/>
      <c r="E52" s="7"/>
      <c r="F52" s="7"/>
      <c r="G52" s="7"/>
      <c r="H52" s="7"/>
      <c r="I52" s="7"/>
      <c r="J52" s="7"/>
    </row>
    <row r="53" customFormat="false" ht="15" hidden="false" customHeight="false" outlineLevel="0" collapsed="false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customFormat="false" ht="15" hidden="false" customHeight="false" outlineLevel="0" collapsed="false">
      <c r="A54" s="7"/>
      <c r="B54" s="7"/>
      <c r="C54" s="7"/>
      <c r="D54" s="7"/>
      <c r="E54" s="7"/>
      <c r="F54" s="7"/>
      <c r="G54" s="7"/>
      <c r="H54" s="7"/>
      <c r="I54" s="7"/>
      <c r="J54" s="7"/>
    </row>
    <row r="55" customFormat="false" ht="15" hidden="false" customHeight="false" outlineLevel="0" collapsed="false">
      <c r="A55" s="7"/>
      <c r="B55" s="7"/>
      <c r="C55" s="7"/>
      <c r="D55" s="7"/>
      <c r="E55" s="7"/>
      <c r="F55" s="7"/>
      <c r="G55" s="7"/>
      <c r="H55" s="7"/>
      <c r="I55" s="7"/>
      <c r="J55" s="7"/>
    </row>
    <row r="56" customFormat="false" ht="15" hidden="false" customHeight="false" outlineLevel="0" collapsed="false">
      <c r="A56" s="7"/>
      <c r="B56" s="7"/>
      <c r="C56" s="7"/>
      <c r="D56" s="7"/>
      <c r="E56" s="7"/>
      <c r="F56" s="7"/>
      <c r="G56" s="7"/>
      <c r="H56" s="7"/>
      <c r="I56" s="7"/>
      <c r="J56" s="7"/>
    </row>
    <row r="57" customFormat="false" ht="15" hidden="false" customHeight="false" outlineLevel="0" collapsed="false">
      <c r="A57" s="7"/>
      <c r="B57" s="7"/>
      <c r="C57" s="7"/>
      <c r="D57" s="7"/>
      <c r="E57" s="7"/>
      <c r="F57" s="7"/>
      <c r="G57" s="7"/>
      <c r="H57" s="7"/>
      <c r="I57" s="7"/>
      <c r="J57" s="7"/>
    </row>
    <row r="58" customFormat="false" ht="15" hidden="false" customHeight="false" outlineLevel="0" collapsed="false">
      <c r="A58" s="7"/>
      <c r="B58" s="7"/>
      <c r="C58" s="7"/>
      <c r="D58" s="7"/>
      <c r="E58" s="7"/>
      <c r="F58" s="7"/>
      <c r="G58" s="7"/>
      <c r="H58" s="7"/>
      <c r="I58" s="7"/>
      <c r="J58" s="7"/>
    </row>
    <row r="59" customFormat="false" ht="15" hidden="false" customHeight="false" outlineLevel="0" collapsed="false">
      <c r="A59" s="7"/>
      <c r="B59" s="7"/>
      <c r="C59" s="7"/>
      <c r="D59" s="7"/>
      <c r="E59" s="7"/>
      <c r="F59" s="7"/>
      <c r="G59" s="7"/>
      <c r="H59" s="7"/>
      <c r="I59" s="7"/>
      <c r="J59" s="7"/>
    </row>
    <row r="60" customFormat="false" ht="15" hidden="false" customHeight="false" outlineLevel="0" collapsed="false">
      <c r="A60" s="7"/>
      <c r="B60" s="7"/>
      <c r="C60" s="7"/>
      <c r="D60" s="7"/>
      <c r="E60" s="7"/>
      <c r="F60" s="7"/>
      <c r="G60" s="7"/>
      <c r="H60" s="7"/>
      <c r="I60" s="7"/>
      <c r="J60" s="7"/>
    </row>
    <row r="61" customFormat="false" ht="15" hidden="false" customHeight="false" outlineLevel="0" collapsed="false">
      <c r="A61" s="7"/>
      <c r="B61" s="7"/>
      <c r="C61" s="7"/>
      <c r="D61" s="7"/>
      <c r="E61" s="7"/>
      <c r="F61" s="7"/>
      <c r="G61" s="7"/>
      <c r="H61" s="7"/>
      <c r="I61" s="7"/>
      <c r="J61" s="7"/>
    </row>
    <row r="62" customFormat="false" ht="15" hidden="false" customHeight="false" outlineLevel="0" collapsed="false">
      <c r="A62" s="7"/>
      <c r="B62" s="7"/>
      <c r="C62" s="7"/>
      <c r="D62" s="7"/>
      <c r="E62" s="7"/>
      <c r="F62" s="7"/>
      <c r="G62" s="7"/>
      <c r="H62" s="7"/>
      <c r="I62" s="7"/>
      <c r="J62" s="7"/>
    </row>
    <row r="63" customFormat="false" ht="15" hidden="false" customHeight="false" outlineLevel="0" collapsed="false">
      <c r="A63" s="7"/>
      <c r="B63" s="7"/>
      <c r="C63" s="7"/>
      <c r="D63" s="7"/>
      <c r="E63" s="7"/>
      <c r="F63" s="7"/>
      <c r="G63" s="7"/>
      <c r="H63" s="7"/>
      <c r="I63" s="7"/>
      <c r="J63" s="7"/>
    </row>
    <row r="64" customFormat="false" ht="15" hidden="false" customHeight="false" outlineLevel="0" collapsed="false">
      <c r="A64" s="7"/>
      <c r="B64" s="7"/>
      <c r="C64" s="7"/>
      <c r="D64" s="7"/>
      <c r="E64" s="7"/>
      <c r="F64" s="7"/>
      <c r="G64" s="7"/>
      <c r="H64" s="7"/>
      <c r="I64" s="7"/>
      <c r="J64" s="7"/>
    </row>
    <row r="65" customFormat="false" ht="15" hidden="false" customHeight="false" outlineLevel="0" collapsed="false">
      <c r="A65" s="7"/>
      <c r="B65" s="7"/>
      <c r="C65" s="7"/>
      <c r="D65" s="7"/>
      <c r="E65" s="7"/>
      <c r="F65" s="7"/>
      <c r="G65" s="7"/>
      <c r="H65" s="7"/>
      <c r="I65" s="7"/>
      <c r="J65" s="7"/>
    </row>
    <row r="66" customFormat="false" ht="15" hidden="false" customHeight="false" outlineLevel="0" collapsed="false">
      <c r="A66" s="7"/>
      <c r="B66" s="7"/>
      <c r="C66" s="7"/>
      <c r="D66" s="7"/>
      <c r="E66" s="7"/>
      <c r="F66" s="7"/>
      <c r="G66" s="7"/>
      <c r="H66" s="7"/>
      <c r="I66" s="7"/>
      <c r="J66" s="7"/>
    </row>
    <row r="67" customFormat="false" ht="15" hidden="false" customHeight="false" outlineLevel="0" collapsed="false">
      <c r="A67" s="7"/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false" outlineLevel="0" collapsed="false">
      <c r="A68" s="7"/>
      <c r="B68" s="7"/>
      <c r="C68" s="7"/>
      <c r="D68" s="7"/>
      <c r="E68" s="7"/>
      <c r="F68" s="7"/>
      <c r="G68" s="7"/>
      <c r="H68" s="7"/>
      <c r="I68" s="7"/>
      <c r="J68" s="7"/>
    </row>
    <row r="69" customFormat="false" ht="15" hidden="false" customHeight="false" outlineLevel="0" collapsed="false">
      <c r="A69" s="7"/>
      <c r="B69" s="7"/>
      <c r="C69" s="7"/>
      <c r="D69" s="7"/>
      <c r="E69" s="7"/>
      <c r="F69" s="7"/>
      <c r="G69" s="7"/>
      <c r="H69" s="7"/>
      <c r="I69" s="7"/>
      <c r="J69" s="7"/>
    </row>
    <row r="70" customFormat="false" ht="15" hidden="false" customHeight="fals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7"/>
    </row>
    <row r="71" customFormat="false" ht="15" hidden="false" customHeight="false" outlineLevel="0" collapsed="false">
      <c r="A71" s="7"/>
      <c r="B71" s="7"/>
      <c r="C71" s="7"/>
      <c r="D71" s="7"/>
      <c r="E71" s="7"/>
      <c r="F71" s="7"/>
      <c r="G71" s="7"/>
      <c r="H71" s="7"/>
      <c r="I71" s="7"/>
      <c r="J71" s="7"/>
    </row>
    <row r="72" customFormat="false" ht="15" hidden="false" customHeight="false" outlineLevel="0" collapsed="false">
      <c r="A72" s="7"/>
      <c r="B72" s="7"/>
      <c r="C72" s="7"/>
      <c r="D72" s="7"/>
      <c r="E72" s="7"/>
      <c r="F72" s="7"/>
      <c r="G72" s="7"/>
      <c r="H72" s="7"/>
      <c r="I72" s="7"/>
      <c r="J72" s="7"/>
    </row>
    <row r="73" customFormat="false" ht="15" hidden="false" customHeight="false" outlineLevel="0" collapsed="false">
      <c r="A73" s="7"/>
      <c r="B73" s="7"/>
      <c r="C73" s="7"/>
      <c r="D73" s="7"/>
      <c r="E73" s="7"/>
      <c r="F73" s="7"/>
      <c r="G73" s="7"/>
      <c r="H73" s="7"/>
      <c r="I73" s="7"/>
      <c r="J73" s="7"/>
    </row>
    <row r="74" customFormat="false" ht="15" hidden="false" customHeight="false" outlineLevel="0" collapsed="false">
      <c r="A74" s="7"/>
      <c r="B74" s="7"/>
      <c r="C74" s="7"/>
      <c r="D74" s="7"/>
      <c r="E74" s="7"/>
      <c r="F74" s="7"/>
      <c r="G74" s="7"/>
      <c r="H74" s="7"/>
      <c r="I74" s="7"/>
      <c r="J74" s="7"/>
    </row>
    <row r="75" customFormat="false" ht="15" hidden="false" customHeight="false" outlineLevel="0" collapsed="false">
      <c r="A75" s="7"/>
      <c r="B75" s="7"/>
      <c r="C75" s="7"/>
      <c r="D75" s="7"/>
      <c r="E75" s="7"/>
      <c r="F75" s="7"/>
      <c r="G75" s="7"/>
      <c r="H75" s="7"/>
      <c r="I75" s="7"/>
      <c r="J75" s="7"/>
    </row>
    <row r="76" customFormat="false" ht="15" hidden="false" customHeight="false" outlineLevel="0" collapsed="false">
      <c r="A76" s="7"/>
      <c r="B76" s="7"/>
      <c r="C76" s="7"/>
      <c r="D76" s="7"/>
      <c r="E76" s="7"/>
      <c r="F76" s="7"/>
      <c r="G76" s="7"/>
      <c r="H76" s="7"/>
      <c r="I76" s="7"/>
      <c r="J76" s="7"/>
    </row>
    <row r="77" customFormat="false" ht="15" hidden="false" customHeight="false" outlineLevel="0" collapsed="false">
      <c r="A77" s="7"/>
      <c r="B77" s="7"/>
      <c r="C77" s="7"/>
      <c r="D77" s="7"/>
      <c r="E77" s="7"/>
      <c r="F77" s="7"/>
      <c r="G77" s="7"/>
      <c r="H77" s="7"/>
      <c r="I77" s="7"/>
      <c r="J77" s="7"/>
    </row>
    <row r="78" customFormat="false" ht="15" hidden="false" customHeight="false" outlineLevel="0" collapsed="false">
      <c r="A78" s="7"/>
      <c r="B78" s="7"/>
      <c r="C78" s="7"/>
      <c r="D78" s="7"/>
      <c r="E78" s="7"/>
      <c r="F78" s="7"/>
      <c r="G78" s="7"/>
      <c r="H78" s="7"/>
      <c r="I78" s="7"/>
      <c r="J78" s="7"/>
    </row>
    <row r="79" customFormat="false" ht="15" hidden="false" customHeight="false" outlineLevel="0" collapsed="false">
      <c r="A79" s="7"/>
      <c r="B79" s="7"/>
      <c r="C79" s="7"/>
      <c r="D79" s="7"/>
      <c r="E79" s="7"/>
      <c r="F79" s="7"/>
      <c r="G79" s="7"/>
      <c r="H79" s="7"/>
      <c r="I79" s="7"/>
      <c r="J79" s="7"/>
    </row>
    <row r="80" customFormat="false" ht="15" hidden="false" customHeight="false" outlineLevel="0" collapsed="false">
      <c r="A80" s="7"/>
      <c r="B80" s="7"/>
      <c r="C80" s="7"/>
      <c r="D80" s="7"/>
      <c r="E80" s="7"/>
      <c r="F80" s="7"/>
      <c r="G80" s="7"/>
      <c r="H80" s="7"/>
      <c r="I80" s="7"/>
      <c r="J80" s="7"/>
    </row>
    <row r="81" customFormat="false" ht="15" hidden="false" customHeight="false" outlineLevel="0" collapsed="false">
      <c r="A81" s="7"/>
      <c r="B81" s="7"/>
      <c r="C81" s="7"/>
      <c r="D81" s="7"/>
      <c r="E81" s="7"/>
      <c r="F81" s="7"/>
      <c r="G81" s="7"/>
      <c r="H81" s="7"/>
      <c r="I81" s="7"/>
      <c r="J81" s="7"/>
    </row>
    <row r="82" customFormat="false" ht="15" hidden="false" customHeight="false" outlineLevel="0" collapsed="false">
      <c r="A82" s="7"/>
      <c r="B82" s="7"/>
      <c r="C82" s="7"/>
      <c r="D82" s="7"/>
      <c r="E82" s="7"/>
      <c r="F82" s="7"/>
      <c r="G82" s="7"/>
      <c r="H82" s="7"/>
      <c r="I82" s="7"/>
      <c r="J82" s="7"/>
    </row>
    <row r="83" customFormat="false" ht="15" hidden="false" customHeight="false" outlineLevel="0" collapsed="false">
      <c r="A83" s="7"/>
      <c r="B83" s="7"/>
      <c r="C83" s="7"/>
      <c r="D83" s="7"/>
      <c r="E83" s="7"/>
      <c r="F83" s="7"/>
      <c r="G83" s="7"/>
      <c r="H83" s="7"/>
      <c r="I83" s="7"/>
      <c r="J83" s="7"/>
    </row>
    <row r="84" customFormat="false" ht="15" hidden="false" customHeight="false" outlineLevel="0" collapsed="false">
      <c r="A84" s="7"/>
      <c r="B84" s="7"/>
      <c r="C84" s="7"/>
      <c r="D84" s="7"/>
      <c r="E84" s="7"/>
      <c r="F84" s="7"/>
      <c r="G84" s="7"/>
      <c r="H84" s="7"/>
      <c r="I84" s="7"/>
      <c r="J84" s="7"/>
    </row>
    <row r="85" customFormat="false" ht="15" hidden="false" customHeight="false" outlineLevel="0" collapsed="false">
      <c r="A85" s="7"/>
      <c r="B85" s="7"/>
      <c r="C85" s="7"/>
      <c r="D85" s="7"/>
      <c r="E85" s="7"/>
      <c r="F85" s="7"/>
      <c r="G85" s="7"/>
      <c r="H85" s="7"/>
      <c r="I85" s="7"/>
      <c r="J85" s="7"/>
    </row>
    <row r="86" customFormat="false" ht="15" hidden="false" customHeight="false" outlineLevel="0" collapsed="false">
      <c r="A86" s="7"/>
      <c r="B86" s="7"/>
      <c r="C86" s="7"/>
      <c r="D86" s="7"/>
      <c r="E86" s="7"/>
      <c r="F86" s="7"/>
      <c r="G86" s="7"/>
      <c r="H86" s="7"/>
      <c r="I86" s="7"/>
      <c r="J86" s="7"/>
    </row>
    <row r="87" customFormat="false" ht="15" hidden="false" customHeight="false" outlineLevel="0" collapsed="false">
      <c r="A87" s="7"/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false" outlineLevel="0" collapsed="false">
      <c r="A88" s="7"/>
      <c r="B88" s="7"/>
      <c r="C88" s="7"/>
      <c r="D88" s="7"/>
      <c r="E88" s="7"/>
      <c r="F88" s="7"/>
      <c r="G88" s="7"/>
      <c r="H88" s="7"/>
      <c r="I88" s="7"/>
      <c r="J88" s="7"/>
    </row>
    <row r="89" customFormat="false" ht="15" hidden="false" customHeight="false" outlineLevel="0" collapsed="false">
      <c r="A89" s="7"/>
      <c r="B89" s="7"/>
      <c r="C89" s="7"/>
      <c r="D89" s="7"/>
      <c r="E89" s="7"/>
      <c r="F89" s="7"/>
      <c r="G89" s="7"/>
      <c r="H89" s="7"/>
      <c r="I89" s="7"/>
      <c r="J89" s="7"/>
    </row>
    <row r="90" customFormat="false" ht="15" hidden="false" customHeight="false" outlineLevel="0" collapsed="false">
      <c r="A90" s="7"/>
      <c r="B90" s="7"/>
      <c r="C90" s="7"/>
      <c r="D90" s="7"/>
      <c r="E90" s="7"/>
      <c r="F90" s="7"/>
      <c r="G90" s="7"/>
      <c r="H90" s="7"/>
      <c r="I90" s="7"/>
      <c r="J90" s="7"/>
    </row>
    <row r="91" customFormat="false" ht="15" hidden="false" customHeight="false" outlineLevel="0" collapsed="false">
      <c r="A91" s="7"/>
      <c r="B91" s="7"/>
      <c r="C91" s="7"/>
      <c r="D91" s="7"/>
      <c r="E91" s="7"/>
      <c r="F91" s="7"/>
      <c r="G91" s="7"/>
      <c r="H91" s="7"/>
      <c r="I91" s="7"/>
      <c r="J91" s="7"/>
    </row>
    <row r="92" customFormat="false" ht="15" hidden="false" customHeight="false" outlineLevel="0" collapsed="false">
      <c r="A92" s="7"/>
      <c r="B92" s="7"/>
      <c r="C92" s="7"/>
      <c r="D92" s="7"/>
      <c r="E92" s="7"/>
      <c r="F92" s="7"/>
      <c r="G92" s="7"/>
      <c r="H92" s="7"/>
      <c r="I92" s="7"/>
      <c r="J92" s="7"/>
    </row>
    <row r="93" customFormat="false" ht="15" hidden="false" customHeight="false" outlineLevel="0" collapsed="false">
      <c r="A93" s="7"/>
      <c r="B93" s="7"/>
      <c r="C93" s="7"/>
      <c r="D93" s="7"/>
      <c r="E93" s="7"/>
      <c r="F93" s="7"/>
      <c r="G93" s="7"/>
      <c r="H93" s="7"/>
      <c r="I93" s="7"/>
      <c r="J93" s="7"/>
    </row>
    <row r="94" customFormat="false" ht="15" hidden="false" customHeight="false" outlineLevel="0" collapsed="false">
      <c r="A94" s="7"/>
      <c r="B94" s="7"/>
      <c r="C94" s="7"/>
      <c r="D94" s="7"/>
      <c r="E94" s="7"/>
      <c r="F94" s="7"/>
      <c r="G94" s="7"/>
      <c r="H94" s="7"/>
      <c r="I94" s="7"/>
      <c r="J94" s="7"/>
    </row>
    <row r="95" customFormat="false" ht="15" hidden="false" customHeight="false" outlineLevel="0" collapsed="false">
      <c r="A95" s="7"/>
      <c r="B95" s="7"/>
      <c r="C95" s="7"/>
      <c r="D95" s="7"/>
      <c r="E95" s="7"/>
      <c r="F95" s="7"/>
      <c r="G95" s="7"/>
      <c r="H95" s="7"/>
      <c r="I95" s="7"/>
      <c r="J95" s="7"/>
    </row>
    <row r="96" customFormat="false" ht="15" hidden="false" customHeight="false" outlineLevel="0" collapsed="false">
      <c r="A96" s="7"/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false" outlineLevel="0" collapsed="false">
      <c r="A97" s="7"/>
      <c r="B97" s="7"/>
      <c r="C97" s="7"/>
      <c r="D97" s="7"/>
      <c r="E97" s="7"/>
      <c r="F97" s="7"/>
      <c r="G97" s="7"/>
      <c r="H97" s="7"/>
      <c r="I97" s="7"/>
      <c r="J97" s="7"/>
    </row>
    <row r="98" customFormat="false" ht="15" hidden="false" customHeight="false" outlineLevel="0" collapsed="false">
      <c r="A98" s="7"/>
      <c r="B98" s="7"/>
      <c r="C98" s="7"/>
      <c r="D98" s="7"/>
      <c r="E98" s="7"/>
      <c r="F98" s="7"/>
      <c r="G98" s="7"/>
      <c r="H98" s="7"/>
      <c r="I98" s="7"/>
      <c r="J98" s="7"/>
    </row>
    <row r="99" customFormat="false" ht="15" hidden="false" customHeight="false" outlineLevel="0" collapsed="false">
      <c r="A99" s="7"/>
      <c r="B99" s="7"/>
      <c r="C99" s="7"/>
      <c r="D99" s="7"/>
      <c r="E99" s="7"/>
      <c r="F99" s="7"/>
      <c r="G99" s="7"/>
      <c r="H99" s="7"/>
      <c r="I99" s="7"/>
      <c r="J99" s="7"/>
    </row>
    <row r="100" customFormat="false" ht="15" hidden="false" customHeight="false" outlineLevel="0" collapsed="false">
      <c r="A100" s="7"/>
      <c r="B100" s="7"/>
      <c r="C100" s="7"/>
      <c r="D100" s="7"/>
      <c r="E100" s="7"/>
      <c r="F100" s="7"/>
      <c r="G100" s="7"/>
      <c r="H100" s="7"/>
      <c r="I100" s="7"/>
      <c r="J100" s="7"/>
    </row>
    <row r="101" customFormat="false" ht="15" hidden="false" customHeight="false" outlineLevel="0" collapsed="false">
      <c r="A101" s="7"/>
      <c r="B101" s="7"/>
      <c r="C101" s="7"/>
      <c r="D101" s="7"/>
      <c r="E101" s="7"/>
      <c r="F101" s="7"/>
      <c r="G101" s="7"/>
      <c r="H101" s="7"/>
      <c r="I101" s="7"/>
      <c r="J101" s="7"/>
    </row>
    <row r="102" customFormat="false" ht="15" hidden="false" customHeight="false" outlineLevel="0" collapsed="false">
      <c r="A102" s="7"/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15" hidden="false" customHeight="false" outlineLevel="0" collapsed="false">
      <c r="A103" s="7"/>
      <c r="B103" s="7"/>
      <c r="C103" s="7"/>
      <c r="D103" s="7"/>
      <c r="E103" s="7"/>
      <c r="F103" s="7"/>
      <c r="G103" s="7"/>
      <c r="H103" s="7"/>
      <c r="I103" s="7"/>
      <c r="J103" s="7"/>
    </row>
    <row r="104" customFormat="false" ht="15" hidden="false" customHeight="false" outlineLevel="0" collapsed="false">
      <c r="A104" s="7"/>
      <c r="B104" s="7"/>
      <c r="C104" s="7"/>
      <c r="D104" s="7"/>
      <c r="E104" s="7"/>
      <c r="F104" s="7"/>
      <c r="G104" s="7"/>
      <c r="H104" s="7"/>
      <c r="I104" s="7"/>
      <c r="J104" s="7"/>
    </row>
    <row r="105" customFormat="false" ht="15" hidden="false" customHeight="false" outlineLevel="0" collapsed="false">
      <c r="A105" s="8"/>
      <c r="B105" s="8"/>
      <c r="C105" s="8"/>
      <c r="D105" s="8"/>
      <c r="E105" s="8"/>
      <c r="F105" s="8"/>
      <c r="G105" s="8"/>
      <c r="H105" s="8"/>
      <c r="I105" s="8"/>
      <c r="J105" s="8"/>
    </row>
  </sheetData>
  <sheetProtection sheet="true" password="cac9"/>
  <mergeCells count="3">
    <mergeCell ref="A1:J1"/>
    <mergeCell ref="A2:J2"/>
    <mergeCell ref="A3:J3"/>
  </mergeCells>
  <printOptions headings="false" gridLines="false" gridLinesSet="true" horizontalCentered="false" verticalCentered="false"/>
  <pageMargins left="0.25" right="0.25" top="0.25" bottom="0.2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24"/>
  </cols>
  <sheetData>
    <row r="1" customFormat="false" ht="30" hidden="false" customHeight="true" outlineLevel="0" collapsed="false">
      <c r="A1" s="1" t="s">
        <v>26</v>
      </c>
      <c r="B1" s="1"/>
      <c r="C1" s="1"/>
      <c r="D1" s="1"/>
      <c r="E1" s="1"/>
      <c r="F1" s="1"/>
      <c r="G1" s="1"/>
      <c r="H1" s="1"/>
    </row>
    <row r="2" customFormat="false" ht="42" hidden="false" customHeight="true" outlineLevel="0" collapsed="false">
      <c r="A2" s="2" t="s">
        <v>132</v>
      </c>
      <c r="B2" s="2"/>
      <c r="C2" s="2"/>
      <c r="D2" s="2"/>
      <c r="E2" s="2"/>
      <c r="F2" s="2"/>
      <c r="G2" s="2"/>
      <c r="H2" s="2"/>
    </row>
    <row r="3" customFormat="false" ht="42" hidden="false" customHeight="true" outlineLevel="0" collapsed="false">
      <c r="A3" s="3" t="s">
        <v>133</v>
      </c>
      <c r="B3" s="3"/>
      <c r="C3" s="3"/>
      <c r="D3" s="3"/>
      <c r="E3" s="3"/>
      <c r="F3" s="3"/>
      <c r="G3" s="3"/>
      <c r="H3" s="3"/>
    </row>
    <row r="4" customFormat="false" ht="34.3" hidden="false" customHeight="false" outlineLevel="0" collapsed="false">
      <c r="A4" s="4" t="s">
        <v>134</v>
      </c>
      <c r="B4" s="4" t="s">
        <v>17</v>
      </c>
      <c r="C4" s="4" t="s">
        <v>135</v>
      </c>
      <c r="D4" s="4" t="s">
        <v>97</v>
      </c>
      <c r="E4" s="4" t="s">
        <v>136</v>
      </c>
      <c r="F4" s="4" t="s">
        <v>99</v>
      </c>
      <c r="G4" s="4" t="s">
        <v>137</v>
      </c>
      <c r="H4" s="4" t="s">
        <v>138</v>
      </c>
    </row>
    <row r="5" customFormat="false" ht="15" hidden="false" customHeight="false" outlineLevel="0" collapsed="false">
      <c r="A5" s="5" t="s">
        <v>118</v>
      </c>
      <c r="B5" s="5" t="s">
        <v>26</v>
      </c>
      <c r="C5" s="5" t="n">
        <v>2</v>
      </c>
      <c r="D5" s="5" t="s">
        <v>104</v>
      </c>
      <c r="E5" s="5" t="n">
        <v>1</v>
      </c>
      <c r="F5" s="5" t="n">
        <v>0.6</v>
      </c>
      <c r="G5" s="6" t="str">
        <f aca="false">IF(C6&lt;=E6,"yes","")</f>
        <v>yes</v>
      </c>
      <c r="H5" s="5" t="s">
        <v>139</v>
      </c>
    </row>
    <row r="6" customFormat="false" ht="15" hidden="false" customHeight="false" outlineLevel="0" collapsed="false">
      <c r="A6" s="7" t="s">
        <v>129</v>
      </c>
      <c r="B6" s="7" t="s">
        <v>26</v>
      </c>
      <c r="C6" s="7" t="n">
        <v>1</v>
      </c>
      <c r="D6" s="7" t="s">
        <v>104</v>
      </c>
      <c r="E6" s="7" t="n">
        <v>1</v>
      </c>
      <c r="F6" s="7" t="n">
        <v>0.9</v>
      </c>
      <c r="G6" s="6" t="str">
        <f aca="false">IF(C7&lt;=E7,"yes","")</f>
        <v>yes</v>
      </c>
      <c r="H6" s="7" t="s">
        <v>139</v>
      </c>
    </row>
    <row r="7" customFormat="false" ht="15" hidden="false" customHeight="false" outlineLevel="0" collapsed="false">
      <c r="A7" s="7" t="s">
        <v>103</v>
      </c>
      <c r="B7" s="7" t="s">
        <v>22</v>
      </c>
      <c r="C7" s="7" t="n">
        <v>1</v>
      </c>
      <c r="D7" s="7" t="s">
        <v>104</v>
      </c>
      <c r="E7" s="7" t="n">
        <v>1</v>
      </c>
      <c r="F7" s="7" t="n">
        <v>2.4</v>
      </c>
      <c r="G7" s="6" t="str">
        <f aca="false">IF(C8&lt;=E8,"yes","")</f>
        <v>yes</v>
      </c>
      <c r="H7" s="7" t="s">
        <v>139</v>
      </c>
    </row>
    <row r="8" customFormat="false" ht="15" hidden="false" customHeight="false" outlineLevel="0" collapsed="false">
      <c r="A8" s="7" t="s">
        <v>119</v>
      </c>
      <c r="B8" s="7" t="s">
        <v>20</v>
      </c>
      <c r="C8" s="7" t="n">
        <v>0</v>
      </c>
      <c r="D8" s="7" t="s">
        <v>104</v>
      </c>
      <c r="E8" s="7" t="n">
        <v>1</v>
      </c>
      <c r="F8" s="7" t="n">
        <v>1.1</v>
      </c>
      <c r="G8" s="6" t="str">
        <f aca="false">IF(C9&lt;=E9,"yes","")</f>
        <v/>
      </c>
      <c r="H8" s="7" t="s">
        <v>139</v>
      </c>
    </row>
    <row r="9" customFormat="false" ht="15" hidden="false" customHeight="false" outlineLevel="0" collapsed="false">
      <c r="A9" s="7" t="s">
        <v>123</v>
      </c>
      <c r="B9" s="7" t="s">
        <v>20</v>
      </c>
      <c r="C9" s="7" t="n">
        <v>4</v>
      </c>
      <c r="D9" s="7" t="s">
        <v>124</v>
      </c>
      <c r="E9" s="7" t="n">
        <v>2</v>
      </c>
      <c r="F9" s="7" t="n">
        <v>0.7</v>
      </c>
      <c r="G9" s="6" t="str">
        <f aca="false">IF(C10&lt;=E10,"yes","")</f>
        <v>yes</v>
      </c>
      <c r="H9" s="7" t="s">
        <v>139</v>
      </c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6" t="str">
        <f aca="false">IF(AND(A11&lt;&gt;"",C11&lt;=E11),"yes","")</f>
        <v/>
      </c>
      <c r="H10" s="7"/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6" t="str">
        <f aca="false">IF(AND(A12&lt;&gt;"",C12&lt;=E12),"yes","")</f>
        <v/>
      </c>
      <c r="H11" s="7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6" t="str">
        <f aca="false">IF(AND(A13&lt;&gt;"",C13&lt;=E13),"yes","")</f>
        <v/>
      </c>
      <c r="H12" s="7"/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6" t="str">
        <f aca="false">IF(AND(A14&lt;&gt;"",C14&lt;=E14),"yes","")</f>
        <v/>
      </c>
      <c r="H13" s="7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6" t="str">
        <f aca="false">IF(AND(A15&lt;&gt;"",C15&lt;=E15),"yes","")</f>
        <v/>
      </c>
      <c r="H14" s="7"/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6" t="str">
        <f aca="false">IF(AND(A16&lt;&gt;"",C16&lt;=E16),"yes","")</f>
        <v/>
      </c>
      <c r="H15" s="7"/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6" t="str">
        <f aca="false">IF(AND(A17&lt;&gt;"",C17&lt;=E17),"yes","")</f>
        <v/>
      </c>
      <c r="H16" s="7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6" t="str">
        <f aca="false">IF(AND(A18&lt;&gt;"",C18&lt;=E18),"yes","")</f>
        <v/>
      </c>
      <c r="H17" s="7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6" t="str">
        <f aca="false">IF(AND(A19&lt;&gt;"",C19&lt;=E19),"yes","")</f>
        <v/>
      </c>
      <c r="H18" s="7"/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6" t="str">
        <f aca="false">IF(AND(A20&lt;&gt;"",C20&lt;=E20),"yes","")</f>
        <v/>
      </c>
      <c r="H19" s="7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6" t="str">
        <f aca="false">IF(AND(A21&lt;&gt;"",C21&lt;=E21),"yes","")</f>
        <v/>
      </c>
      <c r="H20" s="7"/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  <c r="G21" s="6" t="str">
        <f aca="false">IF(AND(A22&lt;&gt;"",C22&lt;=E22),"yes","")</f>
        <v/>
      </c>
      <c r="H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6" t="str">
        <f aca="false">IF(AND(A23&lt;&gt;"",C23&lt;=E23),"yes","")</f>
        <v/>
      </c>
      <c r="H22" s="7"/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6" t="str">
        <f aca="false">IF(AND(A24&lt;&gt;"",C24&lt;=E24),"yes","")</f>
        <v/>
      </c>
      <c r="H23" s="7"/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6" t="str">
        <f aca="false">IF(AND(A25&lt;&gt;"",C25&lt;=E25),"yes","")</f>
        <v/>
      </c>
      <c r="H24" s="7"/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  <c r="G25" s="6" t="str">
        <f aca="false">IF(AND(A26&lt;&gt;"",C26&lt;=E26),"yes","")</f>
        <v/>
      </c>
      <c r="H25" s="7"/>
    </row>
    <row r="26" customFormat="false" ht="15" hidden="false" customHeight="false" outlineLevel="0" collapsed="false">
      <c r="A26" s="7"/>
      <c r="B26" s="7"/>
      <c r="C26" s="7"/>
      <c r="D26" s="7"/>
      <c r="E26" s="7"/>
      <c r="F26" s="7"/>
      <c r="G26" s="6" t="str">
        <f aca="false">IF(AND(A27&lt;&gt;"",C27&lt;=E27),"yes","")</f>
        <v/>
      </c>
      <c r="H26" s="7"/>
    </row>
    <row r="27" customFormat="false" ht="15" hidden="false" customHeight="false" outlineLevel="0" collapsed="false">
      <c r="A27" s="7"/>
      <c r="B27" s="7"/>
      <c r="C27" s="7"/>
      <c r="D27" s="7"/>
      <c r="E27" s="7"/>
      <c r="F27" s="7"/>
      <c r="G27" s="6" t="str">
        <f aca="false">IF(AND(A28&lt;&gt;"",C28&lt;=E28),"yes","")</f>
        <v/>
      </c>
      <c r="H27" s="7"/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6" t="str">
        <f aca="false">IF(AND(A29&lt;&gt;"",C29&lt;=E29),"yes","")</f>
        <v/>
      </c>
      <c r="H28" s="7"/>
    </row>
    <row r="29" customFormat="false" ht="15" hidden="false" customHeight="false" outlineLevel="0" collapsed="false">
      <c r="A29" s="7"/>
      <c r="B29" s="7"/>
      <c r="C29" s="7"/>
      <c r="D29" s="7"/>
      <c r="E29" s="7"/>
      <c r="F29" s="7"/>
      <c r="G29" s="6" t="str">
        <f aca="false">IF(AND(A30&lt;&gt;"",C30&lt;=E30),"yes","")</f>
        <v/>
      </c>
      <c r="H29" s="7"/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6" t="str">
        <f aca="false">IF(AND(A31&lt;&gt;"",C31&lt;=E31),"yes","")</f>
        <v/>
      </c>
      <c r="H30" s="7"/>
    </row>
    <row r="31" customFormat="false" ht="15" hidden="false" customHeight="false" outlineLevel="0" collapsed="false">
      <c r="A31" s="7"/>
      <c r="B31" s="7"/>
      <c r="C31" s="7"/>
      <c r="D31" s="7"/>
      <c r="E31" s="7"/>
      <c r="F31" s="7"/>
      <c r="G31" s="6" t="str">
        <f aca="false">IF(AND(A32&lt;&gt;"",C32&lt;=E32),"yes","")</f>
        <v/>
      </c>
      <c r="H31" s="7"/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  <c r="G32" s="6" t="str">
        <f aca="false">IF(AND(A33&lt;&gt;"",C33&lt;=E33),"yes","")</f>
        <v/>
      </c>
      <c r="H32" s="7"/>
    </row>
    <row r="33" customFormat="false" ht="15" hidden="false" customHeight="false" outlineLevel="0" collapsed="false">
      <c r="A33" s="7"/>
      <c r="B33" s="7"/>
      <c r="C33" s="7"/>
      <c r="D33" s="7"/>
      <c r="E33" s="7"/>
      <c r="F33" s="7"/>
      <c r="G33" s="6" t="str">
        <f aca="false">IF(AND(A34&lt;&gt;"",C34&lt;=E34),"yes","")</f>
        <v/>
      </c>
      <c r="H33" s="7"/>
    </row>
    <row r="34" customFormat="false" ht="15" hidden="false" customHeight="false" outlineLevel="0" collapsed="false">
      <c r="A34" s="7"/>
      <c r="B34" s="7"/>
      <c r="C34" s="7"/>
      <c r="D34" s="7"/>
      <c r="E34" s="7"/>
      <c r="F34" s="7"/>
      <c r="G34" s="6" t="str">
        <f aca="false">IF(AND(A35&lt;&gt;"",C35&lt;=E35),"yes","")</f>
        <v/>
      </c>
      <c r="H34" s="7"/>
    </row>
    <row r="35" customFormat="false" ht="15" hidden="false" customHeight="false" outlineLevel="0" collapsed="false">
      <c r="A35" s="7"/>
      <c r="B35" s="7"/>
      <c r="C35" s="7"/>
      <c r="D35" s="7"/>
      <c r="E35" s="7"/>
      <c r="F35" s="7"/>
      <c r="G35" s="6" t="str">
        <f aca="false">IF(AND(A36&lt;&gt;"",C36&lt;=E36),"yes","")</f>
        <v/>
      </c>
      <c r="H35" s="7"/>
    </row>
    <row r="36" customFormat="false" ht="15" hidden="false" customHeight="false" outlineLevel="0" collapsed="false">
      <c r="A36" s="7"/>
      <c r="B36" s="7"/>
      <c r="C36" s="7"/>
      <c r="D36" s="7"/>
      <c r="E36" s="7"/>
      <c r="F36" s="7"/>
      <c r="G36" s="6" t="str">
        <f aca="false">IF(AND(A37&lt;&gt;"",C37&lt;=E37),"yes","")</f>
        <v/>
      </c>
      <c r="H36" s="7"/>
    </row>
    <row r="37" customFormat="false" ht="15" hidden="false" customHeight="false" outlineLevel="0" collapsed="false">
      <c r="A37" s="7"/>
      <c r="B37" s="7"/>
      <c r="C37" s="7"/>
      <c r="D37" s="7"/>
      <c r="E37" s="7"/>
      <c r="F37" s="7"/>
      <c r="G37" s="6" t="str">
        <f aca="false">IF(AND(A38&lt;&gt;"",C38&lt;=E38),"yes","")</f>
        <v/>
      </c>
      <c r="H37" s="7"/>
    </row>
    <row r="38" customFormat="false" ht="15" hidden="false" customHeight="false" outlineLevel="0" collapsed="false">
      <c r="A38" s="7"/>
      <c r="B38" s="7"/>
      <c r="C38" s="7"/>
      <c r="D38" s="7"/>
      <c r="E38" s="7"/>
      <c r="F38" s="7"/>
      <c r="G38" s="6" t="str">
        <f aca="false">IF(AND(A39&lt;&gt;"",C39&lt;=E39),"yes","")</f>
        <v/>
      </c>
      <c r="H38" s="7"/>
    </row>
    <row r="39" customFormat="false" ht="15" hidden="false" customHeight="false" outlineLevel="0" collapsed="false">
      <c r="A39" s="7"/>
      <c r="B39" s="7"/>
      <c r="C39" s="7"/>
      <c r="D39" s="7"/>
      <c r="E39" s="7"/>
      <c r="F39" s="7"/>
      <c r="G39" s="6" t="str">
        <f aca="false">IF(AND(A40&lt;&gt;"",C40&lt;=E40),"yes","")</f>
        <v/>
      </c>
      <c r="H39" s="7"/>
    </row>
    <row r="40" customFormat="false" ht="15" hidden="false" customHeight="false" outlineLevel="0" collapsed="false">
      <c r="A40" s="7"/>
      <c r="B40" s="7"/>
      <c r="C40" s="7"/>
      <c r="D40" s="7"/>
      <c r="E40" s="7"/>
      <c r="F40" s="7"/>
      <c r="G40" s="6" t="str">
        <f aca="false">IF(AND(A41&lt;&gt;"",C41&lt;=E41),"yes","")</f>
        <v/>
      </c>
      <c r="H40" s="7"/>
    </row>
    <row r="41" customFormat="false" ht="15" hidden="false" customHeight="false" outlineLevel="0" collapsed="false">
      <c r="A41" s="7"/>
      <c r="B41" s="7"/>
      <c r="C41" s="7"/>
      <c r="D41" s="7"/>
      <c r="E41" s="7"/>
      <c r="F41" s="7"/>
      <c r="G41" s="6" t="str">
        <f aca="false">IF(AND(A42&lt;&gt;"",C42&lt;=E42),"yes","")</f>
        <v/>
      </c>
      <c r="H41" s="7"/>
    </row>
    <row r="42" customFormat="false" ht="15" hidden="false" customHeight="false" outlineLevel="0" collapsed="false">
      <c r="A42" s="7"/>
      <c r="B42" s="7"/>
      <c r="C42" s="7"/>
      <c r="D42" s="7"/>
      <c r="E42" s="7"/>
      <c r="F42" s="7"/>
      <c r="G42" s="6" t="str">
        <f aca="false">IF(AND(A43&lt;&gt;"",C43&lt;=E43),"yes","")</f>
        <v/>
      </c>
      <c r="H42" s="7"/>
    </row>
    <row r="43" customFormat="false" ht="15" hidden="false" customHeight="false" outlineLevel="0" collapsed="false">
      <c r="A43" s="7"/>
      <c r="B43" s="7"/>
      <c r="C43" s="7"/>
      <c r="D43" s="7"/>
      <c r="E43" s="7"/>
      <c r="F43" s="7"/>
      <c r="G43" s="6" t="str">
        <f aca="false">IF(AND(A44&lt;&gt;"",C44&lt;=E44),"yes","")</f>
        <v/>
      </c>
      <c r="H43" s="7"/>
    </row>
    <row r="44" customFormat="false" ht="15" hidden="false" customHeight="false" outlineLevel="0" collapsed="false">
      <c r="A44" s="7"/>
      <c r="B44" s="7"/>
      <c r="C44" s="7"/>
      <c r="D44" s="7"/>
      <c r="E44" s="7"/>
      <c r="F44" s="7"/>
      <c r="G44" s="6" t="str">
        <f aca="false">IF(AND(A45&lt;&gt;"",C45&lt;=E45),"yes","")</f>
        <v/>
      </c>
      <c r="H44" s="7"/>
    </row>
    <row r="45" customFormat="false" ht="15" hidden="false" customHeight="false" outlineLevel="0" collapsed="false">
      <c r="A45" s="7"/>
      <c r="B45" s="7"/>
      <c r="C45" s="7"/>
      <c r="D45" s="7"/>
      <c r="E45" s="7"/>
      <c r="F45" s="7"/>
      <c r="G45" s="6" t="str">
        <f aca="false">IF(AND(A46&lt;&gt;"",C46&lt;=E46),"yes","")</f>
        <v/>
      </c>
      <c r="H45" s="7"/>
    </row>
    <row r="46" customFormat="false" ht="15" hidden="false" customHeight="false" outlineLevel="0" collapsed="false">
      <c r="A46" s="7"/>
      <c r="B46" s="7"/>
      <c r="C46" s="7"/>
      <c r="D46" s="7"/>
      <c r="E46" s="7"/>
      <c r="F46" s="7"/>
      <c r="G46" s="6" t="str">
        <f aca="false">IF(AND(A47&lt;&gt;"",C47&lt;=E47),"yes","")</f>
        <v/>
      </c>
      <c r="H46" s="7"/>
    </row>
    <row r="47" customFormat="false" ht="15" hidden="false" customHeight="false" outlineLevel="0" collapsed="false">
      <c r="A47" s="7"/>
      <c r="B47" s="7"/>
      <c r="C47" s="7"/>
      <c r="D47" s="7"/>
      <c r="E47" s="7"/>
      <c r="F47" s="7"/>
      <c r="G47" s="6" t="str">
        <f aca="false">IF(AND(A48&lt;&gt;"",C48&lt;=E48),"yes","")</f>
        <v/>
      </c>
      <c r="H47" s="7"/>
    </row>
    <row r="48" customFormat="false" ht="15" hidden="false" customHeight="false" outlineLevel="0" collapsed="false">
      <c r="A48" s="7"/>
      <c r="B48" s="7"/>
      <c r="C48" s="7"/>
      <c r="D48" s="7"/>
      <c r="E48" s="7"/>
      <c r="F48" s="7"/>
      <c r="G48" s="6" t="str">
        <f aca="false">IF(AND(A49&lt;&gt;"",C49&lt;=E49),"yes","")</f>
        <v/>
      </c>
      <c r="H48" s="7"/>
    </row>
    <row r="49" customFormat="false" ht="15" hidden="false" customHeight="false" outlineLevel="0" collapsed="false">
      <c r="A49" s="7"/>
      <c r="B49" s="7"/>
      <c r="C49" s="7"/>
      <c r="D49" s="7"/>
      <c r="E49" s="7"/>
      <c r="F49" s="7"/>
      <c r="G49" s="6" t="str">
        <f aca="false">IF(AND(A50&lt;&gt;"",C50&lt;=E50),"yes","")</f>
        <v/>
      </c>
      <c r="H49" s="7"/>
    </row>
    <row r="50" customFormat="false" ht="15" hidden="false" customHeight="false" outlineLevel="0" collapsed="false">
      <c r="A50" s="7"/>
      <c r="B50" s="7"/>
      <c r="C50" s="7"/>
      <c r="D50" s="7"/>
      <c r="E50" s="7"/>
      <c r="F50" s="7"/>
      <c r="G50" s="6" t="str">
        <f aca="false">IF(AND(A51&lt;&gt;"",C51&lt;=E51),"yes","")</f>
        <v/>
      </c>
      <c r="H50" s="7"/>
    </row>
    <row r="51" customFormat="false" ht="15" hidden="false" customHeight="false" outlineLevel="0" collapsed="false">
      <c r="A51" s="7"/>
      <c r="B51" s="7"/>
      <c r="C51" s="7"/>
      <c r="D51" s="7"/>
      <c r="E51" s="7"/>
      <c r="F51" s="7"/>
      <c r="G51" s="6" t="str">
        <f aca="false">IF(AND(A52&lt;&gt;"",C52&lt;=E52),"yes","")</f>
        <v/>
      </c>
      <c r="H51" s="7"/>
    </row>
    <row r="52" customFormat="false" ht="15" hidden="false" customHeight="false" outlineLevel="0" collapsed="false">
      <c r="A52" s="7"/>
      <c r="B52" s="7"/>
      <c r="C52" s="7"/>
      <c r="D52" s="7"/>
      <c r="E52" s="7"/>
      <c r="F52" s="7"/>
      <c r="G52" s="6" t="str">
        <f aca="false">IF(AND(A53&lt;&gt;"",C53&lt;=E53),"yes","")</f>
        <v/>
      </c>
      <c r="H52" s="7"/>
    </row>
    <row r="53" customFormat="false" ht="15" hidden="false" customHeight="false" outlineLevel="0" collapsed="false">
      <c r="A53" s="7"/>
      <c r="B53" s="7"/>
      <c r="C53" s="7"/>
      <c r="D53" s="7"/>
      <c r="E53" s="7"/>
      <c r="F53" s="7"/>
      <c r="G53" s="6" t="str">
        <f aca="false">IF(AND(A54&lt;&gt;"",C54&lt;=E54),"yes","")</f>
        <v/>
      </c>
      <c r="H53" s="7"/>
    </row>
    <row r="54" customFormat="false" ht="15" hidden="false" customHeight="false" outlineLevel="0" collapsed="false">
      <c r="A54" s="7"/>
      <c r="B54" s="7"/>
      <c r="C54" s="7"/>
      <c r="D54" s="7"/>
      <c r="E54" s="7"/>
      <c r="F54" s="7"/>
      <c r="G54" s="6" t="str">
        <f aca="false">IF(AND(A55&lt;&gt;"",C55&lt;=E55),"yes","")</f>
        <v/>
      </c>
      <c r="H54" s="7"/>
    </row>
    <row r="55" customFormat="false" ht="15" hidden="false" customHeight="false" outlineLevel="0" collapsed="false">
      <c r="A55" s="7"/>
      <c r="B55" s="7"/>
      <c r="C55" s="7"/>
      <c r="D55" s="7"/>
      <c r="E55" s="7"/>
      <c r="F55" s="7"/>
      <c r="G55" s="6" t="str">
        <f aca="false">IF(AND(A56&lt;&gt;"",C56&lt;=E56),"yes","")</f>
        <v/>
      </c>
      <c r="H55" s="7"/>
    </row>
    <row r="56" customFormat="false" ht="15" hidden="false" customHeight="false" outlineLevel="0" collapsed="false">
      <c r="A56" s="7"/>
      <c r="B56" s="7"/>
      <c r="C56" s="7"/>
      <c r="D56" s="7"/>
      <c r="E56" s="7"/>
      <c r="F56" s="7"/>
      <c r="G56" s="6" t="str">
        <f aca="false">IF(AND(A57&lt;&gt;"",C57&lt;=E57),"yes","")</f>
        <v/>
      </c>
      <c r="H56" s="7"/>
    </row>
    <row r="57" customFormat="false" ht="15" hidden="false" customHeight="false" outlineLevel="0" collapsed="false">
      <c r="A57" s="7"/>
      <c r="B57" s="7"/>
      <c r="C57" s="7"/>
      <c r="D57" s="7"/>
      <c r="E57" s="7"/>
      <c r="F57" s="7"/>
      <c r="G57" s="6" t="str">
        <f aca="false">IF(AND(A58&lt;&gt;"",C58&lt;=E58),"yes","")</f>
        <v/>
      </c>
      <c r="H57" s="7"/>
    </row>
    <row r="58" customFormat="false" ht="15" hidden="false" customHeight="false" outlineLevel="0" collapsed="false">
      <c r="A58" s="7"/>
      <c r="B58" s="7"/>
      <c r="C58" s="7"/>
      <c r="D58" s="7"/>
      <c r="E58" s="7"/>
      <c r="F58" s="7"/>
      <c r="G58" s="6" t="str">
        <f aca="false">IF(AND(A59&lt;&gt;"",C59&lt;=E59),"yes","")</f>
        <v/>
      </c>
      <c r="H58" s="7"/>
    </row>
    <row r="59" customFormat="false" ht="15" hidden="false" customHeight="false" outlineLevel="0" collapsed="false">
      <c r="A59" s="7"/>
      <c r="B59" s="7"/>
      <c r="C59" s="7"/>
      <c r="D59" s="7"/>
      <c r="E59" s="7"/>
      <c r="F59" s="7"/>
      <c r="G59" s="6" t="str">
        <f aca="false">IF(AND(A60&lt;&gt;"",C60&lt;=E60),"yes","")</f>
        <v/>
      </c>
      <c r="H59" s="7"/>
    </row>
    <row r="60" customFormat="false" ht="15" hidden="false" customHeight="false" outlineLevel="0" collapsed="false">
      <c r="A60" s="7"/>
      <c r="B60" s="7"/>
      <c r="C60" s="7"/>
      <c r="D60" s="7"/>
      <c r="E60" s="7"/>
      <c r="F60" s="7"/>
      <c r="G60" s="6" t="str">
        <f aca="false">IF(AND(A61&lt;&gt;"",C61&lt;=E61),"yes","")</f>
        <v/>
      </c>
      <c r="H60" s="7"/>
    </row>
    <row r="61" customFormat="false" ht="15" hidden="false" customHeight="false" outlineLevel="0" collapsed="false">
      <c r="A61" s="7"/>
      <c r="B61" s="7"/>
      <c r="C61" s="7"/>
      <c r="D61" s="7"/>
      <c r="E61" s="7"/>
      <c r="F61" s="7"/>
      <c r="G61" s="6" t="str">
        <f aca="false">IF(AND(A62&lt;&gt;"",C62&lt;=E62),"yes","")</f>
        <v/>
      </c>
      <c r="H61" s="7"/>
    </row>
    <row r="62" customFormat="false" ht="15" hidden="false" customHeight="false" outlineLevel="0" collapsed="false">
      <c r="A62" s="7"/>
      <c r="B62" s="7"/>
      <c r="C62" s="7"/>
      <c r="D62" s="7"/>
      <c r="E62" s="7"/>
      <c r="F62" s="7"/>
      <c r="G62" s="6" t="str">
        <f aca="false">IF(AND(A63&lt;&gt;"",C63&lt;=E63),"yes","")</f>
        <v/>
      </c>
      <c r="H62" s="7"/>
    </row>
    <row r="63" customFormat="false" ht="15" hidden="false" customHeight="false" outlineLevel="0" collapsed="false">
      <c r="A63" s="7"/>
      <c r="B63" s="7"/>
      <c r="C63" s="7"/>
      <c r="D63" s="7"/>
      <c r="E63" s="7"/>
      <c r="F63" s="7"/>
      <c r="G63" s="6" t="str">
        <f aca="false">IF(AND(A64&lt;&gt;"",C64&lt;=E64),"yes","")</f>
        <v/>
      </c>
      <c r="H63" s="7"/>
    </row>
    <row r="64" customFormat="false" ht="15" hidden="false" customHeight="false" outlineLevel="0" collapsed="false">
      <c r="A64" s="7"/>
      <c r="B64" s="7"/>
      <c r="C64" s="7"/>
      <c r="D64" s="7"/>
      <c r="E64" s="7"/>
      <c r="F64" s="7"/>
      <c r="G64" s="6" t="str">
        <f aca="false">IF(AND(A65&lt;&gt;"",C65&lt;=E65),"yes","")</f>
        <v/>
      </c>
      <c r="H64" s="7"/>
    </row>
    <row r="65" customFormat="false" ht="15" hidden="false" customHeight="false" outlineLevel="0" collapsed="false">
      <c r="A65" s="7"/>
      <c r="B65" s="7"/>
      <c r="C65" s="7"/>
      <c r="D65" s="7"/>
      <c r="E65" s="7"/>
      <c r="F65" s="7"/>
      <c r="G65" s="6" t="str">
        <f aca="false">IF(AND(A66&lt;&gt;"",C66&lt;=E66),"yes","")</f>
        <v/>
      </c>
      <c r="H65" s="7"/>
    </row>
    <row r="66" customFormat="false" ht="15" hidden="false" customHeight="false" outlineLevel="0" collapsed="false">
      <c r="A66" s="7"/>
      <c r="B66" s="7"/>
      <c r="C66" s="7"/>
      <c r="D66" s="7"/>
      <c r="E66" s="7"/>
      <c r="F66" s="7"/>
      <c r="G66" s="6" t="str">
        <f aca="false">IF(AND(A67&lt;&gt;"",C67&lt;=E67),"yes","")</f>
        <v/>
      </c>
      <c r="H66" s="7"/>
    </row>
    <row r="67" customFormat="false" ht="15" hidden="false" customHeight="false" outlineLevel="0" collapsed="false">
      <c r="A67" s="7"/>
      <c r="B67" s="7"/>
      <c r="C67" s="7"/>
      <c r="D67" s="7"/>
      <c r="E67" s="7"/>
      <c r="F67" s="7"/>
      <c r="G67" s="6" t="str">
        <f aca="false">IF(AND(A68&lt;&gt;"",C68&lt;=E68),"yes","")</f>
        <v/>
      </c>
      <c r="H67" s="7"/>
    </row>
    <row r="68" customFormat="false" ht="15" hidden="false" customHeight="false" outlineLevel="0" collapsed="false">
      <c r="A68" s="7"/>
      <c r="B68" s="7"/>
      <c r="C68" s="7"/>
      <c r="D68" s="7"/>
      <c r="E68" s="7"/>
      <c r="F68" s="7"/>
      <c r="G68" s="6" t="str">
        <f aca="false">IF(AND(A69&lt;&gt;"",C69&lt;=E69),"yes","")</f>
        <v/>
      </c>
      <c r="H68" s="7"/>
    </row>
    <row r="69" customFormat="false" ht="15" hidden="false" customHeight="false" outlineLevel="0" collapsed="false">
      <c r="A69" s="7"/>
      <c r="B69" s="7"/>
      <c r="C69" s="7"/>
      <c r="D69" s="7"/>
      <c r="E69" s="7"/>
      <c r="F69" s="7"/>
      <c r="G69" s="6" t="str">
        <f aca="false">IF(AND(A70&lt;&gt;"",C70&lt;=E70),"yes","")</f>
        <v/>
      </c>
      <c r="H69" s="7"/>
    </row>
    <row r="70" customFormat="false" ht="15" hidden="false" customHeight="false" outlineLevel="0" collapsed="false">
      <c r="A70" s="7"/>
      <c r="B70" s="7"/>
      <c r="C70" s="7"/>
      <c r="D70" s="7"/>
      <c r="E70" s="7"/>
      <c r="F70" s="7"/>
      <c r="G70" s="6" t="str">
        <f aca="false">IF(AND(A71&lt;&gt;"",C71&lt;=E71),"yes","")</f>
        <v/>
      </c>
      <c r="H70" s="7"/>
    </row>
    <row r="71" customFormat="false" ht="15" hidden="false" customHeight="false" outlineLevel="0" collapsed="false">
      <c r="A71" s="7"/>
      <c r="B71" s="7"/>
      <c r="C71" s="7"/>
      <c r="D71" s="7"/>
      <c r="E71" s="7"/>
      <c r="F71" s="7"/>
      <c r="G71" s="6" t="str">
        <f aca="false">IF(AND(A72&lt;&gt;"",C72&lt;=E72),"yes","")</f>
        <v/>
      </c>
      <c r="H71" s="7"/>
    </row>
    <row r="72" customFormat="false" ht="15" hidden="false" customHeight="false" outlineLevel="0" collapsed="false">
      <c r="A72" s="7"/>
      <c r="B72" s="7"/>
      <c r="C72" s="7"/>
      <c r="D72" s="7"/>
      <c r="E72" s="7"/>
      <c r="F72" s="7"/>
      <c r="G72" s="6" t="str">
        <f aca="false">IF(AND(A73&lt;&gt;"",C73&lt;=E73),"yes","")</f>
        <v/>
      </c>
      <c r="H72" s="7"/>
    </row>
    <row r="73" customFormat="false" ht="15" hidden="false" customHeight="false" outlineLevel="0" collapsed="false">
      <c r="A73" s="7"/>
      <c r="B73" s="7"/>
      <c r="C73" s="7"/>
      <c r="D73" s="7"/>
      <c r="E73" s="7"/>
      <c r="F73" s="7"/>
      <c r="G73" s="6" t="str">
        <f aca="false">IF(AND(A74&lt;&gt;"",C74&lt;=E74),"yes","")</f>
        <v/>
      </c>
      <c r="H73" s="7"/>
    </row>
    <row r="74" customFormat="false" ht="15" hidden="false" customHeight="false" outlineLevel="0" collapsed="false">
      <c r="A74" s="7"/>
      <c r="B74" s="7"/>
      <c r="C74" s="7"/>
      <c r="D74" s="7"/>
      <c r="E74" s="7"/>
      <c r="F74" s="7"/>
      <c r="G74" s="6" t="str">
        <f aca="false">IF(AND(A75&lt;&gt;"",C75&lt;=E75),"yes","")</f>
        <v/>
      </c>
      <c r="H74" s="7"/>
    </row>
    <row r="75" customFormat="false" ht="15" hidden="false" customHeight="false" outlineLevel="0" collapsed="false">
      <c r="A75" s="7"/>
      <c r="B75" s="7"/>
      <c r="C75" s="7"/>
      <c r="D75" s="7"/>
      <c r="E75" s="7"/>
      <c r="F75" s="7"/>
      <c r="G75" s="6" t="str">
        <f aca="false">IF(AND(A76&lt;&gt;"",C76&lt;=E76),"yes","")</f>
        <v/>
      </c>
      <c r="H75" s="7"/>
    </row>
    <row r="76" customFormat="false" ht="15" hidden="false" customHeight="false" outlineLevel="0" collapsed="false">
      <c r="A76" s="7"/>
      <c r="B76" s="7"/>
      <c r="C76" s="7"/>
      <c r="D76" s="7"/>
      <c r="E76" s="7"/>
      <c r="F76" s="7"/>
      <c r="G76" s="6" t="str">
        <f aca="false">IF(AND(A77&lt;&gt;"",C77&lt;=E77),"yes","")</f>
        <v/>
      </c>
      <c r="H76" s="7"/>
    </row>
    <row r="77" customFormat="false" ht="15" hidden="false" customHeight="false" outlineLevel="0" collapsed="false">
      <c r="A77" s="7"/>
      <c r="B77" s="7"/>
      <c r="C77" s="7"/>
      <c r="D77" s="7"/>
      <c r="E77" s="7"/>
      <c r="F77" s="7"/>
      <c r="G77" s="6" t="str">
        <f aca="false">IF(AND(A78&lt;&gt;"",C78&lt;=E78),"yes","")</f>
        <v/>
      </c>
      <c r="H77" s="7"/>
    </row>
    <row r="78" customFormat="false" ht="15" hidden="false" customHeight="false" outlineLevel="0" collapsed="false">
      <c r="A78" s="7"/>
      <c r="B78" s="7"/>
      <c r="C78" s="7"/>
      <c r="D78" s="7"/>
      <c r="E78" s="7"/>
      <c r="F78" s="7"/>
      <c r="G78" s="6" t="str">
        <f aca="false">IF(AND(A79&lt;&gt;"",C79&lt;=E79),"yes","")</f>
        <v/>
      </c>
      <c r="H78" s="7"/>
    </row>
    <row r="79" customFormat="false" ht="15" hidden="false" customHeight="false" outlineLevel="0" collapsed="false">
      <c r="A79" s="7"/>
      <c r="B79" s="7"/>
      <c r="C79" s="7"/>
      <c r="D79" s="7"/>
      <c r="E79" s="7"/>
      <c r="F79" s="7"/>
      <c r="G79" s="6" t="str">
        <f aca="false">IF(AND(A80&lt;&gt;"",C80&lt;=E80),"yes","")</f>
        <v/>
      </c>
      <c r="H79" s="7"/>
    </row>
    <row r="80" customFormat="false" ht="15" hidden="false" customHeight="false" outlineLevel="0" collapsed="false">
      <c r="A80" s="7"/>
      <c r="B80" s="7"/>
      <c r="C80" s="7"/>
      <c r="D80" s="7"/>
      <c r="E80" s="7"/>
      <c r="F80" s="7"/>
      <c r="G80" s="6" t="str">
        <f aca="false">IF(AND(A81&lt;&gt;"",C81&lt;=E81),"yes","")</f>
        <v/>
      </c>
      <c r="H80" s="7"/>
    </row>
    <row r="81" customFormat="false" ht="15" hidden="false" customHeight="false" outlineLevel="0" collapsed="false">
      <c r="A81" s="7"/>
      <c r="B81" s="7"/>
      <c r="C81" s="7"/>
      <c r="D81" s="7"/>
      <c r="E81" s="7"/>
      <c r="F81" s="7"/>
      <c r="G81" s="6" t="str">
        <f aca="false">IF(AND(A82&lt;&gt;"",C82&lt;=E82),"yes","")</f>
        <v/>
      </c>
      <c r="H81" s="7"/>
    </row>
    <row r="82" customFormat="false" ht="15" hidden="false" customHeight="false" outlineLevel="0" collapsed="false">
      <c r="A82" s="7"/>
      <c r="B82" s="7"/>
      <c r="C82" s="7"/>
      <c r="D82" s="7"/>
      <c r="E82" s="7"/>
      <c r="F82" s="7"/>
      <c r="G82" s="6" t="str">
        <f aca="false">IF(AND(A83&lt;&gt;"",C83&lt;=E83),"yes","")</f>
        <v/>
      </c>
      <c r="H82" s="7"/>
    </row>
    <row r="83" customFormat="false" ht="15" hidden="false" customHeight="false" outlineLevel="0" collapsed="false">
      <c r="A83" s="7"/>
      <c r="B83" s="7"/>
      <c r="C83" s="7"/>
      <c r="D83" s="7"/>
      <c r="E83" s="7"/>
      <c r="F83" s="7"/>
      <c r="G83" s="6" t="str">
        <f aca="false">IF(AND(A84&lt;&gt;"",C84&lt;=E84),"yes","")</f>
        <v/>
      </c>
      <c r="H83" s="7"/>
    </row>
    <row r="84" customFormat="false" ht="15" hidden="false" customHeight="false" outlineLevel="0" collapsed="false">
      <c r="A84" s="7"/>
      <c r="B84" s="7"/>
      <c r="C84" s="7"/>
      <c r="D84" s="7"/>
      <c r="E84" s="7"/>
      <c r="F84" s="7"/>
      <c r="G84" s="6" t="str">
        <f aca="false">IF(AND(A85&lt;&gt;"",C85&lt;=E85),"yes","")</f>
        <v/>
      </c>
      <c r="H84" s="7"/>
    </row>
    <row r="85" customFormat="false" ht="15" hidden="false" customHeight="false" outlineLevel="0" collapsed="false">
      <c r="A85" s="7"/>
      <c r="B85" s="7"/>
      <c r="C85" s="7"/>
      <c r="D85" s="7"/>
      <c r="E85" s="7"/>
      <c r="F85" s="7"/>
      <c r="G85" s="6" t="str">
        <f aca="false">IF(AND(A86&lt;&gt;"",C86&lt;=E86),"yes","")</f>
        <v/>
      </c>
      <c r="H85" s="7"/>
    </row>
    <row r="86" customFormat="false" ht="15" hidden="false" customHeight="false" outlineLevel="0" collapsed="false">
      <c r="A86" s="7"/>
      <c r="B86" s="7"/>
      <c r="C86" s="7"/>
      <c r="D86" s="7"/>
      <c r="E86" s="7"/>
      <c r="F86" s="7"/>
      <c r="G86" s="6" t="str">
        <f aca="false">IF(AND(A87&lt;&gt;"",C87&lt;=E87),"yes","")</f>
        <v/>
      </c>
      <c r="H86" s="7"/>
    </row>
    <row r="87" customFormat="false" ht="15" hidden="false" customHeight="false" outlineLevel="0" collapsed="false">
      <c r="A87" s="7"/>
      <c r="B87" s="7"/>
      <c r="C87" s="7"/>
      <c r="D87" s="7"/>
      <c r="E87" s="7"/>
      <c r="F87" s="7"/>
      <c r="G87" s="6" t="str">
        <f aca="false">IF(AND(A88&lt;&gt;"",C88&lt;=E88),"yes","")</f>
        <v/>
      </c>
      <c r="H87" s="7"/>
    </row>
    <row r="88" customFormat="false" ht="15" hidden="false" customHeight="false" outlineLevel="0" collapsed="false">
      <c r="A88" s="7"/>
      <c r="B88" s="7"/>
      <c r="C88" s="7"/>
      <c r="D88" s="7"/>
      <c r="E88" s="7"/>
      <c r="F88" s="7"/>
      <c r="G88" s="6" t="str">
        <f aca="false">IF(AND(A89&lt;&gt;"",C89&lt;=E89),"yes","")</f>
        <v/>
      </c>
      <c r="H88" s="7"/>
    </row>
    <row r="89" customFormat="false" ht="15" hidden="false" customHeight="false" outlineLevel="0" collapsed="false">
      <c r="A89" s="7"/>
      <c r="B89" s="7"/>
      <c r="C89" s="7"/>
      <c r="D89" s="7"/>
      <c r="E89" s="7"/>
      <c r="F89" s="7"/>
      <c r="G89" s="6" t="str">
        <f aca="false">IF(AND(A90&lt;&gt;"",C90&lt;=E90),"yes","")</f>
        <v/>
      </c>
      <c r="H89" s="7"/>
    </row>
    <row r="90" customFormat="false" ht="15" hidden="false" customHeight="false" outlineLevel="0" collapsed="false">
      <c r="A90" s="7"/>
      <c r="B90" s="7"/>
      <c r="C90" s="7"/>
      <c r="D90" s="7"/>
      <c r="E90" s="7"/>
      <c r="F90" s="7"/>
      <c r="G90" s="6" t="str">
        <f aca="false">IF(AND(A91&lt;&gt;"",C91&lt;=E91),"yes","")</f>
        <v/>
      </c>
      <c r="H90" s="7"/>
    </row>
    <row r="91" customFormat="false" ht="15" hidden="false" customHeight="false" outlineLevel="0" collapsed="false">
      <c r="A91" s="7"/>
      <c r="B91" s="7"/>
      <c r="C91" s="7"/>
      <c r="D91" s="7"/>
      <c r="E91" s="7"/>
      <c r="F91" s="7"/>
      <c r="G91" s="6" t="str">
        <f aca="false">IF(AND(A92&lt;&gt;"",C92&lt;=E92),"yes","")</f>
        <v/>
      </c>
      <c r="H91" s="7"/>
    </row>
    <row r="92" customFormat="false" ht="15" hidden="false" customHeight="false" outlineLevel="0" collapsed="false">
      <c r="A92" s="7"/>
      <c r="B92" s="7"/>
      <c r="C92" s="7"/>
      <c r="D92" s="7"/>
      <c r="E92" s="7"/>
      <c r="F92" s="7"/>
      <c r="G92" s="6" t="str">
        <f aca="false">IF(AND(A93&lt;&gt;"",C93&lt;=E93),"yes","")</f>
        <v/>
      </c>
      <c r="H92" s="7"/>
    </row>
    <row r="93" customFormat="false" ht="15" hidden="false" customHeight="false" outlineLevel="0" collapsed="false">
      <c r="A93" s="7"/>
      <c r="B93" s="7"/>
      <c r="C93" s="7"/>
      <c r="D93" s="7"/>
      <c r="E93" s="7"/>
      <c r="F93" s="7"/>
      <c r="G93" s="6" t="str">
        <f aca="false">IF(AND(A94&lt;&gt;"",C94&lt;=E94),"yes","")</f>
        <v/>
      </c>
      <c r="H93" s="7"/>
    </row>
    <row r="94" customFormat="false" ht="15" hidden="false" customHeight="false" outlineLevel="0" collapsed="false">
      <c r="A94" s="7"/>
      <c r="B94" s="7"/>
      <c r="C94" s="7"/>
      <c r="D94" s="7"/>
      <c r="E94" s="7"/>
      <c r="F94" s="7"/>
      <c r="G94" s="6" t="str">
        <f aca="false">IF(AND(A95&lt;&gt;"",C95&lt;=E95),"yes","")</f>
        <v/>
      </c>
      <c r="H94" s="7"/>
    </row>
    <row r="95" customFormat="false" ht="15" hidden="false" customHeight="false" outlineLevel="0" collapsed="false">
      <c r="A95" s="7"/>
      <c r="B95" s="7"/>
      <c r="C95" s="7"/>
      <c r="D95" s="7"/>
      <c r="E95" s="7"/>
      <c r="F95" s="7"/>
      <c r="G95" s="6" t="str">
        <f aca="false">IF(AND(A96&lt;&gt;"",C96&lt;=E96),"yes","")</f>
        <v/>
      </c>
      <c r="H95" s="7"/>
    </row>
    <row r="96" customFormat="false" ht="15" hidden="false" customHeight="false" outlineLevel="0" collapsed="false">
      <c r="A96" s="7"/>
      <c r="B96" s="7"/>
      <c r="C96" s="7"/>
      <c r="D96" s="7"/>
      <c r="E96" s="7"/>
      <c r="F96" s="7"/>
      <c r="G96" s="6" t="str">
        <f aca="false">IF(AND(A97&lt;&gt;"",C97&lt;=E97),"yes","")</f>
        <v/>
      </c>
      <c r="H96" s="7"/>
    </row>
    <row r="97" customFormat="false" ht="15" hidden="false" customHeight="false" outlineLevel="0" collapsed="false">
      <c r="A97" s="7"/>
      <c r="B97" s="7"/>
      <c r="C97" s="7"/>
      <c r="D97" s="7"/>
      <c r="E97" s="7"/>
      <c r="F97" s="7"/>
      <c r="G97" s="6" t="str">
        <f aca="false">IF(AND(A98&lt;&gt;"",C98&lt;=E98),"yes","")</f>
        <v/>
      </c>
      <c r="H97" s="7"/>
    </row>
    <row r="98" customFormat="false" ht="15" hidden="false" customHeight="false" outlineLevel="0" collapsed="false">
      <c r="A98" s="7"/>
      <c r="B98" s="7"/>
      <c r="C98" s="7"/>
      <c r="D98" s="7"/>
      <c r="E98" s="7"/>
      <c r="F98" s="7"/>
      <c r="G98" s="6" t="str">
        <f aca="false">IF(AND(A99&lt;&gt;"",C99&lt;=E99),"yes","")</f>
        <v/>
      </c>
      <c r="H98" s="7"/>
    </row>
    <row r="99" customFormat="false" ht="15" hidden="false" customHeight="false" outlineLevel="0" collapsed="false">
      <c r="A99" s="7"/>
      <c r="B99" s="7"/>
      <c r="C99" s="7"/>
      <c r="D99" s="7"/>
      <c r="E99" s="7"/>
      <c r="F99" s="7"/>
      <c r="G99" s="6" t="str">
        <f aca="false">IF(AND(A100&lt;&gt;"",C100&lt;=E100),"yes","")</f>
        <v/>
      </c>
      <c r="H99" s="7"/>
    </row>
    <row r="100" customFormat="false" ht="15" hidden="false" customHeight="false" outlineLevel="0" collapsed="false">
      <c r="A100" s="7"/>
      <c r="B100" s="7"/>
      <c r="C100" s="7"/>
      <c r="D100" s="7"/>
      <c r="E100" s="7"/>
      <c r="F100" s="7"/>
      <c r="G100" s="6" t="str">
        <f aca="false">IF(AND(A101&lt;&gt;"",C101&lt;=E101),"yes","")</f>
        <v/>
      </c>
      <c r="H100" s="7"/>
    </row>
    <row r="101" customFormat="false" ht="15" hidden="false" customHeight="false" outlineLevel="0" collapsed="false">
      <c r="A101" s="7"/>
      <c r="B101" s="7"/>
      <c r="C101" s="7"/>
      <c r="D101" s="7"/>
      <c r="E101" s="7"/>
      <c r="F101" s="7"/>
      <c r="G101" s="6" t="str">
        <f aca="false">IF(AND(A102&lt;&gt;"",C102&lt;=E102),"yes","")</f>
        <v/>
      </c>
      <c r="H101" s="7"/>
    </row>
    <row r="102" customFormat="false" ht="15" hidden="false" customHeight="false" outlineLevel="0" collapsed="false">
      <c r="A102" s="7"/>
      <c r="B102" s="7"/>
      <c r="C102" s="7"/>
      <c r="D102" s="7"/>
      <c r="E102" s="7"/>
      <c r="F102" s="7"/>
      <c r="G102" s="6" t="str">
        <f aca="false">IF(AND(A103&lt;&gt;"",C103&lt;=E103),"yes","")</f>
        <v/>
      </c>
      <c r="H102" s="7"/>
    </row>
    <row r="103" customFormat="false" ht="15" hidden="false" customHeight="false" outlineLevel="0" collapsed="false">
      <c r="A103" s="7"/>
      <c r="B103" s="7"/>
      <c r="C103" s="7"/>
      <c r="D103" s="7"/>
      <c r="E103" s="7"/>
      <c r="F103" s="7"/>
      <c r="G103" s="6" t="str">
        <f aca="false">IF(AND(A104&lt;&gt;"",C104&lt;=E104),"yes","")</f>
        <v/>
      </c>
      <c r="H103" s="7"/>
    </row>
    <row r="104" customFormat="false" ht="15" hidden="false" customHeight="false" outlineLevel="0" collapsed="false">
      <c r="A104" s="7"/>
      <c r="B104" s="7"/>
      <c r="C104" s="7"/>
      <c r="D104" s="7"/>
      <c r="E104" s="7"/>
      <c r="F104" s="7"/>
      <c r="G104" s="6" t="str">
        <f aca="false">IF(AND(A105&lt;&gt;"",C105&lt;=E105),"yes","")</f>
        <v/>
      </c>
      <c r="H104" s="7"/>
    </row>
    <row r="105" customFormat="false" ht="15" hidden="false" customHeight="false" outlineLevel="0" collapsed="false">
      <c r="A105" s="8"/>
      <c r="B105" s="8"/>
      <c r="C105" s="8"/>
      <c r="D105" s="8"/>
      <c r="E105" s="8"/>
      <c r="F105" s="8"/>
      <c r="H105" s="8"/>
    </row>
  </sheetData>
  <sheetProtection sheet="true" password="cac9"/>
  <mergeCells count="3">
    <mergeCell ref="A1:H1"/>
    <mergeCell ref="A2:H2"/>
    <mergeCell ref="A3:H3"/>
  </mergeCells>
  <printOptions headings="false" gridLines="false" gridLinesSet="true" horizontalCentered="false" verticalCentered="false"/>
  <pageMargins left="0.25" right="0.25" top="0.25" bottom="0.2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5" min="2" style="0" width="26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9" min="8" style="0" width="14"/>
  </cols>
  <sheetData>
    <row r="1" customFormat="false" ht="30" hidden="false" customHeight="true" outlineLevel="0" collapsed="false">
      <c r="A1" s="1" t="s">
        <v>140</v>
      </c>
      <c r="B1" s="1"/>
      <c r="C1" s="1"/>
      <c r="D1" s="1"/>
      <c r="E1" s="1"/>
      <c r="F1" s="1"/>
      <c r="G1" s="1"/>
      <c r="H1" s="1"/>
      <c r="I1" s="1"/>
    </row>
    <row r="2" customFormat="false" ht="42" hidden="false" customHeight="true" outlineLevel="0" collapsed="false">
      <c r="A2" s="2" t="s">
        <v>141</v>
      </c>
      <c r="B2" s="2"/>
      <c r="C2" s="2"/>
      <c r="D2" s="2"/>
      <c r="E2" s="2"/>
      <c r="F2" s="2"/>
      <c r="G2" s="2"/>
      <c r="H2" s="2"/>
      <c r="I2" s="2"/>
    </row>
    <row r="3" customFormat="false" ht="42" hidden="false" customHeight="true" outlineLevel="0" collapsed="false">
      <c r="A3" s="3" t="s">
        <v>142</v>
      </c>
      <c r="B3" s="3"/>
      <c r="C3" s="3"/>
      <c r="D3" s="3"/>
      <c r="E3" s="3"/>
      <c r="F3" s="3"/>
      <c r="G3" s="3"/>
      <c r="H3" s="3"/>
      <c r="I3" s="3"/>
    </row>
    <row r="4" customFormat="false" ht="34.3" hidden="false" customHeight="false" outlineLevel="0" collapsed="false">
      <c r="A4" s="4" t="s">
        <v>14</v>
      </c>
      <c r="B4" s="4" t="s">
        <v>101</v>
      </c>
      <c r="C4" s="4" t="s">
        <v>107</v>
      </c>
      <c r="D4" s="4" t="s">
        <v>114</v>
      </c>
      <c r="E4" s="4" t="s">
        <v>121</v>
      </c>
      <c r="F4" s="4" t="s">
        <v>143</v>
      </c>
      <c r="G4" s="4" t="s">
        <v>138</v>
      </c>
      <c r="H4" s="4" t="s">
        <v>144</v>
      </c>
      <c r="I4" s="4" t="s">
        <v>145</v>
      </c>
    </row>
    <row r="5" customFormat="false" ht="15" hidden="false" customHeight="false" outlineLevel="0" collapsed="false">
      <c r="A5" s="5"/>
      <c r="B5" s="5"/>
      <c r="C5" s="5"/>
      <c r="D5" s="5"/>
      <c r="E5" s="5"/>
      <c r="F5" s="5"/>
      <c r="G5" s="5"/>
      <c r="H5" s="5"/>
      <c r="I5" s="5"/>
    </row>
    <row r="6" customFormat="false" ht="15" hidden="false" customHeight="false" outlineLevel="0" collapsed="false">
      <c r="A6" s="5" t="s">
        <v>19</v>
      </c>
      <c r="B6" s="7" t="s">
        <v>122</v>
      </c>
      <c r="C6" s="7" t="s">
        <v>108</v>
      </c>
      <c r="D6" s="7" t="s">
        <v>128</v>
      </c>
      <c r="E6" s="7" t="s">
        <v>122</v>
      </c>
      <c r="F6" s="7" t="n">
        <v>2</v>
      </c>
      <c r="G6" s="7" t="s">
        <v>146</v>
      </c>
      <c r="H6" s="6" t="n">
        <f aca="false">SUMPRODUCT((Recipes!$C$6:$C$105=B6)*Recipes!$I$6:$I$105)+SUMPRODUCT((Recipes!$C$6:$C$105=C6)*Recipes!$I$6:$I$105)+SUMPRODUCT((Recipes!$C$6:$C$105=D6)*Recipes!$I$6:$I$105)+SUMPRODUCT((Recipes!$C$6:$C$105=E6)*Recipes!$I$6:$I$105)</f>
        <v>3340</v>
      </c>
      <c r="I6" s="6" t="n">
        <f aca="false">SUMPRODUCT((Recipes!$C$6:$C$105=B6)*Recipes!$J$6:$J$105)+SUMPRODUCT((Recipes!$C$6:$C$105=C6)*Recipes!$J$6:$J$105)+SUMPRODUCT((Recipes!$C$6:$C$105=D6)*Recipes!$J$6:$J$105)+SUMPRODUCT((Recipes!$C$6:$C$105=E6)*Recipes!$J$6:$J$105)</f>
        <v>7.5</v>
      </c>
    </row>
    <row r="7" customFormat="false" ht="15" hidden="false" customHeight="false" outlineLevel="0" collapsed="false">
      <c r="A7" s="5" t="s">
        <v>21</v>
      </c>
      <c r="B7" s="7" t="s">
        <v>102</v>
      </c>
      <c r="C7" s="7" t="s">
        <v>108</v>
      </c>
      <c r="D7" s="7" t="s">
        <v>115</v>
      </c>
      <c r="E7" s="7" t="s">
        <v>122</v>
      </c>
      <c r="F7" s="7" t="n">
        <v>2</v>
      </c>
      <c r="G7" s="7" t="s">
        <v>146</v>
      </c>
      <c r="H7" s="6" t="n">
        <f aca="false">SUMPRODUCT((Recipes!$C$6:$C$105=B7)*Recipes!$I$6:$I$105)+SUMPRODUCT((Recipes!$C$6:$C$105=C7)*Recipes!$I$6:$I$105)+SUMPRODUCT((Recipes!$C$6:$C$105=D7)*Recipes!$I$6:$I$105)+SUMPRODUCT((Recipes!$C$6:$C$105=E7)*Recipes!$I$6:$I$105)</f>
        <v>3600</v>
      </c>
      <c r="I7" s="6" t="n">
        <f aca="false">SUMPRODUCT((Recipes!$C$6:$C$105=B7)*Recipes!$J$6:$J$105)+SUMPRODUCT((Recipes!$C$6:$C$105=C7)*Recipes!$J$6:$J$105)+SUMPRODUCT((Recipes!$C$6:$C$105=D7)*Recipes!$J$6:$J$105)+SUMPRODUCT((Recipes!$C$6:$C$105=E7)*Recipes!$J$6:$J$105)</f>
        <v>12.85</v>
      </c>
    </row>
    <row r="8" customFormat="false" ht="15" hidden="false" customHeight="false" outlineLevel="0" collapsed="false">
      <c r="A8" s="5" t="s">
        <v>23</v>
      </c>
      <c r="B8" s="7" t="s">
        <v>122</v>
      </c>
      <c r="C8" s="7" t="s">
        <v>108</v>
      </c>
      <c r="D8" s="7" t="s">
        <v>128</v>
      </c>
      <c r="E8" s="7" t="s">
        <v>122</v>
      </c>
      <c r="F8" s="7" t="n">
        <v>2</v>
      </c>
      <c r="G8" s="7" t="s">
        <v>146</v>
      </c>
      <c r="H8" s="6" t="n">
        <f aca="false">SUMPRODUCT((Recipes!$C$6:$C$105=B8)*Recipes!$I$6:$I$105)+SUMPRODUCT((Recipes!$C$6:$C$105=C8)*Recipes!$I$6:$I$105)+SUMPRODUCT((Recipes!$C$6:$C$105=D8)*Recipes!$I$6:$I$105)+SUMPRODUCT((Recipes!$C$6:$C$105=E8)*Recipes!$I$6:$I$105)</f>
        <v>3340</v>
      </c>
      <c r="I8" s="6" t="n">
        <f aca="false">SUMPRODUCT((Recipes!$C$6:$C$105=B8)*Recipes!$J$6:$J$105)+SUMPRODUCT((Recipes!$C$6:$C$105=C8)*Recipes!$J$6:$J$105)+SUMPRODUCT((Recipes!$C$6:$C$105=D8)*Recipes!$J$6:$J$105)+SUMPRODUCT((Recipes!$C$6:$C$105=E8)*Recipes!$J$6:$J$105)</f>
        <v>7.5</v>
      </c>
    </row>
    <row r="9" customFormat="false" ht="15" hidden="false" customHeight="false" outlineLevel="0" collapsed="false">
      <c r="A9" s="5" t="s">
        <v>25</v>
      </c>
      <c r="B9" s="7" t="s">
        <v>102</v>
      </c>
      <c r="C9" s="7" t="s">
        <v>108</v>
      </c>
      <c r="D9" s="7" t="s">
        <v>115</v>
      </c>
      <c r="E9" s="7" t="s">
        <v>122</v>
      </c>
      <c r="F9" s="7" t="n">
        <v>2</v>
      </c>
      <c r="G9" s="7" t="s">
        <v>146</v>
      </c>
      <c r="H9" s="6" t="n">
        <f aca="false">SUMPRODUCT((Recipes!$C$6:$C$105=B9)*Recipes!$I$6:$I$105)+SUMPRODUCT((Recipes!$C$6:$C$105=C9)*Recipes!$I$6:$I$105)+SUMPRODUCT((Recipes!$C$6:$C$105=D9)*Recipes!$I$6:$I$105)+SUMPRODUCT((Recipes!$C$6:$C$105=E9)*Recipes!$I$6:$I$105)</f>
        <v>3600</v>
      </c>
      <c r="I9" s="6" t="n">
        <f aca="false">SUMPRODUCT((Recipes!$C$6:$C$105=B9)*Recipes!$J$6:$J$105)+SUMPRODUCT((Recipes!$C$6:$C$105=C9)*Recipes!$J$6:$J$105)+SUMPRODUCT((Recipes!$C$6:$C$105=D9)*Recipes!$J$6:$J$105)+SUMPRODUCT((Recipes!$C$6:$C$105=E9)*Recipes!$J$6:$J$105)</f>
        <v>12.85</v>
      </c>
    </row>
    <row r="10" customFormat="false" ht="15" hidden="false" customHeight="false" outlineLevel="0" collapsed="false">
      <c r="A10" s="5" t="s">
        <v>27</v>
      </c>
      <c r="B10" s="7" t="s">
        <v>122</v>
      </c>
      <c r="C10" s="7" t="s">
        <v>108</v>
      </c>
      <c r="D10" s="7" t="s">
        <v>128</v>
      </c>
      <c r="E10" s="7" t="s">
        <v>122</v>
      </c>
      <c r="F10" s="7" t="n">
        <v>2</v>
      </c>
      <c r="G10" s="7" t="s">
        <v>146</v>
      </c>
      <c r="H10" s="6" t="n">
        <f aca="false">SUMPRODUCT((Recipes!$C$6:$C$105=B10)*Recipes!$I$6:$I$105)+SUMPRODUCT((Recipes!$C$6:$C$105=C10)*Recipes!$I$6:$I$105)+SUMPRODUCT((Recipes!$C$6:$C$105=D10)*Recipes!$I$6:$I$105)+SUMPRODUCT((Recipes!$C$6:$C$105=E10)*Recipes!$I$6:$I$105)</f>
        <v>3340</v>
      </c>
      <c r="I10" s="6" t="n">
        <f aca="false">SUMPRODUCT((Recipes!$C$6:$C$105=B10)*Recipes!$J$6:$J$105)+SUMPRODUCT((Recipes!$C$6:$C$105=C10)*Recipes!$J$6:$J$105)+SUMPRODUCT((Recipes!$C$6:$C$105=D10)*Recipes!$J$6:$J$105)+SUMPRODUCT((Recipes!$C$6:$C$105=E10)*Recipes!$J$6:$J$105)</f>
        <v>7.5</v>
      </c>
    </row>
    <row r="11" customFormat="false" ht="15" hidden="false" customHeight="false" outlineLevel="0" collapsed="false">
      <c r="A11" s="5" t="s">
        <v>29</v>
      </c>
      <c r="B11" s="7" t="s">
        <v>102</v>
      </c>
      <c r="C11" s="7" t="s">
        <v>108</v>
      </c>
      <c r="D11" s="7" t="s">
        <v>115</v>
      </c>
      <c r="E11" s="7" t="s">
        <v>122</v>
      </c>
      <c r="F11" s="7" t="n">
        <v>2</v>
      </c>
      <c r="G11" s="7" t="s">
        <v>146</v>
      </c>
      <c r="H11" s="6" t="n">
        <f aca="false">SUMPRODUCT((Recipes!$C$6:$C$105=B11)*Recipes!$I$6:$I$105)+SUMPRODUCT((Recipes!$C$6:$C$105=C11)*Recipes!$I$6:$I$105)+SUMPRODUCT((Recipes!$C$6:$C$105=D11)*Recipes!$I$6:$I$105)+SUMPRODUCT((Recipes!$C$6:$C$105=E11)*Recipes!$I$6:$I$105)</f>
        <v>3600</v>
      </c>
      <c r="I11" s="6" t="n">
        <f aca="false">SUMPRODUCT((Recipes!$C$6:$C$105=B11)*Recipes!$J$6:$J$105)+SUMPRODUCT((Recipes!$C$6:$C$105=C11)*Recipes!$J$6:$J$105)+SUMPRODUCT((Recipes!$C$6:$C$105=D11)*Recipes!$J$6:$J$105)+SUMPRODUCT((Recipes!$C$6:$C$105=E11)*Recipes!$J$6:$J$105)</f>
        <v>12.85</v>
      </c>
    </row>
    <row r="12" customFormat="false" ht="15" hidden="false" customHeight="false" outlineLevel="0" collapsed="false">
      <c r="A12" s="5" t="s">
        <v>30</v>
      </c>
      <c r="B12" s="7" t="s">
        <v>122</v>
      </c>
      <c r="C12" s="7" t="s">
        <v>108</v>
      </c>
      <c r="D12" s="7" t="s">
        <v>128</v>
      </c>
      <c r="E12" s="7" t="s">
        <v>122</v>
      </c>
      <c r="F12" s="7" t="n">
        <v>2</v>
      </c>
      <c r="G12" s="7" t="s">
        <v>146</v>
      </c>
      <c r="H12" s="6" t="n">
        <f aca="false">SUMPRODUCT((Recipes!$C$6:$C$105=B12)*Recipes!$I$6:$I$105)+SUMPRODUCT((Recipes!$C$6:$C$105=C12)*Recipes!$I$6:$I$105)+SUMPRODUCT((Recipes!$C$6:$C$105=D12)*Recipes!$I$6:$I$105)+SUMPRODUCT((Recipes!$C$6:$C$105=E12)*Recipes!$I$6:$I$105)</f>
        <v>3340</v>
      </c>
      <c r="I12" s="6" t="n">
        <f aca="false">SUMPRODUCT((Recipes!$C$6:$C$105=B12)*Recipes!$J$6:$J$105)+SUMPRODUCT((Recipes!$C$6:$C$105=C12)*Recipes!$J$6:$J$105)+SUMPRODUCT((Recipes!$C$6:$C$105=D12)*Recipes!$J$6:$J$105)+SUMPRODUCT((Recipes!$C$6:$C$105=E12)*Recipes!$J$6:$J$105)</f>
        <v>7.5</v>
      </c>
    </row>
  </sheetData>
  <sheetProtection sheet="true" password="cac9"/>
  <mergeCells count="3">
    <mergeCell ref="A1:I1"/>
    <mergeCell ref="A2:I2"/>
    <mergeCell ref="A3:I3"/>
  </mergeCells>
  <dataValidations count="4">
    <dataValidation allowBlank="true" errorStyle="stop" operator="between" showDropDown="false" showErrorMessage="false" showInputMessage="false" sqref="B6:B12" type="list">
      <formula1>"Greek yogurt berry bowl,Tomato soup and toast,Salmon rice bowl,Apple and peanut butter,Bean taco bowls,Veggie pasta,Chicken salad wrap"</formula1>
      <formula2>0</formula2>
    </dataValidation>
    <dataValidation allowBlank="true" errorStyle="stop" operator="between" showDropDown="false" showErrorMessage="false" showInputMessage="false" sqref="C6:C12" type="list">
      <formula1>"Greek yogurt berry bowl,Tomato soup and toast,Salmon rice bowl,Apple and peanut butter,Bean taco bowls,Veggie pasta,Chicken salad wrap"</formula1>
      <formula2>0</formula2>
    </dataValidation>
    <dataValidation allowBlank="true" errorStyle="stop" operator="between" showDropDown="false" showErrorMessage="false" showInputMessage="false" sqref="D6:D12" type="list">
      <formula1>"Greek yogurt berry bowl,Tomato soup and toast,Salmon rice bowl,Apple and peanut butter,Bean taco bowls,Veggie pasta,Chicken salad wrap"</formula1>
      <formula2>0</formula2>
    </dataValidation>
    <dataValidation allowBlank="true" errorStyle="stop" operator="between" showDropDown="false" showErrorMessage="false" showInputMessage="false" sqref="E6:E12" type="list">
      <formula1>"Greek yogurt berry bowl,Tomato soup and toast,Salmon rice bowl,Apple and peanut butter,Bean taco bowls,Veggie pasta,Chicken salad wrap"</formula1>
      <formula2>0</formula2>
    </dataValidation>
  </dataValidations>
  <printOptions headings="false" gridLines="false" gridLinesSet="true" horizontalCentered="false" verticalCentered="false"/>
  <pageMargins left="0.25" right="0.25" top="0.25" bottom="0.2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7" min="5" style="0" width="12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24"/>
  </cols>
  <sheetData>
    <row r="1" customFormat="false" ht="30" hidden="false" customHeight="true" outlineLevel="0" collapsed="false">
      <c r="A1" s="1" t="s">
        <v>147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42" hidden="false" customHeight="true" outlineLevel="0" collapsed="false">
      <c r="A2" s="2" t="s">
        <v>148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42" hidden="false" customHeight="true" outlineLevel="0" collapsed="false">
      <c r="A3" s="3" t="s">
        <v>149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34.3" hidden="false" customHeight="false" outlineLevel="0" collapsed="false">
      <c r="A4" s="4" t="s">
        <v>17</v>
      </c>
      <c r="B4" s="4" t="s">
        <v>134</v>
      </c>
      <c r="C4" s="4" t="s">
        <v>150</v>
      </c>
      <c r="D4" s="4" t="s">
        <v>151</v>
      </c>
      <c r="E4" s="4" t="s">
        <v>152</v>
      </c>
      <c r="F4" s="4" t="s">
        <v>97</v>
      </c>
      <c r="G4" s="4" t="s">
        <v>99</v>
      </c>
      <c r="H4" s="4" t="s">
        <v>153</v>
      </c>
      <c r="I4" s="4" t="s">
        <v>154</v>
      </c>
      <c r="J4" s="4" t="s">
        <v>138</v>
      </c>
    </row>
    <row r="5" customFormat="false" ht="15" hidden="false" customHeight="false" outlineLevel="0" collapsed="false">
      <c r="A5" s="5" t="s">
        <v>22</v>
      </c>
      <c r="B5" s="5" t="s">
        <v>103</v>
      </c>
      <c r="C5" s="5" t="n">
        <v>3</v>
      </c>
      <c r="D5" s="5" t="n">
        <v>1</v>
      </c>
      <c r="E5" s="6" t="n">
        <f aca="false">MAX(0,C6-D6)</f>
        <v>1.5</v>
      </c>
      <c r="F5" s="5" t="s">
        <v>104</v>
      </c>
      <c r="G5" s="5" t="n">
        <v>2.4</v>
      </c>
      <c r="H5" s="6" t="n">
        <f aca="false">E6*G6</f>
        <v>9.45</v>
      </c>
      <c r="I5" s="5"/>
      <c r="J5" s="5"/>
    </row>
    <row r="6" customFormat="false" ht="15" hidden="false" customHeight="false" outlineLevel="0" collapsed="false">
      <c r="A6" s="7" t="s">
        <v>20</v>
      </c>
      <c r="B6" s="7" t="s">
        <v>105</v>
      </c>
      <c r="C6" s="7" t="n">
        <v>1.5</v>
      </c>
      <c r="D6" s="7" t="n">
        <v>0</v>
      </c>
      <c r="E6" s="6" t="n">
        <f aca="false">MAX(0,C7-D7)</f>
        <v>7</v>
      </c>
      <c r="F6" s="7" t="s">
        <v>104</v>
      </c>
      <c r="G6" s="7" t="n">
        <v>1.35</v>
      </c>
      <c r="H6" s="6" t="n">
        <f aca="false">IF(B6="","",IFERROR(E6*G6,0))</f>
        <v>9.45</v>
      </c>
      <c r="I6" s="7"/>
      <c r="J6" s="7"/>
    </row>
    <row r="7" customFormat="false" ht="15" hidden="false" customHeight="false" outlineLevel="0" collapsed="false">
      <c r="A7" s="7" t="s">
        <v>26</v>
      </c>
      <c r="B7" s="7" t="s">
        <v>109</v>
      </c>
      <c r="C7" s="7" t="n">
        <v>7</v>
      </c>
      <c r="D7" s="7" t="n">
        <v>0</v>
      </c>
      <c r="E7" s="6" t="n">
        <f aca="false">MAX(0,C8-D8)</f>
        <v>14</v>
      </c>
      <c r="F7" s="7" t="s">
        <v>110</v>
      </c>
      <c r="G7" s="7" t="n">
        <v>2.1</v>
      </c>
      <c r="H7" s="6" t="n">
        <f aca="false">IF(B7="","",IFERROR(E7*G7,0))</f>
        <v>29.4</v>
      </c>
      <c r="I7" s="7"/>
      <c r="J7" s="7"/>
    </row>
    <row r="8" customFormat="false" ht="15" hidden="false" customHeight="false" outlineLevel="0" collapsed="false">
      <c r="A8" s="7" t="s">
        <v>24</v>
      </c>
      <c r="B8" s="7" t="s">
        <v>111</v>
      </c>
      <c r="C8" s="7" t="n">
        <v>14</v>
      </c>
      <c r="D8" s="7" t="n">
        <v>0</v>
      </c>
      <c r="E8" s="6" t="n">
        <f aca="false">MAX(0,C9-D9)</f>
        <v>4</v>
      </c>
      <c r="F8" s="7" t="s">
        <v>112</v>
      </c>
      <c r="G8" s="7" t="n">
        <v>0.8</v>
      </c>
      <c r="H8" s="6" t="n">
        <f aca="false">IF(B8="","",IFERROR(E8*G8,0))</f>
        <v>3.2</v>
      </c>
      <c r="I8" s="7"/>
      <c r="J8" s="7"/>
    </row>
    <row r="9" customFormat="false" ht="15" hidden="false" customHeight="false" outlineLevel="0" collapsed="false">
      <c r="A9" s="7" t="s">
        <v>84</v>
      </c>
      <c r="B9" s="7" t="s">
        <v>116</v>
      </c>
      <c r="C9" s="7" t="n">
        <v>4</v>
      </c>
      <c r="D9" s="7" t="n">
        <v>0</v>
      </c>
      <c r="E9" s="6" t="n">
        <f aca="false">MAX(0,C10-D10)</f>
        <v>1</v>
      </c>
      <c r="F9" s="7" t="s">
        <v>117</v>
      </c>
      <c r="G9" s="7" t="n">
        <v>5.8</v>
      </c>
      <c r="H9" s="6" t="n">
        <f aca="false">IF(B9="","",IFERROR(E9*G9,0))</f>
        <v>5.8</v>
      </c>
      <c r="I9" s="7"/>
      <c r="J9" s="7"/>
    </row>
    <row r="10" customFormat="false" ht="15" hidden="false" customHeight="false" outlineLevel="0" collapsed="false">
      <c r="A10" s="7" t="s">
        <v>26</v>
      </c>
      <c r="B10" s="7" t="s">
        <v>118</v>
      </c>
      <c r="C10" s="7" t="n">
        <v>3</v>
      </c>
      <c r="D10" s="7" t="n">
        <v>2</v>
      </c>
      <c r="E10" s="6" t="n">
        <f aca="false">MAX(0,C11-D11)</f>
        <v>4</v>
      </c>
      <c r="F10" s="7" t="s">
        <v>104</v>
      </c>
      <c r="G10" s="7" t="n">
        <v>0.45</v>
      </c>
      <c r="H10" s="6" t="n">
        <f aca="false">IF(B10="","",IFERROR(E10*G10,0))</f>
        <v>1.8</v>
      </c>
      <c r="I10" s="7"/>
      <c r="J10" s="7"/>
    </row>
    <row r="11" customFormat="false" ht="15" hidden="false" customHeight="false" outlineLevel="0" collapsed="false">
      <c r="A11" s="7" t="s">
        <v>20</v>
      </c>
      <c r="B11" s="7" t="s">
        <v>119</v>
      </c>
      <c r="C11" s="7" t="n">
        <v>4</v>
      </c>
      <c r="D11" s="7" t="n">
        <v>0</v>
      </c>
      <c r="E11" s="6" t="n">
        <f aca="false">MAX(0,C12-D12)</f>
        <v>3</v>
      </c>
      <c r="F11" s="7" t="s">
        <v>104</v>
      </c>
      <c r="G11" s="7" t="n">
        <v>1.1</v>
      </c>
      <c r="H11" s="6" t="n">
        <f aca="false">IF(B11="","",IFERROR(E11*G11,0))</f>
        <v>3.3</v>
      </c>
      <c r="I11" s="7"/>
      <c r="J11" s="7"/>
    </row>
    <row r="12" customFormat="false" ht="15" hidden="false" customHeight="false" outlineLevel="0" collapsed="false">
      <c r="A12" s="7" t="s">
        <v>20</v>
      </c>
      <c r="B12" s="7" t="s">
        <v>123</v>
      </c>
      <c r="C12" s="7" t="n">
        <v>7</v>
      </c>
      <c r="D12" s="7" t="n">
        <v>4</v>
      </c>
      <c r="E12" s="6" t="n">
        <f aca="false">MAX(0,C13-D13)</f>
        <v>14</v>
      </c>
      <c r="F12" s="7" t="s">
        <v>124</v>
      </c>
      <c r="G12" s="7" t="n">
        <v>0.7</v>
      </c>
      <c r="H12" s="6" t="n">
        <f aca="false">IF(B12="","",IFERROR(E12*G12,0))</f>
        <v>9.8</v>
      </c>
      <c r="I12" s="7"/>
      <c r="J12" s="7"/>
    </row>
    <row r="13" customFormat="false" ht="15" hidden="false" customHeight="false" outlineLevel="0" collapsed="false">
      <c r="A13" s="7" t="s">
        <v>26</v>
      </c>
      <c r="B13" s="7" t="s">
        <v>125</v>
      </c>
      <c r="C13" s="7" t="n">
        <v>14</v>
      </c>
      <c r="D13" s="7" t="n">
        <v>0</v>
      </c>
      <c r="E13" s="6" t="n">
        <f aca="false">MAX(0,C14-D14)</f>
        <v>1</v>
      </c>
      <c r="F13" s="7" t="s">
        <v>126</v>
      </c>
      <c r="G13" s="7" t="n">
        <v>0.55</v>
      </c>
      <c r="H13" s="6" t="n">
        <f aca="false">IF(B13="","",IFERROR(E13*G13,0))</f>
        <v>0.55</v>
      </c>
      <c r="I13" s="7"/>
      <c r="J13" s="7"/>
    </row>
    <row r="14" customFormat="false" ht="15" hidden="false" customHeight="false" outlineLevel="0" collapsed="false">
      <c r="A14" s="7" t="s">
        <v>26</v>
      </c>
      <c r="B14" s="7" t="s">
        <v>129</v>
      </c>
      <c r="C14" s="7" t="n">
        <v>2</v>
      </c>
      <c r="D14" s="7" t="n">
        <v>1</v>
      </c>
      <c r="E14" s="6" t="n">
        <f aca="false">MAX(0,C15-D15)</f>
        <v>4</v>
      </c>
      <c r="F14" s="7" t="s">
        <v>104</v>
      </c>
      <c r="G14" s="7" t="n">
        <v>0.9</v>
      </c>
      <c r="H14" s="6" t="n">
        <f aca="false">IF(B14="","",IFERROR(E14*G14,0))</f>
        <v>3.6</v>
      </c>
      <c r="I14" s="7"/>
      <c r="J14" s="7"/>
    </row>
    <row r="15" customFormat="false" ht="15" hidden="false" customHeight="false" outlineLevel="0" collapsed="false">
      <c r="A15" s="7" t="s">
        <v>24</v>
      </c>
      <c r="B15" s="7" t="s">
        <v>130</v>
      </c>
      <c r="C15" s="7" t="n">
        <v>4</v>
      </c>
      <c r="D15" s="7" t="n">
        <v>0</v>
      </c>
      <c r="E15" s="6" t="n">
        <f aca="false">MAX(0,C16-D16)</f>
        <v>0.5</v>
      </c>
      <c r="F15" s="7" t="s">
        <v>124</v>
      </c>
      <c r="G15" s="7" t="n">
        <v>0.75</v>
      </c>
      <c r="H15" s="6" t="n">
        <f aca="false">IF(B15="","",IFERROR(E15*G15,0))</f>
        <v>0.375</v>
      </c>
      <c r="I15" s="7"/>
      <c r="J15" s="7"/>
    </row>
    <row r="16" customFormat="false" ht="15" hidden="false" customHeight="false" outlineLevel="0" collapsed="false">
      <c r="A16" s="7" t="s">
        <v>26</v>
      </c>
      <c r="B16" s="7" t="s">
        <v>131</v>
      </c>
      <c r="C16" s="7" t="n">
        <v>0.5</v>
      </c>
      <c r="D16" s="7" t="n">
        <v>0</v>
      </c>
      <c r="E16" s="6" t="n">
        <f aca="false">MAX(0,C17-D17)</f>
        <v>0</v>
      </c>
      <c r="F16" s="7" t="s">
        <v>104</v>
      </c>
      <c r="G16" s="7" t="n">
        <v>0.45</v>
      </c>
      <c r="H16" s="6" t="n">
        <f aca="false">IF(B16="","",IFERROR(E16*G16,0))</f>
        <v>0</v>
      </c>
      <c r="I16" s="7"/>
      <c r="J16" s="7"/>
    </row>
    <row r="17" customFormat="false" ht="15" hidden="false" customHeight="false" outlineLevel="0" collapsed="false">
      <c r="A17" s="7"/>
      <c r="B17" s="7"/>
      <c r="C17" s="7"/>
      <c r="D17" s="7"/>
      <c r="E17" s="6" t="str">
        <f aca="false">IF(B18="","",MAX(0,C18-D18))</f>
        <v/>
      </c>
      <c r="F17" s="7"/>
      <c r="G17" s="7"/>
      <c r="H17" s="6" t="str">
        <f aca="false">IF(B17="","",IFERROR(E17*G17,0))</f>
        <v/>
      </c>
      <c r="I17" s="7"/>
      <c r="J17" s="7"/>
    </row>
    <row r="18" customFormat="false" ht="15" hidden="false" customHeight="false" outlineLevel="0" collapsed="false">
      <c r="A18" s="7"/>
      <c r="B18" s="7"/>
      <c r="C18" s="7"/>
      <c r="D18" s="7"/>
      <c r="E18" s="6" t="str">
        <f aca="false">IF(B19="","",MAX(0,C19-D19))</f>
        <v/>
      </c>
      <c r="F18" s="7"/>
      <c r="G18" s="7"/>
      <c r="H18" s="6" t="str">
        <f aca="false">IF(B18="","",IFERROR(E18*G18,0))</f>
        <v/>
      </c>
      <c r="I18" s="7"/>
      <c r="J18" s="7"/>
    </row>
    <row r="19" customFormat="false" ht="15" hidden="false" customHeight="false" outlineLevel="0" collapsed="false">
      <c r="A19" s="7"/>
      <c r="B19" s="7"/>
      <c r="C19" s="7"/>
      <c r="D19" s="7"/>
      <c r="E19" s="6" t="str">
        <f aca="false">IF(B20="","",MAX(0,C20-D20))</f>
        <v/>
      </c>
      <c r="F19" s="7"/>
      <c r="G19" s="7"/>
      <c r="H19" s="6" t="str">
        <f aca="false">IF(B19="","",IFERROR(E19*G19,0))</f>
        <v/>
      </c>
      <c r="I19" s="7"/>
      <c r="J19" s="7"/>
    </row>
    <row r="20" customFormat="false" ht="15" hidden="false" customHeight="false" outlineLevel="0" collapsed="false">
      <c r="A20" s="7"/>
      <c r="B20" s="7"/>
      <c r="C20" s="7"/>
      <c r="D20" s="7"/>
      <c r="E20" s="6" t="str">
        <f aca="false">IF(B21="","",MAX(0,C21-D21))</f>
        <v/>
      </c>
      <c r="F20" s="7"/>
      <c r="G20" s="7"/>
      <c r="H20" s="6" t="str">
        <f aca="false">IF(B20="","",IFERROR(E20*G20,0))</f>
        <v/>
      </c>
      <c r="I20" s="7"/>
      <c r="J20" s="7"/>
    </row>
    <row r="21" customFormat="false" ht="15" hidden="false" customHeight="false" outlineLevel="0" collapsed="false">
      <c r="A21" s="7"/>
      <c r="B21" s="7"/>
      <c r="C21" s="7"/>
      <c r="D21" s="7"/>
      <c r="E21" s="6" t="str">
        <f aca="false">IF(B22="","",MAX(0,C22-D22))</f>
        <v/>
      </c>
      <c r="F21" s="7"/>
      <c r="G21" s="7"/>
      <c r="H21" s="6" t="str">
        <f aca="false">IF(B21="","",IFERROR(E21*G21,0))</f>
        <v/>
      </c>
      <c r="I21" s="7"/>
      <c r="J21" s="7"/>
    </row>
    <row r="22" customFormat="false" ht="15" hidden="false" customHeight="false" outlineLevel="0" collapsed="false">
      <c r="A22" s="7"/>
      <c r="B22" s="7"/>
      <c r="C22" s="7"/>
      <c r="D22" s="7"/>
      <c r="E22" s="6" t="str">
        <f aca="false">IF(B23="","",MAX(0,C23-D23))</f>
        <v/>
      </c>
      <c r="F22" s="7"/>
      <c r="G22" s="7"/>
      <c r="H22" s="6" t="str">
        <f aca="false">IF(B22="","",IFERROR(E22*G22,0))</f>
        <v/>
      </c>
      <c r="I22" s="7"/>
      <c r="J22" s="7"/>
    </row>
    <row r="23" customFormat="false" ht="15" hidden="false" customHeight="false" outlineLevel="0" collapsed="false">
      <c r="A23" s="7"/>
      <c r="B23" s="7"/>
      <c r="C23" s="7"/>
      <c r="D23" s="7"/>
      <c r="E23" s="6" t="str">
        <f aca="false">IF(B24="","",MAX(0,C24-D24))</f>
        <v/>
      </c>
      <c r="F23" s="7"/>
      <c r="G23" s="7"/>
      <c r="H23" s="6" t="str">
        <f aca="false">IF(B23="","",IFERROR(E23*G23,0))</f>
        <v/>
      </c>
      <c r="I23" s="7"/>
      <c r="J23" s="7"/>
    </row>
    <row r="24" customFormat="false" ht="15" hidden="false" customHeight="false" outlineLevel="0" collapsed="false">
      <c r="A24" s="7"/>
      <c r="B24" s="7"/>
      <c r="C24" s="7"/>
      <c r="D24" s="7"/>
      <c r="E24" s="6" t="str">
        <f aca="false">IF(B25="","",MAX(0,C25-D25))</f>
        <v/>
      </c>
      <c r="F24" s="7"/>
      <c r="G24" s="7"/>
      <c r="H24" s="6" t="str">
        <f aca="false">IF(B24="","",IFERROR(E24*G24,0))</f>
        <v/>
      </c>
      <c r="I24" s="7"/>
      <c r="J24" s="7"/>
    </row>
    <row r="25" customFormat="false" ht="15" hidden="false" customHeight="false" outlineLevel="0" collapsed="false">
      <c r="A25" s="7"/>
      <c r="B25" s="7"/>
      <c r="C25" s="7"/>
      <c r="D25" s="7"/>
      <c r="E25" s="6" t="str">
        <f aca="false">IF(B26="","",MAX(0,C26-D26))</f>
        <v/>
      </c>
      <c r="F25" s="7"/>
      <c r="G25" s="7"/>
      <c r="H25" s="6" t="str">
        <f aca="false">IF(B25="","",IFERROR(E25*G25,0))</f>
        <v/>
      </c>
      <c r="I25" s="7"/>
      <c r="J25" s="7"/>
    </row>
    <row r="26" customFormat="false" ht="15" hidden="false" customHeight="false" outlineLevel="0" collapsed="false">
      <c r="A26" s="7"/>
      <c r="B26" s="7"/>
      <c r="C26" s="7"/>
      <c r="D26" s="7"/>
      <c r="E26" s="6" t="str">
        <f aca="false">IF(B27="","",MAX(0,C27-D27))</f>
        <v/>
      </c>
      <c r="F26" s="7"/>
      <c r="G26" s="7"/>
      <c r="H26" s="6" t="str">
        <f aca="false">IF(B26="","",IFERROR(E26*G26,0))</f>
        <v/>
      </c>
      <c r="I26" s="7"/>
      <c r="J26" s="7"/>
    </row>
    <row r="27" customFormat="false" ht="15" hidden="false" customHeight="false" outlineLevel="0" collapsed="false">
      <c r="A27" s="7"/>
      <c r="B27" s="7"/>
      <c r="C27" s="7"/>
      <c r="D27" s="7"/>
      <c r="E27" s="6" t="str">
        <f aca="false">IF(B28="","",MAX(0,C28-D28))</f>
        <v/>
      </c>
      <c r="F27" s="7"/>
      <c r="G27" s="7"/>
      <c r="H27" s="6" t="str">
        <f aca="false">IF(B27="","",IFERROR(E27*G27,0))</f>
        <v/>
      </c>
      <c r="I27" s="7"/>
      <c r="J27" s="7"/>
    </row>
    <row r="28" customFormat="false" ht="15" hidden="false" customHeight="false" outlineLevel="0" collapsed="false">
      <c r="A28" s="7"/>
      <c r="B28" s="7"/>
      <c r="C28" s="7"/>
      <c r="D28" s="7"/>
      <c r="E28" s="6" t="str">
        <f aca="false">IF(B29="","",MAX(0,C29-D29))</f>
        <v/>
      </c>
      <c r="F28" s="7"/>
      <c r="G28" s="7"/>
      <c r="H28" s="6" t="str">
        <f aca="false">IF(B28="","",IFERROR(E28*G28,0))</f>
        <v/>
      </c>
      <c r="I28" s="7"/>
      <c r="J28" s="7"/>
    </row>
    <row r="29" customFormat="false" ht="15" hidden="false" customHeight="false" outlineLevel="0" collapsed="false">
      <c r="A29" s="7"/>
      <c r="B29" s="7"/>
      <c r="C29" s="7"/>
      <c r="D29" s="7"/>
      <c r="E29" s="6" t="str">
        <f aca="false">IF(B30="","",MAX(0,C30-D30))</f>
        <v/>
      </c>
      <c r="F29" s="7"/>
      <c r="G29" s="7"/>
      <c r="H29" s="6" t="str">
        <f aca="false">IF(B29="","",IFERROR(E29*G29,0))</f>
        <v/>
      </c>
      <c r="I29" s="7"/>
      <c r="J29" s="7"/>
    </row>
    <row r="30" customFormat="false" ht="15" hidden="false" customHeight="false" outlineLevel="0" collapsed="false">
      <c r="A30" s="7"/>
      <c r="B30" s="7"/>
      <c r="C30" s="7"/>
      <c r="D30" s="7"/>
      <c r="E30" s="6" t="str">
        <f aca="false">IF(B31="","",MAX(0,C31-D31))</f>
        <v/>
      </c>
      <c r="F30" s="7"/>
      <c r="G30" s="7"/>
      <c r="H30" s="6" t="str">
        <f aca="false">IF(B30="","",IFERROR(E30*G30,0))</f>
        <v/>
      </c>
      <c r="I30" s="7"/>
      <c r="J30" s="7"/>
    </row>
    <row r="31" customFormat="false" ht="15" hidden="false" customHeight="false" outlineLevel="0" collapsed="false">
      <c r="A31" s="7"/>
      <c r="B31" s="7"/>
      <c r="C31" s="7"/>
      <c r="D31" s="7"/>
      <c r="E31" s="6" t="str">
        <f aca="false">IF(B32="","",MAX(0,C32-D32))</f>
        <v/>
      </c>
      <c r="F31" s="7"/>
      <c r="G31" s="7"/>
      <c r="H31" s="6" t="str">
        <f aca="false">IF(B31="","",IFERROR(E31*G31,0))</f>
        <v/>
      </c>
      <c r="I31" s="7"/>
      <c r="J31" s="7"/>
    </row>
    <row r="32" customFormat="false" ht="15" hidden="false" customHeight="false" outlineLevel="0" collapsed="false">
      <c r="A32" s="7"/>
      <c r="B32" s="7"/>
      <c r="C32" s="7"/>
      <c r="D32" s="7"/>
      <c r="E32" s="6" t="str">
        <f aca="false">IF(B33="","",MAX(0,C33-D33))</f>
        <v/>
      </c>
      <c r="F32" s="7"/>
      <c r="G32" s="7"/>
      <c r="H32" s="6" t="str">
        <f aca="false">IF(B32="","",IFERROR(E32*G32,0))</f>
        <v/>
      </c>
      <c r="I32" s="7"/>
      <c r="J32" s="7"/>
    </row>
    <row r="33" customFormat="false" ht="15" hidden="false" customHeight="false" outlineLevel="0" collapsed="false">
      <c r="A33" s="7"/>
      <c r="B33" s="7"/>
      <c r="C33" s="7"/>
      <c r="D33" s="7"/>
      <c r="E33" s="6" t="str">
        <f aca="false">IF(B34="","",MAX(0,C34-D34))</f>
        <v/>
      </c>
      <c r="F33" s="7"/>
      <c r="G33" s="7"/>
      <c r="H33" s="6" t="str">
        <f aca="false">IF(B33="","",IFERROR(E33*G33,0))</f>
        <v/>
      </c>
      <c r="I33" s="7"/>
      <c r="J33" s="7"/>
    </row>
    <row r="34" customFormat="false" ht="15" hidden="false" customHeight="false" outlineLevel="0" collapsed="false">
      <c r="A34" s="7"/>
      <c r="B34" s="7"/>
      <c r="C34" s="7"/>
      <c r="D34" s="7"/>
      <c r="E34" s="6" t="str">
        <f aca="false">IF(B35="","",MAX(0,C35-D35))</f>
        <v/>
      </c>
      <c r="F34" s="7"/>
      <c r="G34" s="7"/>
      <c r="H34" s="6" t="str">
        <f aca="false">IF(B34="","",IFERROR(E34*G34,0))</f>
        <v/>
      </c>
      <c r="I34" s="7"/>
      <c r="J34" s="7"/>
    </row>
    <row r="35" customFormat="false" ht="15" hidden="false" customHeight="false" outlineLevel="0" collapsed="false">
      <c r="A35" s="7"/>
      <c r="B35" s="7"/>
      <c r="C35" s="7"/>
      <c r="D35" s="7"/>
      <c r="E35" s="6" t="str">
        <f aca="false">IF(B36="","",MAX(0,C36-D36))</f>
        <v/>
      </c>
      <c r="F35" s="7"/>
      <c r="G35" s="7"/>
      <c r="H35" s="6" t="str">
        <f aca="false">IF(B35="","",IFERROR(E35*G35,0))</f>
        <v/>
      </c>
      <c r="I35" s="7"/>
      <c r="J35" s="7"/>
    </row>
    <row r="36" customFormat="false" ht="15" hidden="false" customHeight="false" outlineLevel="0" collapsed="false">
      <c r="A36" s="7"/>
      <c r="B36" s="7"/>
      <c r="C36" s="7"/>
      <c r="D36" s="7"/>
      <c r="E36" s="6" t="str">
        <f aca="false">IF(B37="","",MAX(0,C37-D37))</f>
        <v/>
      </c>
      <c r="F36" s="7"/>
      <c r="G36" s="7"/>
      <c r="H36" s="6" t="str">
        <f aca="false">IF(B36="","",IFERROR(E36*G36,0))</f>
        <v/>
      </c>
      <c r="I36" s="7"/>
      <c r="J36" s="7"/>
    </row>
    <row r="37" customFormat="false" ht="15" hidden="false" customHeight="false" outlineLevel="0" collapsed="false">
      <c r="A37" s="7"/>
      <c r="B37" s="7"/>
      <c r="C37" s="7"/>
      <c r="D37" s="7"/>
      <c r="E37" s="6" t="str">
        <f aca="false">IF(B38="","",MAX(0,C38-D38))</f>
        <v/>
      </c>
      <c r="F37" s="7"/>
      <c r="G37" s="7"/>
      <c r="H37" s="6" t="str">
        <f aca="false">IF(B37="","",IFERROR(E37*G37,0))</f>
        <v/>
      </c>
      <c r="I37" s="7"/>
      <c r="J37" s="7"/>
    </row>
    <row r="38" customFormat="false" ht="15" hidden="false" customHeight="false" outlineLevel="0" collapsed="false">
      <c r="A38" s="7"/>
      <c r="B38" s="7"/>
      <c r="C38" s="7"/>
      <c r="D38" s="7"/>
      <c r="E38" s="6" t="str">
        <f aca="false">IF(B39="","",MAX(0,C39-D39))</f>
        <v/>
      </c>
      <c r="F38" s="7"/>
      <c r="G38" s="7"/>
      <c r="H38" s="6" t="str">
        <f aca="false">IF(B38="","",IFERROR(E38*G38,0))</f>
        <v/>
      </c>
      <c r="I38" s="7"/>
      <c r="J38" s="7"/>
    </row>
    <row r="39" customFormat="false" ht="15" hidden="false" customHeight="false" outlineLevel="0" collapsed="false">
      <c r="A39" s="7"/>
      <c r="B39" s="7"/>
      <c r="C39" s="7"/>
      <c r="D39" s="7"/>
      <c r="E39" s="6" t="str">
        <f aca="false">IF(B40="","",MAX(0,C40-D40))</f>
        <v/>
      </c>
      <c r="F39" s="7"/>
      <c r="G39" s="7"/>
      <c r="H39" s="6" t="str">
        <f aca="false">IF(B39="","",IFERROR(E39*G39,0))</f>
        <v/>
      </c>
      <c r="I39" s="7"/>
      <c r="J39" s="7"/>
    </row>
    <row r="40" customFormat="false" ht="15" hidden="false" customHeight="false" outlineLevel="0" collapsed="false">
      <c r="A40" s="7"/>
      <c r="B40" s="7"/>
      <c r="C40" s="7"/>
      <c r="D40" s="7"/>
      <c r="E40" s="6" t="str">
        <f aca="false">IF(B41="","",MAX(0,C41-D41))</f>
        <v/>
      </c>
      <c r="F40" s="7"/>
      <c r="G40" s="7"/>
      <c r="H40" s="6" t="str">
        <f aca="false">IF(B40="","",IFERROR(E40*G40,0))</f>
        <v/>
      </c>
      <c r="I40" s="7"/>
      <c r="J40" s="7"/>
    </row>
    <row r="41" customFormat="false" ht="15" hidden="false" customHeight="false" outlineLevel="0" collapsed="false">
      <c r="A41" s="7"/>
      <c r="B41" s="7"/>
      <c r="C41" s="7"/>
      <c r="D41" s="7"/>
      <c r="E41" s="6" t="str">
        <f aca="false">IF(B42="","",MAX(0,C42-D42))</f>
        <v/>
      </c>
      <c r="F41" s="7"/>
      <c r="G41" s="7"/>
      <c r="H41" s="6" t="str">
        <f aca="false">IF(B41="","",IFERROR(E41*G41,0))</f>
        <v/>
      </c>
      <c r="I41" s="7"/>
      <c r="J41" s="7"/>
    </row>
    <row r="42" customFormat="false" ht="15" hidden="false" customHeight="false" outlineLevel="0" collapsed="false">
      <c r="A42" s="7"/>
      <c r="B42" s="7"/>
      <c r="C42" s="7"/>
      <c r="D42" s="7"/>
      <c r="E42" s="6" t="str">
        <f aca="false">IF(B43="","",MAX(0,C43-D43))</f>
        <v/>
      </c>
      <c r="F42" s="7"/>
      <c r="G42" s="7"/>
      <c r="H42" s="6" t="str">
        <f aca="false">IF(B42="","",IFERROR(E42*G42,0))</f>
        <v/>
      </c>
      <c r="I42" s="7"/>
      <c r="J42" s="7"/>
    </row>
    <row r="43" customFormat="false" ht="15" hidden="false" customHeight="false" outlineLevel="0" collapsed="false">
      <c r="A43" s="7"/>
      <c r="B43" s="7"/>
      <c r="C43" s="7"/>
      <c r="D43" s="7"/>
      <c r="E43" s="6" t="str">
        <f aca="false">IF(B44="","",MAX(0,C44-D44))</f>
        <v/>
      </c>
      <c r="F43" s="7"/>
      <c r="G43" s="7"/>
      <c r="H43" s="6" t="str">
        <f aca="false">IF(B43="","",IFERROR(E43*G43,0))</f>
        <v/>
      </c>
      <c r="I43" s="7"/>
      <c r="J43" s="7"/>
    </row>
    <row r="44" customFormat="false" ht="15" hidden="false" customHeight="false" outlineLevel="0" collapsed="false">
      <c r="A44" s="7"/>
      <c r="B44" s="7"/>
      <c r="C44" s="7"/>
      <c r="D44" s="7"/>
      <c r="E44" s="6" t="str">
        <f aca="false">IF(B45="","",MAX(0,C45-D45))</f>
        <v/>
      </c>
      <c r="F44" s="7"/>
      <c r="G44" s="7"/>
      <c r="H44" s="6" t="str">
        <f aca="false">IF(B44="","",IFERROR(E44*G44,0))</f>
        <v/>
      </c>
      <c r="I44" s="7"/>
      <c r="J44" s="7"/>
    </row>
    <row r="45" customFormat="false" ht="15" hidden="false" customHeight="false" outlineLevel="0" collapsed="false">
      <c r="A45" s="7"/>
      <c r="B45" s="7"/>
      <c r="C45" s="7"/>
      <c r="D45" s="7"/>
      <c r="E45" s="6" t="str">
        <f aca="false">IF(B46="","",MAX(0,C46-D46))</f>
        <v/>
      </c>
      <c r="F45" s="7"/>
      <c r="G45" s="7"/>
      <c r="H45" s="6" t="str">
        <f aca="false">IF(B45="","",IFERROR(E45*G45,0))</f>
        <v/>
      </c>
      <c r="I45" s="7"/>
      <c r="J45" s="7"/>
    </row>
    <row r="46" customFormat="false" ht="15" hidden="false" customHeight="false" outlineLevel="0" collapsed="false">
      <c r="A46" s="7"/>
      <c r="B46" s="7"/>
      <c r="C46" s="7"/>
      <c r="D46" s="7"/>
      <c r="E46" s="6" t="str">
        <f aca="false">IF(B47="","",MAX(0,C47-D47))</f>
        <v/>
      </c>
      <c r="F46" s="7"/>
      <c r="G46" s="7"/>
      <c r="H46" s="6" t="str">
        <f aca="false">IF(B46="","",IFERROR(E46*G46,0))</f>
        <v/>
      </c>
      <c r="I46" s="7"/>
      <c r="J46" s="7"/>
    </row>
    <row r="47" customFormat="false" ht="15" hidden="false" customHeight="false" outlineLevel="0" collapsed="false">
      <c r="A47" s="7"/>
      <c r="B47" s="7"/>
      <c r="C47" s="7"/>
      <c r="D47" s="7"/>
      <c r="E47" s="6" t="str">
        <f aca="false">IF(B48="","",MAX(0,C48-D48))</f>
        <v/>
      </c>
      <c r="F47" s="7"/>
      <c r="G47" s="7"/>
      <c r="H47" s="6" t="str">
        <f aca="false">IF(B47="","",IFERROR(E47*G47,0))</f>
        <v/>
      </c>
      <c r="I47" s="7"/>
      <c r="J47" s="7"/>
    </row>
    <row r="48" customFormat="false" ht="15" hidden="false" customHeight="false" outlineLevel="0" collapsed="false">
      <c r="A48" s="7"/>
      <c r="B48" s="7"/>
      <c r="C48" s="7"/>
      <c r="D48" s="7"/>
      <c r="E48" s="6" t="str">
        <f aca="false">IF(B49="","",MAX(0,C49-D49))</f>
        <v/>
      </c>
      <c r="F48" s="7"/>
      <c r="G48" s="7"/>
      <c r="H48" s="6" t="str">
        <f aca="false">IF(B48="","",IFERROR(E48*G48,0))</f>
        <v/>
      </c>
      <c r="I48" s="7"/>
      <c r="J48" s="7"/>
    </row>
    <row r="49" customFormat="false" ht="15" hidden="false" customHeight="false" outlineLevel="0" collapsed="false">
      <c r="A49" s="7"/>
      <c r="B49" s="7"/>
      <c r="C49" s="7"/>
      <c r="D49" s="7"/>
      <c r="E49" s="6" t="str">
        <f aca="false">IF(B50="","",MAX(0,C50-D50))</f>
        <v/>
      </c>
      <c r="F49" s="7"/>
      <c r="G49" s="7"/>
      <c r="H49" s="6" t="str">
        <f aca="false">IF(B49="","",IFERROR(E49*G49,0))</f>
        <v/>
      </c>
      <c r="I49" s="7"/>
      <c r="J49" s="7"/>
    </row>
    <row r="50" customFormat="false" ht="15" hidden="false" customHeight="false" outlineLevel="0" collapsed="false">
      <c r="A50" s="7"/>
      <c r="B50" s="7"/>
      <c r="C50" s="7"/>
      <c r="D50" s="7"/>
      <c r="E50" s="6" t="str">
        <f aca="false">IF(B51="","",MAX(0,C51-D51))</f>
        <v/>
      </c>
      <c r="F50" s="7"/>
      <c r="G50" s="7"/>
      <c r="H50" s="6" t="str">
        <f aca="false">IF(B50="","",IFERROR(E50*G50,0))</f>
        <v/>
      </c>
      <c r="I50" s="7"/>
      <c r="J50" s="7"/>
    </row>
    <row r="51" customFormat="false" ht="15" hidden="false" customHeight="false" outlineLevel="0" collapsed="false">
      <c r="A51" s="7"/>
      <c r="B51" s="7"/>
      <c r="C51" s="7"/>
      <c r="D51" s="7"/>
      <c r="E51" s="6" t="str">
        <f aca="false">IF(B52="","",MAX(0,C52-D52))</f>
        <v/>
      </c>
      <c r="F51" s="7"/>
      <c r="G51" s="7"/>
      <c r="H51" s="6" t="str">
        <f aca="false">IF(B51="","",IFERROR(E51*G51,0))</f>
        <v/>
      </c>
      <c r="I51" s="7"/>
      <c r="J51" s="7"/>
    </row>
    <row r="52" customFormat="false" ht="15" hidden="false" customHeight="false" outlineLevel="0" collapsed="false">
      <c r="A52" s="7"/>
      <c r="B52" s="7"/>
      <c r="C52" s="7"/>
      <c r="D52" s="7"/>
      <c r="E52" s="6" t="str">
        <f aca="false">IF(B53="","",MAX(0,C53-D53))</f>
        <v/>
      </c>
      <c r="F52" s="7"/>
      <c r="G52" s="7"/>
      <c r="H52" s="6" t="str">
        <f aca="false">IF(B52="","",IFERROR(E52*G52,0))</f>
        <v/>
      </c>
      <c r="I52" s="7"/>
      <c r="J52" s="7"/>
    </row>
    <row r="53" customFormat="false" ht="15" hidden="false" customHeight="false" outlineLevel="0" collapsed="false">
      <c r="A53" s="7"/>
      <c r="B53" s="7"/>
      <c r="C53" s="7"/>
      <c r="D53" s="7"/>
      <c r="E53" s="6" t="str">
        <f aca="false">IF(B54="","",MAX(0,C54-D54))</f>
        <v/>
      </c>
      <c r="F53" s="7"/>
      <c r="G53" s="7"/>
      <c r="H53" s="6" t="str">
        <f aca="false">IF(B53="","",IFERROR(E53*G53,0))</f>
        <v/>
      </c>
      <c r="I53" s="7"/>
      <c r="J53" s="7"/>
    </row>
    <row r="54" customFormat="false" ht="15" hidden="false" customHeight="false" outlineLevel="0" collapsed="false">
      <c r="A54" s="7"/>
      <c r="B54" s="7"/>
      <c r="C54" s="7"/>
      <c r="D54" s="7"/>
      <c r="E54" s="6" t="str">
        <f aca="false">IF(B55="","",MAX(0,C55-D55))</f>
        <v/>
      </c>
      <c r="F54" s="7"/>
      <c r="G54" s="7"/>
      <c r="H54" s="6" t="str">
        <f aca="false">IF(B54="","",IFERROR(E54*G54,0))</f>
        <v/>
      </c>
      <c r="I54" s="7"/>
      <c r="J54" s="7"/>
    </row>
    <row r="55" customFormat="false" ht="15" hidden="false" customHeight="false" outlineLevel="0" collapsed="false">
      <c r="A55" s="7"/>
      <c r="B55" s="7"/>
      <c r="C55" s="7"/>
      <c r="D55" s="7"/>
      <c r="E55" s="6" t="str">
        <f aca="false">IF(B56="","",MAX(0,C56-D56))</f>
        <v/>
      </c>
      <c r="F55" s="7"/>
      <c r="G55" s="7"/>
      <c r="H55" s="6" t="str">
        <f aca="false">IF(B55="","",IFERROR(E55*G55,0))</f>
        <v/>
      </c>
      <c r="I55" s="7"/>
      <c r="J55" s="7"/>
    </row>
    <row r="56" customFormat="false" ht="15" hidden="false" customHeight="false" outlineLevel="0" collapsed="false">
      <c r="A56" s="7"/>
      <c r="B56" s="7"/>
      <c r="C56" s="7"/>
      <c r="D56" s="7"/>
      <c r="E56" s="6" t="str">
        <f aca="false">IF(B57="","",MAX(0,C57-D57))</f>
        <v/>
      </c>
      <c r="F56" s="7"/>
      <c r="G56" s="7"/>
      <c r="H56" s="6" t="str">
        <f aca="false">IF(B56="","",IFERROR(E56*G56,0))</f>
        <v/>
      </c>
      <c r="I56" s="7"/>
      <c r="J56" s="7"/>
    </row>
    <row r="57" customFormat="false" ht="15" hidden="false" customHeight="false" outlineLevel="0" collapsed="false">
      <c r="A57" s="7"/>
      <c r="B57" s="7"/>
      <c r="C57" s="7"/>
      <c r="D57" s="7"/>
      <c r="E57" s="6" t="str">
        <f aca="false">IF(B58="","",MAX(0,C58-D58))</f>
        <v/>
      </c>
      <c r="F57" s="7"/>
      <c r="G57" s="7"/>
      <c r="H57" s="6" t="str">
        <f aca="false">IF(B57="","",IFERROR(E57*G57,0))</f>
        <v/>
      </c>
      <c r="I57" s="7"/>
      <c r="J57" s="7"/>
    </row>
    <row r="58" customFormat="false" ht="15" hidden="false" customHeight="false" outlineLevel="0" collapsed="false">
      <c r="A58" s="7"/>
      <c r="B58" s="7"/>
      <c r="C58" s="7"/>
      <c r="D58" s="7"/>
      <c r="E58" s="6" t="str">
        <f aca="false">IF(B59="","",MAX(0,C59-D59))</f>
        <v/>
      </c>
      <c r="F58" s="7"/>
      <c r="G58" s="7"/>
      <c r="H58" s="6" t="str">
        <f aca="false">IF(B58="","",IFERROR(E58*G58,0))</f>
        <v/>
      </c>
      <c r="I58" s="7"/>
      <c r="J58" s="7"/>
    </row>
    <row r="59" customFormat="false" ht="15" hidden="false" customHeight="false" outlineLevel="0" collapsed="false">
      <c r="A59" s="7"/>
      <c r="B59" s="7"/>
      <c r="C59" s="7"/>
      <c r="D59" s="7"/>
      <c r="E59" s="6" t="str">
        <f aca="false">IF(B60="","",MAX(0,C60-D60))</f>
        <v/>
      </c>
      <c r="F59" s="7"/>
      <c r="G59" s="7"/>
      <c r="H59" s="6" t="str">
        <f aca="false">IF(B59="","",IFERROR(E59*G59,0))</f>
        <v/>
      </c>
      <c r="I59" s="7"/>
      <c r="J59" s="7"/>
    </row>
    <row r="60" customFormat="false" ht="15" hidden="false" customHeight="false" outlineLevel="0" collapsed="false">
      <c r="A60" s="7"/>
      <c r="B60" s="7"/>
      <c r="C60" s="7"/>
      <c r="D60" s="7"/>
      <c r="E60" s="6" t="str">
        <f aca="false">IF(B61="","",MAX(0,C61-D61))</f>
        <v/>
      </c>
      <c r="F60" s="7"/>
      <c r="G60" s="7"/>
      <c r="H60" s="6" t="str">
        <f aca="false">IF(B60="","",IFERROR(E60*G60,0))</f>
        <v/>
      </c>
      <c r="I60" s="7"/>
      <c r="J60" s="7"/>
    </row>
    <row r="61" customFormat="false" ht="15" hidden="false" customHeight="false" outlineLevel="0" collapsed="false">
      <c r="A61" s="7"/>
      <c r="B61" s="7"/>
      <c r="C61" s="7"/>
      <c r="D61" s="7"/>
      <c r="E61" s="6" t="str">
        <f aca="false">IF(B62="","",MAX(0,C62-D62))</f>
        <v/>
      </c>
      <c r="F61" s="7"/>
      <c r="G61" s="7"/>
      <c r="H61" s="6" t="str">
        <f aca="false">IF(B61="","",IFERROR(E61*G61,0))</f>
        <v/>
      </c>
      <c r="I61" s="7"/>
      <c r="J61" s="7"/>
    </row>
    <row r="62" customFormat="false" ht="15" hidden="false" customHeight="false" outlineLevel="0" collapsed="false">
      <c r="A62" s="7"/>
      <c r="B62" s="7"/>
      <c r="C62" s="7"/>
      <c r="D62" s="7"/>
      <c r="E62" s="6" t="str">
        <f aca="false">IF(B63="","",MAX(0,C63-D63))</f>
        <v/>
      </c>
      <c r="F62" s="7"/>
      <c r="G62" s="7"/>
      <c r="H62" s="6" t="str">
        <f aca="false">IF(B62="","",IFERROR(E62*G62,0))</f>
        <v/>
      </c>
      <c r="I62" s="7"/>
      <c r="J62" s="7"/>
    </row>
    <row r="63" customFormat="false" ht="15" hidden="false" customHeight="false" outlineLevel="0" collapsed="false">
      <c r="A63" s="7"/>
      <c r="B63" s="7"/>
      <c r="C63" s="7"/>
      <c r="D63" s="7"/>
      <c r="E63" s="6" t="str">
        <f aca="false">IF(B64="","",MAX(0,C64-D64))</f>
        <v/>
      </c>
      <c r="F63" s="7"/>
      <c r="G63" s="7"/>
      <c r="H63" s="6" t="str">
        <f aca="false">IF(B63="","",IFERROR(E63*G63,0))</f>
        <v/>
      </c>
      <c r="I63" s="7"/>
      <c r="J63" s="7"/>
    </row>
    <row r="64" customFormat="false" ht="15" hidden="false" customHeight="false" outlineLevel="0" collapsed="false">
      <c r="A64" s="7"/>
      <c r="B64" s="7"/>
      <c r="C64" s="7"/>
      <c r="D64" s="7"/>
      <c r="E64" s="6" t="str">
        <f aca="false">IF(B65="","",MAX(0,C65-D65))</f>
        <v/>
      </c>
      <c r="F64" s="7"/>
      <c r="G64" s="7"/>
      <c r="H64" s="6" t="str">
        <f aca="false">IF(B64="","",IFERROR(E64*G64,0))</f>
        <v/>
      </c>
      <c r="I64" s="7"/>
      <c r="J64" s="7"/>
    </row>
    <row r="65" customFormat="false" ht="15" hidden="false" customHeight="false" outlineLevel="0" collapsed="false">
      <c r="A65" s="7"/>
      <c r="B65" s="7"/>
      <c r="C65" s="7"/>
      <c r="D65" s="7"/>
      <c r="E65" s="6" t="str">
        <f aca="false">IF(B66="","",MAX(0,C66-D66))</f>
        <v/>
      </c>
      <c r="F65" s="7"/>
      <c r="G65" s="7"/>
      <c r="H65" s="6" t="str">
        <f aca="false">IF(B65="","",IFERROR(E65*G65,0))</f>
        <v/>
      </c>
      <c r="I65" s="7"/>
      <c r="J65" s="7"/>
    </row>
    <row r="66" customFormat="false" ht="15" hidden="false" customHeight="false" outlineLevel="0" collapsed="false">
      <c r="A66" s="7"/>
      <c r="B66" s="7"/>
      <c r="C66" s="7"/>
      <c r="D66" s="7"/>
      <c r="E66" s="6" t="str">
        <f aca="false">IF(B67="","",MAX(0,C67-D67))</f>
        <v/>
      </c>
      <c r="F66" s="7"/>
      <c r="G66" s="7"/>
      <c r="H66" s="6" t="str">
        <f aca="false">IF(B66="","",IFERROR(E66*G66,0))</f>
        <v/>
      </c>
      <c r="I66" s="7"/>
      <c r="J66" s="7"/>
    </row>
    <row r="67" customFormat="false" ht="15" hidden="false" customHeight="false" outlineLevel="0" collapsed="false">
      <c r="A67" s="7"/>
      <c r="B67" s="7"/>
      <c r="C67" s="7"/>
      <c r="D67" s="7"/>
      <c r="E67" s="6" t="str">
        <f aca="false">IF(B68="","",MAX(0,C68-D68))</f>
        <v/>
      </c>
      <c r="F67" s="7"/>
      <c r="G67" s="7"/>
      <c r="H67" s="6" t="str">
        <f aca="false">IF(B67="","",IFERROR(E67*G67,0))</f>
        <v/>
      </c>
      <c r="I67" s="7"/>
      <c r="J67" s="7"/>
    </row>
    <row r="68" customFormat="false" ht="15" hidden="false" customHeight="false" outlineLevel="0" collapsed="false">
      <c r="A68" s="7"/>
      <c r="B68" s="7"/>
      <c r="C68" s="7"/>
      <c r="D68" s="7"/>
      <c r="E68" s="6" t="str">
        <f aca="false">IF(B69="","",MAX(0,C69-D69))</f>
        <v/>
      </c>
      <c r="F68" s="7"/>
      <c r="G68" s="7"/>
      <c r="H68" s="6" t="str">
        <f aca="false">IF(B68="","",IFERROR(E68*G68,0))</f>
        <v/>
      </c>
      <c r="I68" s="7"/>
      <c r="J68" s="7"/>
    </row>
    <row r="69" customFormat="false" ht="15" hidden="false" customHeight="false" outlineLevel="0" collapsed="false">
      <c r="A69" s="7"/>
      <c r="B69" s="7"/>
      <c r="C69" s="7"/>
      <c r="D69" s="7"/>
      <c r="E69" s="6" t="str">
        <f aca="false">IF(B70="","",MAX(0,C70-D70))</f>
        <v/>
      </c>
      <c r="F69" s="7"/>
      <c r="G69" s="7"/>
      <c r="H69" s="6" t="str">
        <f aca="false">IF(B69="","",IFERROR(E69*G69,0))</f>
        <v/>
      </c>
      <c r="I69" s="7"/>
      <c r="J69" s="7"/>
    </row>
    <row r="70" customFormat="false" ht="15" hidden="false" customHeight="false" outlineLevel="0" collapsed="false">
      <c r="A70" s="7"/>
      <c r="B70" s="7"/>
      <c r="C70" s="7"/>
      <c r="D70" s="7"/>
      <c r="E70" s="6" t="str">
        <f aca="false">IF(B71="","",MAX(0,C71-D71))</f>
        <v/>
      </c>
      <c r="F70" s="7"/>
      <c r="G70" s="7"/>
      <c r="H70" s="6" t="str">
        <f aca="false">IF(B70="","",IFERROR(E70*G70,0))</f>
        <v/>
      </c>
      <c r="I70" s="7"/>
      <c r="J70" s="7"/>
    </row>
    <row r="71" customFormat="false" ht="15" hidden="false" customHeight="false" outlineLevel="0" collapsed="false">
      <c r="A71" s="7"/>
      <c r="B71" s="7"/>
      <c r="C71" s="7"/>
      <c r="D71" s="7"/>
      <c r="E71" s="6" t="str">
        <f aca="false">IF(B72="","",MAX(0,C72-D72))</f>
        <v/>
      </c>
      <c r="F71" s="7"/>
      <c r="G71" s="7"/>
      <c r="H71" s="6" t="str">
        <f aca="false">IF(B71="","",IFERROR(E71*G71,0))</f>
        <v/>
      </c>
      <c r="I71" s="7"/>
      <c r="J71" s="7"/>
    </row>
    <row r="72" customFormat="false" ht="15" hidden="false" customHeight="false" outlineLevel="0" collapsed="false">
      <c r="A72" s="7"/>
      <c r="B72" s="7"/>
      <c r="C72" s="7"/>
      <c r="D72" s="7"/>
      <c r="E72" s="6" t="str">
        <f aca="false">IF(B73="","",MAX(0,C73-D73))</f>
        <v/>
      </c>
      <c r="F72" s="7"/>
      <c r="G72" s="7"/>
      <c r="H72" s="6" t="str">
        <f aca="false">IF(B72="","",IFERROR(E72*G72,0))</f>
        <v/>
      </c>
      <c r="I72" s="7"/>
      <c r="J72" s="7"/>
    </row>
    <row r="73" customFormat="false" ht="15" hidden="false" customHeight="false" outlineLevel="0" collapsed="false">
      <c r="A73" s="7"/>
      <c r="B73" s="7"/>
      <c r="C73" s="7"/>
      <c r="D73" s="7"/>
      <c r="E73" s="6" t="str">
        <f aca="false">IF(B74="","",MAX(0,C74-D74))</f>
        <v/>
      </c>
      <c r="F73" s="7"/>
      <c r="G73" s="7"/>
      <c r="H73" s="6" t="str">
        <f aca="false">IF(B73="","",IFERROR(E73*G73,0))</f>
        <v/>
      </c>
      <c r="I73" s="7"/>
      <c r="J73" s="7"/>
    </row>
    <row r="74" customFormat="false" ht="15" hidden="false" customHeight="false" outlineLevel="0" collapsed="false">
      <c r="A74" s="7"/>
      <c r="B74" s="7"/>
      <c r="C74" s="7"/>
      <c r="D74" s="7"/>
      <c r="E74" s="6" t="str">
        <f aca="false">IF(B75="","",MAX(0,C75-D75))</f>
        <v/>
      </c>
      <c r="F74" s="7"/>
      <c r="G74" s="7"/>
      <c r="H74" s="6" t="str">
        <f aca="false">IF(B74="","",IFERROR(E74*G74,0))</f>
        <v/>
      </c>
      <c r="I74" s="7"/>
      <c r="J74" s="7"/>
    </row>
    <row r="75" customFormat="false" ht="15" hidden="false" customHeight="false" outlineLevel="0" collapsed="false">
      <c r="A75" s="7"/>
      <c r="B75" s="7"/>
      <c r="C75" s="7"/>
      <c r="D75" s="7"/>
      <c r="E75" s="6" t="str">
        <f aca="false">IF(B76="","",MAX(0,C76-D76))</f>
        <v/>
      </c>
      <c r="F75" s="7"/>
      <c r="G75" s="7"/>
      <c r="H75" s="6" t="str">
        <f aca="false">IF(B75="","",IFERROR(E75*G75,0))</f>
        <v/>
      </c>
      <c r="I75" s="7"/>
      <c r="J75" s="7"/>
    </row>
    <row r="76" customFormat="false" ht="15" hidden="false" customHeight="false" outlineLevel="0" collapsed="false">
      <c r="A76" s="7"/>
      <c r="B76" s="7"/>
      <c r="C76" s="7"/>
      <c r="D76" s="7"/>
      <c r="E76" s="6" t="str">
        <f aca="false">IF(B77="","",MAX(0,C77-D77))</f>
        <v/>
      </c>
      <c r="F76" s="7"/>
      <c r="G76" s="7"/>
      <c r="H76" s="6" t="str">
        <f aca="false">IF(B76="","",IFERROR(E76*G76,0))</f>
        <v/>
      </c>
      <c r="I76" s="7"/>
      <c r="J76" s="7"/>
    </row>
    <row r="77" customFormat="false" ht="15" hidden="false" customHeight="false" outlineLevel="0" collapsed="false">
      <c r="A77" s="7"/>
      <c r="B77" s="7"/>
      <c r="C77" s="7"/>
      <c r="D77" s="7"/>
      <c r="E77" s="6" t="str">
        <f aca="false">IF(B78="","",MAX(0,C78-D78))</f>
        <v/>
      </c>
      <c r="F77" s="7"/>
      <c r="G77" s="7"/>
      <c r="H77" s="6" t="str">
        <f aca="false">IF(B77="","",IFERROR(E77*G77,0))</f>
        <v/>
      </c>
      <c r="I77" s="7"/>
      <c r="J77" s="7"/>
    </row>
    <row r="78" customFormat="false" ht="15" hidden="false" customHeight="false" outlineLevel="0" collapsed="false">
      <c r="A78" s="7"/>
      <c r="B78" s="7"/>
      <c r="C78" s="7"/>
      <c r="D78" s="7"/>
      <c r="E78" s="6" t="str">
        <f aca="false">IF(B79="","",MAX(0,C79-D79))</f>
        <v/>
      </c>
      <c r="F78" s="7"/>
      <c r="G78" s="7"/>
      <c r="H78" s="6" t="str">
        <f aca="false">IF(B78="","",IFERROR(E78*G78,0))</f>
        <v/>
      </c>
      <c r="I78" s="7"/>
      <c r="J78" s="7"/>
    </row>
    <row r="79" customFormat="false" ht="15" hidden="false" customHeight="false" outlineLevel="0" collapsed="false">
      <c r="A79" s="7"/>
      <c r="B79" s="7"/>
      <c r="C79" s="7"/>
      <c r="D79" s="7"/>
      <c r="E79" s="6" t="str">
        <f aca="false">IF(B80="","",MAX(0,C80-D80))</f>
        <v/>
      </c>
      <c r="F79" s="7"/>
      <c r="G79" s="7"/>
      <c r="H79" s="6" t="str">
        <f aca="false">IF(B79="","",IFERROR(E79*G79,0))</f>
        <v/>
      </c>
      <c r="I79" s="7"/>
      <c r="J79" s="7"/>
    </row>
    <row r="80" customFormat="false" ht="15" hidden="false" customHeight="false" outlineLevel="0" collapsed="false">
      <c r="A80" s="7"/>
      <c r="B80" s="7"/>
      <c r="C80" s="7"/>
      <c r="D80" s="7"/>
      <c r="E80" s="6" t="str">
        <f aca="false">IF(B81="","",MAX(0,C81-D81))</f>
        <v/>
      </c>
      <c r="F80" s="7"/>
      <c r="G80" s="7"/>
      <c r="H80" s="6" t="str">
        <f aca="false">IF(B80="","",IFERROR(E80*G80,0))</f>
        <v/>
      </c>
      <c r="I80" s="7"/>
      <c r="J80" s="7"/>
    </row>
    <row r="81" customFormat="false" ht="15" hidden="false" customHeight="false" outlineLevel="0" collapsed="false">
      <c r="A81" s="7"/>
      <c r="B81" s="7"/>
      <c r="C81" s="7"/>
      <c r="D81" s="7"/>
      <c r="E81" s="6" t="str">
        <f aca="false">IF(B82="","",MAX(0,C82-D82))</f>
        <v/>
      </c>
      <c r="F81" s="7"/>
      <c r="G81" s="7"/>
      <c r="H81" s="6" t="str">
        <f aca="false">IF(B81="","",IFERROR(E81*G81,0))</f>
        <v/>
      </c>
      <c r="I81" s="7"/>
      <c r="J81" s="7"/>
    </row>
    <row r="82" customFormat="false" ht="15" hidden="false" customHeight="false" outlineLevel="0" collapsed="false">
      <c r="A82" s="7"/>
      <c r="B82" s="7"/>
      <c r="C82" s="7"/>
      <c r="D82" s="7"/>
      <c r="E82" s="6" t="str">
        <f aca="false">IF(B83="","",MAX(0,C83-D83))</f>
        <v/>
      </c>
      <c r="F82" s="7"/>
      <c r="G82" s="7"/>
      <c r="H82" s="6" t="str">
        <f aca="false">IF(B82="","",IFERROR(E82*G82,0))</f>
        <v/>
      </c>
      <c r="I82" s="7"/>
      <c r="J82" s="7"/>
    </row>
    <row r="83" customFormat="false" ht="15" hidden="false" customHeight="false" outlineLevel="0" collapsed="false">
      <c r="A83" s="7"/>
      <c r="B83" s="7"/>
      <c r="C83" s="7"/>
      <c r="D83" s="7"/>
      <c r="E83" s="6" t="str">
        <f aca="false">IF(B84="","",MAX(0,C84-D84))</f>
        <v/>
      </c>
      <c r="F83" s="7"/>
      <c r="G83" s="7"/>
      <c r="H83" s="6" t="str">
        <f aca="false">IF(B83="","",IFERROR(E83*G83,0))</f>
        <v/>
      </c>
      <c r="I83" s="7"/>
      <c r="J83" s="7"/>
    </row>
    <row r="84" customFormat="false" ht="15" hidden="false" customHeight="false" outlineLevel="0" collapsed="false">
      <c r="A84" s="7"/>
      <c r="B84" s="7"/>
      <c r="C84" s="7"/>
      <c r="D84" s="7"/>
      <c r="E84" s="6" t="str">
        <f aca="false">IF(B85="","",MAX(0,C85-D85))</f>
        <v/>
      </c>
      <c r="F84" s="7"/>
      <c r="G84" s="7"/>
      <c r="H84" s="6" t="str">
        <f aca="false">IF(B84="","",IFERROR(E84*G84,0))</f>
        <v/>
      </c>
      <c r="I84" s="7"/>
      <c r="J84" s="7"/>
    </row>
    <row r="85" customFormat="false" ht="15" hidden="false" customHeight="false" outlineLevel="0" collapsed="false">
      <c r="A85" s="7"/>
      <c r="B85" s="7"/>
      <c r="C85" s="7"/>
      <c r="D85" s="7"/>
      <c r="E85" s="6" t="str">
        <f aca="false">IF(B86="","",MAX(0,C86-D86))</f>
        <v/>
      </c>
      <c r="F85" s="7"/>
      <c r="G85" s="7"/>
      <c r="H85" s="6" t="str">
        <f aca="false">IF(B85="","",IFERROR(E85*G85,0))</f>
        <v/>
      </c>
      <c r="I85" s="7"/>
      <c r="J85" s="7"/>
    </row>
    <row r="86" customFormat="false" ht="15" hidden="false" customHeight="false" outlineLevel="0" collapsed="false">
      <c r="A86" s="7"/>
      <c r="B86" s="7"/>
      <c r="C86" s="7"/>
      <c r="D86" s="7"/>
      <c r="E86" s="6" t="str">
        <f aca="false">IF(B87="","",MAX(0,C87-D87))</f>
        <v/>
      </c>
      <c r="F86" s="7"/>
      <c r="G86" s="7"/>
      <c r="H86" s="6" t="str">
        <f aca="false">IF(B86="","",IFERROR(E86*G86,0))</f>
        <v/>
      </c>
      <c r="I86" s="7"/>
      <c r="J86" s="7"/>
    </row>
    <row r="87" customFormat="false" ht="15" hidden="false" customHeight="false" outlineLevel="0" collapsed="false">
      <c r="A87" s="7"/>
      <c r="B87" s="7"/>
      <c r="C87" s="7"/>
      <c r="D87" s="7"/>
      <c r="E87" s="6" t="str">
        <f aca="false">IF(B88="","",MAX(0,C88-D88))</f>
        <v/>
      </c>
      <c r="F87" s="7"/>
      <c r="G87" s="7"/>
      <c r="H87" s="6" t="str">
        <f aca="false">IF(B87="","",IFERROR(E87*G87,0))</f>
        <v/>
      </c>
      <c r="I87" s="7"/>
      <c r="J87" s="7"/>
    </row>
    <row r="88" customFormat="false" ht="15" hidden="false" customHeight="false" outlineLevel="0" collapsed="false">
      <c r="A88" s="7"/>
      <c r="B88" s="7"/>
      <c r="C88" s="7"/>
      <c r="D88" s="7"/>
      <c r="E88" s="6" t="str">
        <f aca="false">IF(B89="","",MAX(0,C89-D89))</f>
        <v/>
      </c>
      <c r="F88" s="7"/>
      <c r="G88" s="7"/>
      <c r="H88" s="6" t="str">
        <f aca="false">IF(B88="","",IFERROR(E88*G88,0))</f>
        <v/>
      </c>
      <c r="I88" s="7"/>
      <c r="J88" s="7"/>
    </row>
    <row r="89" customFormat="false" ht="15" hidden="false" customHeight="false" outlineLevel="0" collapsed="false">
      <c r="A89" s="7"/>
      <c r="B89" s="7"/>
      <c r="C89" s="7"/>
      <c r="D89" s="7"/>
      <c r="E89" s="6" t="str">
        <f aca="false">IF(B90="","",MAX(0,C90-D90))</f>
        <v/>
      </c>
      <c r="F89" s="7"/>
      <c r="G89" s="7"/>
      <c r="H89" s="6" t="str">
        <f aca="false">IF(B89="","",IFERROR(E89*G89,0))</f>
        <v/>
      </c>
      <c r="I89" s="7"/>
      <c r="J89" s="7"/>
    </row>
    <row r="90" customFormat="false" ht="15" hidden="false" customHeight="false" outlineLevel="0" collapsed="false">
      <c r="A90" s="7"/>
      <c r="B90" s="7"/>
      <c r="C90" s="7"/>
      <c r="D90" s="7"/>
      <c r="E90" s="6" t="str">
        <f aca="false">IF(B91="","",MAX(0,C91-D91))</f>
        <v/>
      </c>
      <c r="F90" s="7"/>
      <c r="G90" s="7"/>
      <c r="H90" s="6" t="str">
        <f aca="false">IF(B90="","",IFERROR(E90*G90,0))</f>
        <v/>
      </c>
      <c r="I90" s="7"/>
      <c r="J90" s="7"/>
    </row>
    <row r="91" customFormat="false" ht="15" hidden="false" customHeight="false" outlineLevel="0" collapsed="false">
      <c r="A91" s="7"/>
      <c r="B91" s="7"/>
      <c r="C91" s="7"/>
      <c r="D91" s="7"/>
      <c r="E91" s="6" t="str">
        <f aca="false">IF(B92="","",MAX(0,C92-D92))</f>
        <v/>
      </c>
      <c r="F91" s="7"/>
      <c r="G91" s="7"/>
      <c r="H91" s="6" t="str">
        <f aca="false">IF(B91="","",IFERROR(E91*G91,0))</f>
        <v/>
      </c>
      <c r="I91" s="7"/>
      <c r="J91" s="7"/>
    </row>
    <row r="92" customFormat="false" ht="15" hidden="false" customHeight="false" outlineLevel="0" collapsed="false">
      <c r="A92" s="7"/>
      <c r="B92" s="7"/>
      <c r="C92" s="7"/>
      <c r="D92" s="7"/>
      <c r="E92" s="6" t="str">
        <f aca="false">IF(B93="","",MAX(0,C93-D93))</f>
        <v/>
      </c>
      <c r="F92" s="7"/>
      <c r="G92" s="7"/>
      <c r="H92" s="6" t="str">
        <f aca="false">IF(B92="","",IFERROR(E92*G92,0))</f>
        <v/>
      </c>
      <c r="I92" s="7"/>
      <c r="J92" s="7"/>
    </row>
    <row r="93" customFormat="false" ht="15" hidden="false" customHeight="false" outlineLevel="0" collapsed="false">
      <c r="A93" s="7"/>
      <c r="B93" s="7"/>
      <c r="C93" s="7"/>
      <c r="D93" s="7"/>
      <c r="E93" s="6" t="str">
        <f aca="false">IF(B94="","",MAX(0,C94-D94))</f>
        <v/>
      </c>
      <c r="F93" s="7"/>
      <c r="G93" s="7"/>
      <c r="H93" s="6" t="str">
        <f aca="false">IF(B93="","",IFERROR(E93*G93,0))</f>
        <v/>
      </c>
      <c r="I93" s="7"/>
      <c r="J93" s="7"/>
    </row>
    <row r="94" customFormat="false" ht="15" hidden="false" customHeight="false" outlineLevel="0" collapsed="false">
      <c r="A94" s="7"/>
      <c r="B94" s="7"/>
      <c r="C94" s="7"/>
      <c r="D94" s="7"/>
      <c r="E94" s="6" t="str">
        <f aca="false">IF(B95="","",MAX(0,C95-D95))</f>
        <v/>
      </c>
      <c r="F94" s="7"/>
      <c r="G94" s="7"/>
      <c r="H94" s="6" t="str">
        <f aca="false">IF(B94="","",IFERROR(E94*G94,0))</f>
        <v/>
      </c>
      <c r="I94" s="7"/>
      <c r="J94" s="7"/>
    </row>
    <row r="95" customFormat="false" ht="15" hidden="false" customHeight="false" outlineLevel="0" collapsed="false">
      <c r="A95" s="7"/>
      <c r="B95" s="7"/>
      <c r="C95" s="7"/>
      <c r="D95" s="7"/>
      <c r="E95" s="6" t="str">
        <f aca="false">IF(B96="","",MAX(0,C96-D96))</f>
        <v/>
      </c>
      <c r="F95" s="7"/>
      <c r="G95" s="7"/>
      <c r="H95" s="6" t="str">
        <f aca="false">IF(B95="","",IFERROR(E95*G95,0))</f>
        <v/>
      </c>
      <c r="I95" s="7"/>
      <c r="J95" s="7"/>
    </row>
    <row r="96" customFormat="false" ht="15" hidden="false" customHeight="false" outlineLevel="0" collapsed="false">
      <c r="A96" s="7"/>
      <c r="B96" s="7"/>
      <c r="C96" s="7"/>
      <c r="D96" s="7"/>
      <c r="E96" s="6" t="str">
        <f aca="false">IF(B97="","",MAX(0,C97-D97))</f>
        <v/>
      </c>
      <c r="F96" s="7"/>
      <c r="G96" s="7"/>
      <c r="H96" s="6" t="str">
        <f aca="false">IF(B96="","",IFERROR(E96*G96,0))</f>
        <v/>
      </c>
      <c r="I96" s="7"/>
      <c r="J96" s="7"/>
    </row>
    <row r="97" customFormat="false" ht="15" hidden="false" customHeight="false" outlineLevel="0" collapsed="false">
      <c r="A97" s="7"/>
      <c r="B97" s="7"/>
      <c r="C97" s="7"/>
      <c r="D97" s="7"/>
      <c r="E97" s="6" t="str">
        <f aca="false">IF(B98="","",MAX(0,C98-D98))</f>
        <v/>
      </c>
      <c r="F97" s="7"/>
      <c r="G97" s="7"/>
      <c r="H97" s="6" t="str">
        <f aca="false">IF(B97="","",IFERROR(E97*G97,0))</f>
        <v/>
      </c>
      <c r="I97" s="7"/>
      <c r="J97" s="7"/>
    </row>
    <row r="98" customFormat="false" ht="15" hidden="false" customHeight="false" outlineLevel="0" collapsed="false">
      <c r="A98" s="7"/>
      <c r="B98" s="7"/>
      <c r="C98" s="7"/>
      <c r="D98" s="7"/>
      <c r="E98" s="6" t="str">
        <f aca="false">IF(B99="","",MAX(0,C99-D99))</f>
        <v/>
      </c>
      <c r="F98" s="7"/>
      <c r="G98" s="7"/>
      <c r="H98" s="6" t="str">
        <f aca="false">IF(B98="","",IFERROR(E98*G98,0))</f>
        <v/>
      </c>
      <c r="I98" s="7"/>
      <c r="J98" s="7"/>
    </row>
    <row r="99" customFormat="false" ht="15" hidden="false" customHeight="false" outlineLevel="0" collapsed="false">
      <c r="A99" s="7"/>
      <c r="B99" s="7"/>
      <c r="C99" s="7"/>
      <c r="D99" s="7"/>
      <c r="E99" s="6" t="str">
        <f aca="false">IF(B100="","",MAX(0,C100-D100))</f>
        <v/>
      </c>
      <c r="F99" s="7"/>
      <c r="G99" s="7"/>
      <c r="H99" s="6" t="str">
        <f aca="false">IF(B99="","",IFERROR(E99*G99,0))</f>
        <v/>
      </c>
      <c r="I99" s="7"/>
      <c r="J99" s="7"/>
    </row>
    <row r="100" customFormat="false" ht="15" hidden="false" customHeight="false" outlineLevel="0" collapsed="false">
      <c r="A100" s="7"/>
      <c r="B100" s="7"/>
      <c r="C100" s="7"/>
      <c r="D100" s="7"/>
      <c r="E100" s="6" t="str">
        <f aca="false">IF(B101="","",MAX(0,C101-D101))</f>
        <v/>
      </c>
      <c r="F100" s="7"/>
      <c r="G100" s="7"/>
      <c r="H100" s="6" t="str">
        <f aca="false">IF(B100="","",IFERROR(E100*G100,0))</f>
        <v/>
      </c>
      <c r="I100" s="7"/>
      <c r="J100" s="7"/>
    </row>
    <row r="101" customFormat="false" ht="15" hidden="false" customHeight="false" outlineLevel="0" collapsed="false">
      <c r="A101" s="7"/>
      <c r="B101" s="7"/>
      <c r="C101" s="7"/>
      <c r="D101" s="7"/>
      <c r="E101" s="6" t="str">
        <f aca="false">IF(B102="","",MAX(0,C102-D102))</f>
        <v/>
      </c>
      <c r="F101" s="7"/>
      <c r="G101" s="7"/>
      <c r="H101" s="6" t="str">
        <f aca="false">IF(B101="","",IFERROR(E101*G101,0))</f>
        <v/>
      </c>
      <c r="I101" s="7"/>
      <c r="J101" s="7"/>
    </row>
    <row r="102" customFormat="false" ht="15" hidden="false" customHeight="false" outlineLevel="0" collapsed="false">
      <c r="A102" s="7"/>
      <c r="B102" s="7"/>
      <c r="C102" s="7"/>
      <c r="D102" s="7"/>
      <c r="E102" s="6" t="str">
        <f aca="false">IF(B103="","",MAX(0,C103-D103))</f>
        <v/>
      </c>
      <c r="F102" s="7"/>
      <c r="G102" s="7"/>
      <c r="H102" s="6" t="str">
        <f aca="false">IF(B102="","",IFERROR(E102*G102,0))</f>
        <v/>
      </c>
      <c r="I102" s="7"/>
      <c r="J102" s="7"/>
    </row>
    <row r="103" customFormat="false" ht="15" hidden="false" customHeight="false" outlineLevel="0" collapsed="false">
      <c r="A103" s="7"/>
      <c r="B103" s="7"/>
      <c r="C103" s="7"/>
      <c r="D103" s="7"/>
      <c r="E103" s="6" t="str">
        <f aca="false">IF(B104="","",MAX(0,C104-D104))</f>
        <v/>
      </c>
      <c r="F103" s="7"/>
      <c r="G103" s="7"/>
      <c r="H103" s="6" t="str">
        <f aca="false">IF(B103="","",IFERROR(E103*G103,0))</f>
        <v/>
      </c>
      <c r="I103" s="7"/>
      <c r="J103" s="7"/>
    </row>
    <row r="104" customFormat="false" ht="15" hidden="false" customHeight="false" outlineLevel="0" collapsed="false">
      <c r="A104" s="7"/>
      <c r="B104" s="7"/>
      <c r="C104" s="7"/>
      <c r="D104" s="7"/>
      <c r="E104" s="6" t="str">
        <f aca="false">IF(B105="","",MAX(0,C105-D105))</f>
        <v/>
      </c>
      <c r="F104" s="7"/>
      <c r="G104" s="7"/>
      <c r="H104" s="6" t="str">
        <f aca="false">IF(B104="","",IFERROR(E104*G104,0))</f>
        <v/>
      </c>
      <c r="I104" s="7"/>
      <c r="J104" s="7"/>
    </row>
    <row r="105" customFormat="false" ht="15" hidden="false" customHeight="false" outlineLevel="0" collapsed="false">
      <c r="A105" s="8"/>
      <c r="B105" s="8"/>
      <c r="C105" s="8"/>
      <c r="D105" s="8"/>
      <c r="F105" s="8"/>
      <c r="G105" s="8"/>
      <c r="H105" s="0" t="str">
        <f aca="false">IF(B105="","",IFERROR(E105*G105,0))</f>
        <v/>
      </c>
      <c r="I105" s="8"/>
      <c r="J105" s="8"/>
    </row>
  </sheetData>
  <sheetProtection sheet="true" password="cac9"/>
  <mergeCells count="3">
    <mergeCell ref="A1:J1"/>
    <mergeCell ref="A2:J2"/>
    <mergeCell ref="A3:J3"/>
  </mergeCells>
  <printOptions headings="false" gridLines="false" gridLinesSet="true" horizontalCentered="false" verticalCentered="false"/>
  <pageMargins left="0.25" right="0.25" top="0.25" bottom="0.2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3" min="3" style="0" width="30"/>
    <col collapsed="false" customWidth="true" hidden="false" outlineLevel="0" max="4" min="4" style="0" width="32"/>
    <col collapsed="false" customWidth="true" hidden="false" outlineLevel="0" max="6" min="5" style="0" width="28"/>
  </cols>
  <sheetData>
    <row r="1" customFormat="false" ht="30" hidden="false" customHeight="true" outlineLevel="0" collapsed="false">
      <c r="A1" s="1" t="s">
        <v>155</v>
      </c>
      <c r="B1" s="1"/>
      <c r="C1" s="1"/>
      <c r="D1" s="1"/>
      <c r="E1" s="1"/>
      <c r="F1" s="1"/>
    </row>
    <row r="2" customFormat="false" ht="42" hidden="false" customHeight="true" outlineLevel="0" collapsed="false">
      <c r="A2" s="2" t="s">
        <v>156</v>
      </c>
      <c r="B2" s="2"/>
      <c r="C2" s="2"/>
      <c r="D2" s="2"/>
      <c r="E2" s="2"/>
      <c r="F2" s="2"/>
    </row>
    <row r="3" customFormat="false" ht="42" hidden="false" customHeight="true" outlineLevel="0" collapsed="false">
      <c r="A3" s="3" t="s">
        <v>157</v>
      </c>
      <c r="B3" s="3"/>
      <c r="C3" s="3"/>
      <c r="D3" s="3"/>
      <c r="E3" s="3"/>
      <c r="F3" s="3"/>
    </row>
    <row r="4" customFormat="false" ht="17.9" hidden="false" customHeight="false" outlineLevel="0" collapsed="false">
      <c r="A4" s="4" t="s">
        <v>158</v>
      </c>
      <c r="B4" s="4" t="s">
        <v>159</v>
      </c>
      <c r="C4" s="4" t="s">
        <v>160</v>
      </c>
      <c r="D4" s="4" t="s">
        <v>161</v>
      </c>
      <c r="E4" s="4" t="s">
        <v>162</v>
      </c>
      <c r="F4" s="4" t="s">
        <v>138</v>
      </c>
    </row>
    <row r="5" customFormat="false" ht="26.85" hidden="false" customHeight="false" outlineLevel="0" collapsed="false">
      <c r="A5" s="5" t="s">
        <v>163</v>
      </c>
      <c r="B5" s="5" t="s">
        <v>164</v>
      </c>
      <c r="C5" s="5" t="s">
        <v>165</v>
      </c>
      <c r="D5" s="5" t="s">
        <v>166</v>
      </c>
      <c r="E5" s="5" t="s">
        <v>167</v>
      </c>
      <c r="F5" s="5" t="s">
        <v>168</v>
      </c>
    </row>
    <row r="6" customFormat="false" ht="26.85" hidden="false" customHeight="false" outlineLevel="0" collapsed="false">
      <c r="A6" s="5" t="s">
        <v>169</v>
      </c>
      <c r="B6" s="5" t="s">
        <v>170</v>
      </c>
      <c r="C6" s="5" t="s">
        <v>171</v>
      </c>
      <c r="D6" s="5" t="s">
        <v>172</v>
      </c>
      <c r="E6" s="5" t="s">
        <v>173</v>
      </c>
      <c r="F6" s="5" t="s">
        <v>174</v>
      </c>
    </row>
    <row r="7" customFormat="false" ht="26.85" hidden="false" customHeight="false" outlineLevel="0" collapsed="false">
      <c r="A7" s="5" t="s">
        <v>175</v>
      </c>
      <c r="B7" s="5" t="s">
        <v>176</v>
      </c>
      <c r="C7" s="5" t="s">
        <v>177</v>
      </c>
      <c r="D7" s="5" t="s">
        <v>178</v>
      </c>
      <c r="E7" s="5" t="s">
        <v>179</v>
      </c>
      <c r="F7" s="5" t="s">
        <v>180</v>
      </c>
    </row>
    <row r="8" customFormat="false" ht="26.85" hidden="false" customHeight="false" outlineLevel="0" collapsed="false">
      <c r="A8" s="5" t="s">
        <v>181</v>
      </c>
      <c r="B8" s="5" t="s">
        <v>182</v>
      </c>
      <c r="C8" s="5" t="s">
        <v>183</v>
      </c>
      <c r="D8" s="5" t="s">
        <v>184</v>
      </c>
      <c r="E8" s="5" t="s">
        <v>185</v>
      </c>
      <c r="F8" s="5" t="s">
        <v>186</v>
      </c>
    </row>
  </sheetData>
  <sheetProtection sheet="true" password="cac9"/>
  <mergeCells count="3">
    <mergeCell ref="A1:F1"/>
    <mergeCell ref="A2:F2"/>
    <mergeCell ref="A3:F3"/>
  </mergeCells>
  <printOptions headings="false" gridLines="false" gridLinesSet="true" horizontalCentered="false" verticalCentered="false"/>
  <pageMargins left="0.25" right="0.25" top="0.25" bottom="0.2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2026-06-22T12:54:16Z</dcterms:created>
  <dc:creator>BeatsPerfect</dc:creator>
  <dc:description/>
  <dc:language>en-US</dc:language>
  <cp:lastModifiedBy/>
  <dcterms:modified xsi:type="dcterms:W3CDTF">2026-06-22T12:55:00Z</dcterms:modified>
  <cp:revision>0</cp:revision>
  <dc:subject/>
  <dc:title>Meal Planner Studio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