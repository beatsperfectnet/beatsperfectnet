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Dashboard" sheetId="1" state="hidden" r:id="rId1"/>
    <sheet name="Start Here" sheetId="2" state="hidden" r:id="rId2"/>
    <sheet name="Settings" sheetId="3" state="hidden" r:id="rId3"/>
    <sheet name="Recipes" sheetId="4" state="hidden" r:id="rId4"/>
    <sheet name="Pantry" sheetId="5" state="hidden" r:id="rId5"/>
    <sheet name="Weekly Planner" sheetId="6" state="visible" r:id="rId6"/>
    <sheet name="Grocery List" sheetId="7" state="hidden" r:id="rId7"/>
    <sheet name="Help" sheetId="8" state="hidden" r:id="rId8"/>
    <sheet name="Meal Slots" sheetId="9" state="hidden" r:id="rId9"/>
    <sheet name="Recipe Totals" sheetId="10" state="hidden" r:id="rId10"/>
  </sheets>
  <definedNames>
    <definedName name="_xlnm.Print_Titles" localSheetId="0">'Dashboard'!$1:$4</definedName>
    <definedName name="_xlnm.Print_Titles" localSheetId="1">'Start Here'!$1:$4</definedName>
    <definedName name="_xlnm.Print_Titles" localSheetId="2">'Settings'!$1:$4</definedName>
    <definedName name="_xlnm.Print_Titles" localSheetId="3">'Recipes'!$1:$4</definedName>
    <definedName name="_xlnm.Print_Titles" localSheetId="4">'Pantry'!$1:$4</definedName>
    <definedName name="_xlnm.Print_Titles" localSheetId="5">'Weekly Planner'!$1:$4</definedName>
    <definedName name="_xlnm.Print_Titles" localSheetId="6">'Grocery List'!$1:$4</definedName>
    <definedName name="_xlnm.Print_Titles" localSheetId="7">'Help'!$1:$4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8"/>
    </font>
    <font>
      <name val="Inter"/>
      <color rgb="00102A43"/>
      <sz val="10"/>
    </font>
    <font>
      <name val="Inter"/>
      <b val="1"/>
      <color rgb="00102A43"/>
      <sz val="10"/>
    </font>
    <font>
      <name val="Inter"/>
      <family val="2"/>
      <color theme="1"/>
      <sz val="11"/>
      <scheme val="minor"/>
    </font>
    <font>
      <name val="Inter"/>
      <b val="1"/>
      <color rgb="00FFFFFF"/>
    </font>
    <font>
      <color rgb="FF0F172A"/>
    </font>
  </fonts>
  <fills count="10">
    <fill>
      <patternFill/>
    </fill>
    <fill>
      <patternFill patternType="gray125"/>
    </fill>
    <fill>
      <patternFill patternType="solid">
        <fgColor rgb="001F6F8B"/>
      </patternFill>
    </fill>
    <fill>
      <patternFill patternType="solid">
        <fgColor rgb="00F8FAFC"/>
      </patternFill>
    </fill>
    <fill>
      <patternFill patternType="solid">
        <fgColor rgb="00FDE68A"/>
      </patternFill>
    </fill>
    <fill>
      <patternFill patternType="solid">
        <fgColor rgb="00FFF2CC"/>
      </patternFill>
    </fill>
    <fill>
      <patternFill patternType="solid">
        <fgColor rgb="00E8F3F5"/>
      </patternFill>
    </fill>
    <fill>
      <patternFill patternType="solid">
        <fgColor rgb="00C6F6D5"/>
      </patternFill>
    </fill>
    <fill>
      <patternFill patternType="solid">
        <fgColor rgb="00EAF3FF"/>
      </patternFill>
    </fill>
    <fill>
      <patternFill patternType="solid">
        <fgColor rgb="00A7F3FF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FF7BBF8B"/>
      </left>
      <right style="thin">
        <color rgb="FF7BBF8B"/>
      </right>
      <top style="thin">
        <color rgb="FF7BBF8B"/>
      </top>
      <bottom style="thin">
        <color rgb="FF7BBF8B"/>
      </bottom>
    </border>
    <border>
      <left style="thin">
        <color rgb="FF9DB7E5"/>
      </left>
      <right style="thin">
        <color rgb="FF9DB7E5"/>
      </right>
      <top style="thin">
        <color rgb="FF9DB7E5"/>
      </top>
      <bottom style="thin">
        <color rgb="FF9DB7E5"/>
      </bottom>
    </border>
    <border>
      <left style="thin">
        <color rgb="FF4DA8C7"/>
      </left>
      <right style="thin">
        <color rgb="FF4DA8C7"/>
      </right>
      <top style="thin">
        <color rgb="FF4DA8C7"/>
      </top>
      <bottom style="thin">
        <color rgb="FF4DA8C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4" fillId="8" borderId="7" applyAlignment="1" pivotButton="0" quotePrefix="0" xfId="0">
      <alignment vertical="center" wrapText="1"/>
    </xf>
    <xf numFmtId="0" fontId="6" fillId="7" borderId="6" applyAlignment="1" applyProtection="1" pivotButton="0" quotePrefix="0" xfId="0">
      <alignment vertical="center" wrapText="1"/>
      <protection locked="0" hidden="0"/>
    </xf>
    <xf numFmtId="0" fontId="0" fillId="5" borderId="0" pivotButton="0" quotePrefix="0" xfId="0"/>
    <xf numFmtId="0" fontId="4" fillId="5" borderId="1" applyAlignment="1" pivotButton="0" quotePrefix="0" xfId="0">
      <alignment vertical="center" wrapText="1"/>
    </xf>
    <xf numFmtId="0" fontId="6" fillId="7" borderId="6" applyProtection="1" pivotButton="0" quotePrefix="0" xfId="0">
      <protection locked="0" hidden="0"/>
    </xf>
    <xf numFmtId="0" fontId="6" fillId="8" borderId="7" applyAlignment="1" applyProtection="1" pivotButton="0" quotePrefix="0" xfId="0">
      <alignment vertical="center" wrapText="1"/>
      <protection locked="0" hidden="0"/>
    </xf>
    <xf numFmtId="0" fontId="6" fillId="9" borderId="8" applyAlignment="1" applyProtection="1" pivotButton="0" quotePrefix="0" xfId="0">
      <alignment vertical="center" wrapText="1"/>
      <protection locked="0" hidden="0"/>
    </xf>
    <xf numFmtId="0" fontId="6" fillId="9" borderId="8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>
              <a:prstDash val="solid"/>
            </a:ln>
          </spPr>
          <cat>
            <numRef>
              <f>'Dashboard'!$A$13:$A$19</f>
            </numRef>
          </cat>
          <val>
            <numRef>
              <f>'Dashboard'!$B$13:$B$19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kcal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Food cost by day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'Dashboard'!$A$13:$A$19</f>
            </numRef>
          </cat>
          <val>
            <numRef>
              <f>'Dashboard'!$C$13:$C$19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Grocery categories</a:t>
            </a:r>
          </a:p>
        </rich>
      </tx>
    </title>
    <plotArea>
      <pieChart>
        <varyColors val="1"/>
        <ser>
          <idx val="0"/>
          <order val="0"/>
          <tx>
            <strRef>
              <f>'Dashboard'!F12</f>
            </strRef>
          </tx>
          <spPr>
            <a:ln>
              <a:prstDash val="solid"/>
            </a:ln>
          </spPr>
          <cat>
            <numRef>
              <f>'Dashboard'!$E$13:$E$17</f>
            </numRef>
          </cat>
          <val>
            <numRef>
              <f>'Dashboard'!$F$13:$F$17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0" customHeight="1">
      <c r="A1" s="1" t="inlineStr">
        <is>
          <t>Dashboard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Read this first. It summarizes your planned week: calories, estimated food cost, pantry gaps, grocery items, and meal coverage.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Dashboard is protected. Edit source data in cyan cells on Settings, Recipes, Pantry, Weekly Planner, and Grocery List.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Target/Context</t>
        </is>
      </c>
      <c r="D4" s="5" t="inlineStr">
        <is>
          <t>Value</t>
        </is>
      </c>
      <c r="E4" s="5" t="inlineStr"/>
      <c r="F4" s="5" t="inlineStr"/>
      <c r="G4" s="5" t="inlineStr"/>
      <c r="H4" s="5" t="inlineStr"/>
    </row>
    <row r="5">
      <c r="A5" s="2" t="inlineStr">
        <is>
          <t>Weekly calories</t>
        </is>
      </c>
      <c r="B5" s="11">
        <f>SUM('Weekly Planner'!H6:H12)</f>
        <v/>
      </c>
      <c r="C5" s="11" t="inlineStr">
        <is>
          <t>Target kcal/week</t>
        </is>
      </c>
      <c r="D5" s="11">
        <f>Settings!B5</f>
        <v/>
      </c>
      <c r="E5" s="2" t="inlineStr"/>
      <c r="F5" s="2" t="inlineStr"/>
      <c r="G5" s="2" t="inlineStr"/>
      <c r="H5" s="2" t="inlineStr"/>
    </row>
    <row r="6">
      <c r="A6" s="2" t="inlineStr">
        <is>
          <t>Estimated food cost</t>
        </is>
      </c>
      <c r="B6" s="11">
        <f>SUMIF('Grocery List'!H6:H105,"&gt;0",'Grocery List'!H6:H105)</f>
        <v/>
      </c>
      <c r="C6" s="11" t="inlineStr">
        <is>
          <t>Budget USD/week</t>
        </is>
      </c>
      <c r="D6" s="11">
        <f>Settings!B6</f>
        <v/>
      </c>
      <c r="E6" s="2" t="inlineStr"/>
      <c r="F6" s="2" t="inlineStr"/>
      <c r="G6" s="2" t="inlineStr"/>
      <c r="H6" s="2" t="inlineStr"/>
    </row>
    <row r="7">
      <c r="A7" s="2" t="inlineStr">
        <is>
          <t>Grocery items</t>
        </is>
      </c>
      <c r="B7" s="11">
        <f>COUNTIF('Grocery List'!B6:B105,"&lt;&gt;")</f>
        <v/>
      </c>
      <c r="C7" s="11" t="inlineStr">
        <is>
          <t>Pantry gaps</t>
        </is>
      </c>
      <c r="D7" s="11">
        <f>COUNTIF(Pantry!G6:G105,"yes")</f>
        <v/>
      </c>
      <c r="E7" s="2" t="inlineStr"/>
      <c r="F7" s="2" t="inlineStr"/>
      <c r="G7" s="2" t="inlineStr"/>
      <c r="H7" s="2" t="inlineStr"/>
    </row>
    <row r="8">
      <c r="A8" s="2" t="inlineStr">
        <is>
          <t>Planned meals</t>
        </is>
      </c>
      <c r="B8" s="11">
        <f>COUNTA('Weekly Planner'!B6:E12)</f>
        <v/>
      </c>
      <c r="C8" s="11" t="inlineStr">
        <is>
          <t>Days planned</t>
        </is>
      </c>
      <c r="D8" s="11">
        <f>COUNTA('Weekly Planner'!A6:A12)</f>
        <v/>
      </c>
      <c r="E8" s="2" t="inlineStr"/>
      <c r="F8" s="2" t="inlineStr"/>
      <c r="G8" s="2" t="inlineStr"/>
      <c r="H8" s="2" t="inlineStr"/>
    </row>
    <row r="9">
      <c r="A9" s="2" t="n"/>
      <c r="B9" s="11" t="n"/>
      <c r="C9" s="11" t="n"/>
      <c r="D9" s="11" t="n"/>
      <c r="E9" s="2" t="n"/>
      <c r="F9" s="2" t="n"/>
      <c r="G9" s="2" t="n"/>
      <c r="H9" s="2" t="n"/>
    </row>
    <row r="10">
      <c r="A10" s="2" t="n"/>
      <c r="B10" s="11" t="n"/>
      <c r="C10" s="11" t="n"/>
      <c r="D10" s="11" t="n"/>
      <c r="E10" s="2" t="n"/>
      <c r="F10" s="2" t="n"/>
      <c r="G10" s="2" t="n"/>
      <c r="H10" s="2" t="n"/>
    </row>
    <row r="11">
      <c r="A11" s="2" t="n"/>
      <c r="B11" s="11" t="n"/>
      <c r="C11" s="11" t="n"/>
      <c r="D11" s="11" t="n"/>
      <c r="E11" s="2" t="n"/>
      <c r="F11" s="2" t="n"/>
      <c r="G11" s="2" t="n"/>
      <c r="H11" s="2" t="n"/>
    </row>
    <row r="12">
      <c r="A12" s="2" t="inlineStr">
        <is>
          <t>Day</t>
        </is>
      </c>
      <c r="B12" s="11" t="inlineStr">
        <is>
          <t>Calories</t>
        </is>
      </c>
      <c r="C12" s="11" t="inlineStr">
        <is>
          <t>Cost</t>
        </is>
      </c>
      <c r="D12" s="11" t="n"/>
      <c r="E12" s="2" t="inlineStr">
        <is>
          <t>Category</t>
        </is>
      </c>
      <c r="F12" s="2" t="inlineStr">
        <is>
          <t>Items</t>
        </is>
      </c>
      <c r="G12" s="2" t="n"/>
      <c r="H12" s="2" t="n"/>
    </row>
    <row r="13">
      <c r="A13" s="2" t="inlineStr">
        <is>
          <t>Monday</t>
        </is>
      </c>
      <c r="B13" s="11">
        <f>'Weekly Planner'!H6</f>
        <v/>
      </c>
      <c r="C13" s="11">
        <f>'Weekly Planner'!I6</f>
        <v/>
      </c>
      <c r="D13" s="11" t="n"/>
      <c r="E13" s="2" t="inlineStr">
        <is>
          <t>Produce</t>
        </is>
      </c>
      <c r="F13" s="6">
        <f>COUNTIF('Grocery List'!$A$6:$A$105,E13)</f>
        <v/>
      </c>
      <c r="G13" s="2" t="n"/>
      <c r="H13" s="2" t="n"/>
    </row>
    <row r="14">
      <c r="A14" s="2" t="inlineStr">
        <is>
          <t>Tuesday</t>
        </is>
      </c>
      <c r="B14" s="11">
        <f>'Weekly Planner'!H7</f>
        <v/>
      </c>
      <c r="C14" s="11">
        <f>'Weekly Planner'!I7</f>
        <v/>
      </c>
      <c r="D14" s="11" t="n"/>
      <c r="E14" s="2" t="inlineStr">
        <is>
          <t>Dairy &amp; Eggs</t>
        </is>
      </c>
      <c r="F14" s="6">
        <f>COUNTIF('Grocery List'!$A$6:$A$105,E14)</f>
        <v/>
      </c>
      <c r="G14" s="2" t="n"/>
      <c r="H14" s="2" t="n"/>
    </row>
    <row r="15">
      <c r="A15" s="2" t="inlineStr">
        <is>
          <t>Wednesday</t>
        </is>
      </c>
      <c r="B15" s="11">
        <f>'Weekly Planner'!H8</f>
        <v/>
      </c>
      <c r="C15" s="11">
        <f>'Weekly Planner'!I8</f>
        <v/>
      </c>
      <c r="D15" s="11" t="n"/>
      <c r="E15" s="2" t="inlineStr">
        <is>
          <t>Bakery</t>
        </is>
      </c>
      <c r="F15" s="6">
        <f>COUNTIF('Grocery List'!$A$6:$A$105,E15)</f>
        <v/>
      </c>
      <c r="G15" s="2" t="n"/>
      <c r="H15" s="2" t="n"/>
    </row>
    <row r="16">
      <c r="A16" s="2" t="inlineStr">
        <is>
          <t>Thursday</t>
        </is>
      </c>
      <c r="B16" s="11">
        <f>'Weekly Planner'!H9</f>
        <v/>
      </c>
      <c r="C16" s="11">
        <f>'Weekly Planner'!I9</f>
        <v/>
      </c>
      <c r="D16" s="11" t="n"/>
      <c r="E16" s="2" t="inlineStr">
        <is>
          <t>Pantry</t>
        </is>
      </c>
      <c r="F16" s="6">
        <f>COUNTIF('Grocery List'!$A$6:$A$105,E16)</f>
        <v/>
      </c>
      <c r="G16" s="2" t="n"/>
      <c r="H16" s="2" t="n"/>
    </row>
    <row r="17">
      <c r="A17" s="2" t="inlineStr">
        <is>
          <t>Friday</t>
        </is>
      </c>
      <c r="B17" s="11">
        <f>'Weekly Planner'!H10</f>
        <v/>
      </c>
      <c r="C17" s="11">
        <f>'Weekly Planner'!I10</f>
        <v/>
      </c>
      <c r="D17" s="11" t="n"/>
      <c r="E17" s="2" t="inlineStr">
        <is>
          <t>Frozen</t>
        </is>
      </c>
      <c r="F17" s="6">
        <f>COUNTIF('Grocery List'!$A$6:$A$105,E17)</f>
        <v/>
      </c>
      <c r="G17" s="2" t="n"/>
      <c r="H17" s="2" t="n"/>
    </row>
    <row r="18">
      <c r="A18" s="2" t="inlineStr">
        <is>
          <t>Saturday</t>
        </is>
      </c>
      <c r="B18" s="11">
        <f>'Weekly Planner'!H11</f>
        <v/>
      </c>
      <c r="C18" s="11">
        <f>'Weekly Planner'!I11</f>
        <v/>
      </c>
      <c r="D18" s="11" t="n"/>
      <c r="E18" s="2" t="n"/>
      <c r="F18" s="2" t="n"/>
      <c r="G18" s="2" t="n"/>
      <c r="H18" s="2" t="n"/>
    </row>
    <row r="19">
      <c r="A19" s="2" t="inlineStr">
        <is>
          <t>Sunday</t>
        </is>
      </c>
      <c r="B19" s="11">
        <f>'Weekly Planner'!H12</f>
        <v/>
      </c>
      <c r="C19" s="11">
        <f>'Weekly Planner'!I12</f>
        <v/>
      </c>
      <c r="D19" s="11" t="n"/>
      <c r="E19" s="2" t="n"/>
      <c r="F19" s="2" t="n"/>
      <c r="G19" s="2" t="n"/>
      <c r="H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32" customWidth="1" min="4" max="4"/>
    <col width="32" customWidth="1" min="5" max="5"/>
    <col width="28" customWidth="1" min="6" max="6"/>
  </cols>
  <sheetData>
    <row r="1" ht="30" customHeight="1">
      <c r="A1" s="1" t="inlineStr">
        <is>
          <t>Start Here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Follow these five steps for first success. Cyan cells elsewhere are the only normal edit areas.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delete tabs or columns. Make a backup copy before customization.</t>
        </is>
      </c>
      <c r="B3" s="9" t="n"/>
      <c r="C3" s="9" t="n"/>
      <c r="D3" s="9" t="n"/>
      <c r="E3" s="9" t="n"/>
      <c r="F3" s="10" t="n"/>
    </row>
    <row r="4">
      <c r="A4" s="5" t="inlineStr">
        <is>
          <t>Step</t>
        </is>
      </c>
      <c r="B4" s="5" t="inlineStr">
        <is>
          <t>Action</t>
        </is>
      </c>
      <c r="C4" s="5" t="inlineStr">
        <is>
          <t>Done?</t>
        </is>
      </c>
      <c r="D4" s="5" t="inlineStr">
        <is>
          <t>Why it matters</t>
        </is>
      </c>
      <c r="E4" s="5" t="inlineStr">
        <is>
          <t>Expected result</t>
        </is>
      </c>
      <c r="F4" s="5" t="inlineStr">
        <is>
          <t>Support note</t>
        </is>
      </c>
    </row>
    <row r="5">
      <c r="A5" s="2" t="n">
        <v>1</v>
      </c>
      <c r="B5" s="2" t="inlineStr">
        <is>
          <t>Review Dashboard</t>
        </is>
      </c>
      <c r="C5" s="17" t="inlineStr"/>
      <c r="D5" s="2" t="inlineStr">
        <is>
          <t>See the finished sample week</t>
        </is>
      </c>
      <c r="E5" s="2" t="inlineStr">
        <is>
          <t>Calories, cost, groceries, pantry gaps visible</t>
        </is>
      </c>
      <c r="F5" s="2" t="inlineStr">
        <is>
          <t>No edits here</t>
        </is>
      </c>
    </row>
    <row r="6">
      <c r="A6" s="2" t="n">
        <v>2</v>
      </c>
      <c r="B6" s="2" t="inlineStr">
        <is>
          <t>Edit Settings</t>
        </is>
      </c>
      <c r="C6" s="17" t="inlineStr"/>
      <c r="D6" s="2" t="inlineStr">
        <is>
          <t>Set targets and categories</t>
        </is>
      </c>
      <c r="E6" s="2" t="inlineStr">
        <is>
          <t>Dashboard target values update</t>
        </is>
      </c>
      <c r="F6" s="2" t="inlineStr">
        <is>
          <t>Yellow cells only</t>
        </is>
      </c>
    </row>
    <row r="7">
      <c r="A7" s="2" t="n">
        <v>3</v>
      </c>
      <c r="B7" s="2" t="inlineStr">
        <is>
          <t>Edit Pantry and Recipes</t>
        </is>
      </c>
      <c r="C7" s="17" t="inlineStr"/>
      <c r="D7" s="2" t="inlineStr">
        <is>
          <t>Match your household</t>
        </is>
      </c>
      <c r="E7" s="2" t="inlineStr">
        <is>
          <t>Inputs feed planning and grocery list</t>
        </is>
      </c>
      <c r="F7" s="2" t="inlineStr">
        <is>
          <t>Rows 6-105 supported</t>
        </is>
      </c>
    </row>
    <row r="8">
      <c r="A8" s="2" t="n">
        <v>4</v>
      </c>
      <c r="B8" s="2" t="inlineStr">
        <is>
          <t>Choose meals</t>
        </is>
      </c>
      <c r="C8" s="17" t="inlineStr"/>
      <c r="D8" s="2" t="inlineStr">
        <is>
          <t>Create the week</t>
        </is>
      </c>
      <c r="E8" s="2" t="inlineStr">
        <is>
          <t>Daily totals update</t>
        </is>
      </c>
      <c r="F8" s="2" t="inlineStr">
        <is>
          <t>Use dropdowns</t>
        </is>
      </c>
    </row>
    <row r="9">
      <c r="A9" s="2" t="n">
        <v>5</v>
      </c>
      <c r="B9" s="2" t="inlineStr">
        <is>
          <t>Use Grocery List</t>
        </is>
      </c>
      <c r="C9" s="17" t="inlineStr"/>
      <c r="D9" s="2" t="inlineStr">
        <is>
          <t>Shop from final list</t>
        </is>
      </c>
      <c r="E9" s="2" t="inlineStr">
        <is>
          <t>Buy qty and estimated cost visible</t>
        </is>
      </c>
      <c r="F9" s="2" t="inlineStr">
        <is>
          <t>Unit prices are editable</t>
        </is>
      </c>
    </row>
    <row r="10">
      <c r="C10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Settings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Edit cyan cells only. These values drive dashboard targets, grocery categories, and row labels. Add categories only inside the cyan category block below.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Do not insert or delete columns. Add new categories inside the provided cyan rows so formulas and dropdowns stay stable.</t>
        </is>
      </c>
      <c r="B3" s="9" t="n"/>
      <c r="C3" s="9" t="n"/>
      <c r="D3" s="9" t="n"/>
      <c r="E3" s="9" t="n"/>
      <c r="F3" s="10" t="n"/>
    </row>
    <row r="4">
      <c r="A4" s="5" t="inlineStr">
        <is>
          <t>Setting</t>
        </is>
      </c>
      <c r="B4" s="5" t="inlineStr">
        <is>
          <t>Value</t>
        </is>
      </c>
      <c r="C4" s="5" t="inlineStr">
        <is>
          <t>Unit/Notes</t>
        </is>
      </c>
      <c r="D4" s="5" t="inlineStr">
        <is>
          <t>Editable?</t>
        </is>
      </c>
      <c r="E4" s="5" t="inlineStr">
        <is>
          <t>Used by</t>
        </is>
      </c>
      <c r="F4" s="5" t="inlineStr">
        <is>
          <t>Status</t>
        </is>
      </c>
    </row>
    <row r="5">
      <c r="A5" s="2" t="inlineStr">
        <is>
          <t>Weekly calorie target</t>
        </is>
      </c>
      <c r="B5" s="17" t="n">
        <v>14000</v>
      </c>
      <c r="C5" s="2" t="inlineStr">
        <is>
          <t>kcal/week</t>
        </is>
      </c>
      <c r="D5" s="2" t="inlineStr">
        <is>
          <t>yes</t>
        </is>
      </c>
      <c r="E5" s="2" t="inlineStr">
        <is>
          <t>Dashboard</t>
        </is>
      </c>
      <c r="F5" s="2" t="inlineStr">
        <is>
          <t>ready</t>
        </is>
      </c>
    </row>
    <row r="6">
      <c r="A6" s="2" t="inlineStr">
        <is>
          <t>Weekly food budget</t>
        </is>
      </c>
      <c r="B6" s="17" t="n">
        <v>165</v>
      </c>
      <c r="C6" s="2" t="inlineStr">
        <is>
          <t>USD/week</t>
        </is>
      </c>
      <c r="D6" s="2" t="inlineStr">
        <is>
          <t>yes</t>
        </is>
      </c>
      <c r="E6" s="2" t="inlineStr">
        <is>
          <t>Dashboard</t>
        </is>
      </c>
      <c r="F6" s="2" t="inlineStr">
        <is>
          <t>ready</t>
        </is>
      </c>
    </row>
    <row r="7">
      <c r="A7" s="2" t="inlineStr">
        <is>
          <t>Household servings default</t>
        </is>
      </c>
      <c r="B7" s="17" t="n">
        <v>2</v>
      </c>
      <c r="C7" s="2" t="inlineStr">
        <is>
          <t>servings</t>
        </is>
      </c>
      <c r="D7" s="2" t="inlineStr">
        <is>
          <t>yes</t>
        </is>
      </c>
      <c r="E7" s="2" t="inlineStr">
        <is>
          <t>Planner</t>
        </is>
      </c>
      <c r="F7" s="2" t="inlineStr">
        <is>
          <t>ready</t>
        </is>
      </c>
    </row>
    <row r="8">
      <c r="A8" s="2" t="inlineStr">
        <is>
          <t>Currency symbol</t>
        </is>
      </c>
      <c r="B8" s="17" t="inlineStr">
        <is>
          <t>$</t>
        </is>
      </c>
      <c r="C8" s="2" t="inlineStr">
        <is>
          <t>display</t>
        </is>
      </c>
      <c r="D8" s="2" t="inlineStr">
        <is>
          <t>yes</t>
        </is>
      </c>
      <c r="E8" s="2" t="inlineStr">
        <is>
          <t>Dashboard</t>
        </is>
      </c>
      <c r="F8" s="2" t="inlineStr">
        <is>
          <t>ready</t>
        </is>
      </c>
    </row>
    <row r="9">
      <c r="A9" s="2" t="inlineStr">
        <is>
          <t>First planning date</t>
        </is>
      </c>
      <c r="B9" s="17" t="inlineStr">
        <is>
          <t>2026-06-22</t>
        </is>
      </c>
      <c r="C9" s="2" t="inlineStr">
        <is>
          <t>YYYY-MM-DD</t>
        </is>
      </c>
      <c r="D9" s="2" t="inlineStr">
        <is>
          <t>yes</t>
        </is>
      </c>
      <c r="E9" s="2" t="inlineStr">
        <is>
          <t>Planner</t>
        </is>
      </c>
      <c r="F9" s="2" t="inlineStr">
        <is>
          <t>ready</t>
        </is>
      </c>
    </row>
    <row r="10">
      <c r="A10" s="2" t="n"/>
      <c r="B10" s="14" t="n"/>
      <c r="C10" s="2" t="n"/>
      <c r="D10" s="2" t="n"/>
      <c r="E10" s="2" t="n"/>
      <c r="F10" s="2" t="n"/>
    </row>
    <row r="11">
      <c r="A11" s="2" t="inlineStr">
        <is>
          <t>Category list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>
        <is>
          <t>Produce</t>
        </is>
      </c>
      <c r="B12" s="17" t="inlineStr"/>
      <c r="C12" s="2" t="inlineStr"/>
      <c r="D12" s="2" t="inlineStr"/>
      <c r="E12" s="2" t="inlineStr"/>
      <c r="F12" s="2" t="inlineStr"/>
    </row>
    <row r="13">
      <c r="A13" s="2" t="inlineStr">
        <is>
          <t>Dairy &amp; Eggs</t>
        </is>
      </c>
      <c r="B13" s="17" t="inlineStr"/>
      <c r="C13" s="2" t="inlineStr"/>
      <c r="D13" s="2" t="inlineStr"/>
      <c r="E13" s="2" t="inlineStr"/>
      <c r="F13" s="2" t="inlineStr"/>
    </row>
    <row r="14">
      <c r="A14" s="14" t="inlineStr">
        <is>
          <t>Bakery</t>
        </is>
      </c>
      <c r="B14" s="17" t="inlineStr"/>
      <c r="C14" s="2" t="inlineStr"/>
      <c r="D14" s="2" t="inlineStr"/>
      <c r="E14" s="2" t="inlineStr"/>
      <c r="F14" s="2" t="inlineStr"/>
    </row>
    <row r="15">
      <c r="A15" s="14" t="inlineStr">
        <is>
          <t>Pantry</t>
        </is>
      </c>
      <c r="B15" s="17" t="inlineStr"/>
      <c r="C15" s="2" t="inlineStr"/>
      <c r="D15" s="2" t="inlineStr"/>
      <c r="E15" s="2" t="inlineStr"/>
      <c r="F15" s="2" t="inlineStr"/>
    </row>
    <row r="16">
      <c r="A16" s="14" t="inlineStr">
        <is>
          <t>Frozen</t>
        </is>
      </c>
      <c r="B16" s="17" t="inlineStr"/>
      <c r="C16" s="2" t="inlineStr"/>
      <c r="D16" s="2" t="inlineStr"/>
      <c r="E16" s="2" t="inlineStr"/>
      <c r="F16" s="2" t="inlineStr"/>
    </row>
    <row r="17">
      <c r="A17" s="14" t="inlineStr">
        <is>
          <t>Meat &amp; Seafood</t>
        </is>
      </c>
      <c r="B17" s="17" t="inlineStr"/>
      <c r="C17" s="2" t="inlineStr"/>
      <c r="D17" s="2" t="inlineStr"/>
      <c r="E17" s="2" t="inlineStr"/>
      <c r="F17" s="2" t="inlineStr"/>
    </row>
    <row r="18">
      <c r="A18" s="14" t="inlineStr">
        <is>
          <t>Drinks</t>
        </is>
      </c>
      <c r="B18" s="17" t="inlineStr"/>
      <c r="C18" s="2" t="inlineStr"/>
      <c r="D18" s="2" t="inlineStr"/>
      <c r="E18" s="2" t="inlineStr"/>
      <c r="F18" s="2" t="inlineStr"/>
    </row>
    <row r="19">
      <c r="A19" s="14" t="inlineStr">
        <is>
          <t>Household</t>
        </is>
      </c>
      <c r="B19" s="17" t="inlineStr"/>
      <c r="C19" s="2" t="inlineStr"/>
      <c r="D19" s="2" t="inlineStr"/>
      <c r="E19" s="2" t="inlineStr"/>
      <c r="F19" s="2" t="inlineStr"/>
    </row>
    <row r="20">
      <c r="A20" s="14" t="inlineStr">
        <is>
          <t>Other</t>
        </is>
      </c>
      <c r="B20" s="17" t="inlineStr"/>
      <c r="C20" s="2" t="inlineStr"/>
      <c r="D20" s="2" t="inlineStr"/>
      <c r="E20" s="2" t="inlineStr"/>
      <c r="F20" s="2" t="inlineStr"/>
    </row>
    <row r="21">
      <c r="A21" s="14" t="inlineStr"/>
      <c r="B21" s="17" t="inlineStr"/>
      <c r="C21" s="2" t="inlineStr"/>
      <c r="D21" s="2" t="inlineStr"/>
      <c r="E21" s="2" t="inlineStr"/>
      <c r="F21" s="2" t="inlineStr"/>
    </row>
    <row r="22">
      <c r="A22" s="14" t="inlineStr"/>
      <c r="B22" s="17" t="inlineStr"/>
      <c r="C22" s="2" t="inlineStr"/>
      <c r="D22" s="2" t="inlineStr"/>
      <c r="E22" s="2" t="inlineStr"/>
      <c r="F22" s="2" t="inlineStr"/>
    </row>
    <row r="23">
      <c r="A23" s="14" t="inlineStr"/>
      <c r="B23" s="17" t="inlineStr"/>
      <c r="C23" s="2" t="inlineStr"/>
      <c r="D23" s="2" t="inlineStr"/>
      <c r="E23" s="2" t="inlineStr"/>
      <c r="F23" s="2" t="inlineStr"/>
    </row>
    <row r="24">
      <c r="A24" s="14" t="inlineStr"/>
      <c r="B24" s="17" t="inlineStr"/>
      <c r="C24" s="2" t="inlineStr"/>
      <c r="D24" s="2" t="inlineStr"/>
      <c r="E24" s="2" t="inlineStr"/>
      <c r="F24" s="2" t="inlineStr"/>
    </row>
    <row r="25">
      <c r="A25" s="14" t="inlineStr"/>
      <c r="B25" s="17" t="inlineStr"/>
      <c r="C25" s="2" t="inlineStr"/>
      <c r="D25" s="2" t="inlineStr"/>
      <c r="E25" s="2" t="inlineStr"/>
      <c r="F25" s="2" t="inlineStr"/>
    </row>
    <row r="26">
      <c r="A26" s="14" t="inlineStr"/>
      <c r="B26" s="17" t="inlineStr"/>
      <c r="C26" s="2" t="inlineStr"/>
      <c r="D26" s="2" t="inlineStr"/>
      <c r="E26" s="2" t="inlineStr"/>
      <c r="F26" s="2" t="inlineStr"/>
    </row>
    <row r="27">
      <c r="A27" s="14" t="inlineStr"/>
      <c r="B27" s="17" t="inlineStr"/>
      <c r="C27" s="2" t="inlineStr"/>
      <c r="D27" s="2" t="inlineStr"/>
      <c r="E27" s="2" t="inlineStr"/>
      <c r="F27" s="2" t="inlineStr"/>
    </row>
    <row r="28">
      <c r="A28" s="14" t="inlineStr"/>
      <c r="B28" s="17" t="inlineStr"/>
      <c r="C28" s="2" t="inlineStr"/>
      <c r="D28" s="2" t="inlineStr"/>
      <c r="E28" s="2" t="inlineStr"/>
      <c r="F28" s="2" t="inlineStr"/>
    </row>
    <row r="29">
      <c r="A29" s="14" t="inlineStr"/>
      <c r="B29" s="17" t="inlineStr"/>
      <c r="C29" s="2" t="inlineStr"/>
      <c r="D29" s="2" t="inlineStr"/>
      <c r="E29" s="2" t="inlineStr"/>
      <c r="F29" s="2" t="inlineStr"/>
    </row>
    <row r="30">
      <c r="A30" s="14" t="inlineStr"/>
      <c r="B30" s="17" t="inlineStr"/>
      <c r="C30" s="2" t="inlineStr"/>
      <c r="D30" s="2" t="inlineStr"/>
      <c r="E30" s="2" t="inlineStr"/>
      <c r="F30" s="2" t="inlineStr"/>
    </row>
    <row r="31">
      <c r="A31" s="14" t="inlineStr"/>
      <c r="B31" s="17" t="inlineStr"/>
      <c r="C31" s="2" t="inlineStr"/>
      <c r="D31" s="2" t="inlineStr"/>
      <c r="E31" s="2" t="inlineStr"/>
      <c r="F31" s="2" t="inlineStr"/>
    </row>
    <row r="32">
      <c r="A32" s="14" t="inlineStr"/>
      <c r="B32" s="17" t="inlineStr"/>
      <c r="C32" s="2" t="inlineStr"/>
      <c r="D32" s="2" t="inlineStr"/>
      <c r="E32" s="2" t="inlineStr"/>
      <c r="F32" s="2" t="inlineStr"/>
    </row>
    <row r="33">
      <c r="A33" s="14" t="inlineStr"/>
      <c r="B33" s="17" t="inlineStr"/>
      <c r="C33" s="2" t="inlineStr"/>
      <c r="D33" s="2" t="inlineStr"/>
      <c r="E33" s="2" t="inlineStr"/>
      <c r="F33" s="2" t="inlineStr"/>
    </row>
    <row r="34">
      <c r="A34" s="14" t="inlineStr"/>
      <c r="B34" s="17" t="inlineStr"/>
      <c r="C34" s="2" t="inlineStr"/>
      <c r="D34" s="2" t="inlineStr"/>
      <c r="E34" s="2" t="inlineStr"/>
      <c r="F34" s="2" t="inlineStr"/>
    </row>
    <row r="35">
      <c r="A35" s="14" t="inlineStr"/>
      <c r="B35" s="17" t="inlineStr"/>
      <c r="C35" s="2" t="inlineStr"/>
      <c r="D35" s="2" t="inlineStr"/>
      <c r="E35" s="2" t="inlineStr"/>
      <c r="F35" s="2" t="inlineStr"/>
    </row>
    <row r="36">
      <c r="A36" s="14" t="inlineStr"/>
      <c r="B36" s="17" t="inlineStr"/>
      <c r="C36" s="2" t="inlineStr"/>
      <c r="D36" s="2" t="inlineStr"/>
      <c r="E36" s="2" t="inlineStr"/>
      <c r="F36" s="2" t="inlineStr"/>
    </row>
    <row r="37">
      <c r="A37" s="14" t="inlineStr"/>
      <c r="B37" s="17" t="inlineStr"/>
      <c r="C37" s="2" t="inlineStr"/>
      <c r="D37" s="2" t="inlineStr"/>
      <c r="E37" s="2" t="inlineStr"/>
      <c r="F37" s="2" t="inlineStr"/>
    </row>
    <row r="38">
      <c r="A38" s="14" t="inlineStr"/>
      <c r="B38" s="17" t="inlineStr"/>
      <c r="C38" s="2" t="inlineStr"/>
      <c r="D38" s="2" t="inlineStr"/>
      <c r="E38" s="2" t="inlineStr"/>
      <c r="F38" s="2" t="inlineStr"/>
    </row>
    <row r="39">
      <c r="A39" s="14" t="inlineStr"/>
      <c r="B39" s="17" t="inlineStr"/>
      <c r="C39" s="2" t="inlineStr"/>
      <c r="D39" s="2" t="inlineStr"/>
      <c r="E39" s="2" t="inlineStr"/>
      <c r="F39" s="2" t="inlineStr"/>
    </row>
    <row r="40">
      <c r="A40" s="14" t="inlineStr"/>
      <c r="B40" s="17" t="inlineStr"/>
      <c r="C40" s="2" t="inlineStr"/>
      <c r="D40" s="2" t="inlineStr"/>
      <c r="E40" s="2" t="inlineStr"/>
      <c r="F40" s="2" t="inlineStr"/>
    </row>
    <row r="41">
      <c r="A41" s="14" t="inlineStr"/>
      <c r="B41" s="17" t="inlineStr"/>
      <c r="C41" s="2" t="inlineStr"/>
      <c r="D41" s="2" t="inlineStr"/>
      <c r="E41" s="2" t="inlineStr"/>
      <c r="F41" s="2" t="inlineStr"/>
    </row>
    <row r="42">
      <c r="A42" s="13" t="n"/>
    </row>
    <row r="43">
      <c r="A43" s="1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6" customWidth="1" min="4" max="4"/>
    <col width="24" customWidth="1" min="5" max="5"/>
    <col width="16" customWidth="1" min="6" max="6"/>
    <col width="12" customWidth="1" min="7" max="7"/>
    <col width="18" customWidth="1" min="8" max="8"/>
    <col width="18" customWidth="1" min="9" max="9"/>
    <col width="14" customWidth="1" min="10" max="10"/>
  </cols>
  <sheetData>
    <row r="1" ht="30" customHeight="1">
      <c r="A1" s="1" t="inlineStr">
        <is>
          <t>Recipes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Add or edit recipes in the cyan rows. One ingredient per row feeds grocery totals from the weekly planner. Formulas read rows 5-105.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Do not insert/delete columns. Add recipes only in the provided cyan rows 5-105; formulas are designed for that range.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Recipe ID</t>
        </is>
      </c>
      <c r="B4" s="5" t="inlineStr">
        <is>
          <t>Meal type</t>
        </is>
      </c>
      <c r="C4" s="5" t="inlineStr">
        <is>
          <t>Recipe name</t>
        </is>
      </c>
      <c r="D4" s="5" t="inlineStr">
        <is>
          <t>Default servings</t>
        </is>
      </c>
      <c r="E4" s="5" t="inlineStr">
        <is>
          <t>Ingredient</t>
        </is>
      </c>
      <c r="F4" s="5" t="inlineStr">
        <is>
          <t>Qty per serving</t>
        </is>
      </c>
      <c r="G4" s="5" t="inlineStr">
        <is>
          <t>Unit</t>
        </is>
      </c>
      <c r="H4" s="5" t="inlineStr">
        <is>
          <t>Category</t>
        </is>
      </c>
      <c r="I4" s="5" t="inlineStr">
        <is>
          <t>Calories/serving</t>
        </is>
      </c>
      <c r="J4" s="5" t="inlineStr">
        <is>
          <t>Unit price</t>
        </is>
      </c>
    </row>
    <row r="5">
      <c r="A5" s="17" t="inlineStr">
        <is>
          <t>R001</t>
        </is>
      </c>
      <c r="B5" s="17" t="inlineStr">
        <is>
          <t>Breakfast</t>
        </is>
      </c>
      <c r="C5" s="17" t="inlineStr">
        <is>
          <t>Greek yogurt berry bowl</t>
        </is>
      </c>
      <c r="D5" s="17" t="n">
        <v>2</v>
      </c>
      <c r="E5" s="17" t="inlineStr">
        <is>
          <t>Greek yogurt</t>
        </is>
      </c>
      <c r="F5" s="17" t="n">
        <v>1</v>
      </c>
      <c r="G5" s="17" t="inlineStr">
        <is>
          <t>cup</t>
        </is>
      </c>
      <c r="H5" s="17" t="inlineStr">
        <is>
          <t>Dairy &amp; Eggs</t>
        </is>
      </c>
      <c r="I5" s="17" t="n">
        <v>280</v>
      </c>
      <c r="J5" s="17" t="n">
        <v>2.4</v>
      </c>
    </row>
    <row r="6">
      <c r="A6" s="17" t="inlineStr">
        <is>
          <t>R001</t>
        </is>
      </c>
      <c r="B6" s="17" t="inlineStr">
        <is>
          <t>Breakfast</t>
        </is>
      </c>
      <c r="C6" s="17" t="inlineStr">
        <is>
          <t>Greek yogurt berry bowl</t>
        </is>
      </c>
      <c r="D6" s="17" t="n">
        <v>2</v>
      </c>
      <c r="E6" s="17" t="inlineStr">
        <is>
          <t>Berries</t>
        </is>
      </c>
      <c r="F6" s="17" t="n">
        <v>0.5</v>
      </c>
      <c r="G6" s="17" t="inlineStr">
        <is>
          <t>cup</t>
        </is>
      </c>
      <c r="H6" s="17" t="inlineStr">
        <is>
          <t>Produce</t>
        </is>
      </c>
      <c r="I6" s="17" t="n">
        <v>280</v>
      </c>
      <c r="J6" s="17" t="n">
        <v>1.35</v>
      </c>
    </row>
    <row r="7">
      <c r="A7" s="17" t="inlineStr">
        <is>
          <t>R002</t>
        </is>
      </c>
      <c r="B7" s="17" t="inlineStr">
        <is>
          <t>Lunch</t>
        </is>
      </c>
      <c r="C7" s="17" t="inlineStr">
        <is>
          <t>Tomato soup and toast</t>
        </is>
      </c>
      <c r="D7" s="17" t="n">
        <v>2</v>
      </c>
      <c r="E7" s="17" t="inlineStr">
        <is>
          <t>Tomato soup</t>
        </is>
      </c>
      <c r="F7" s="17" t="n">
        <v>1</v>
      </c>
      <c r="G7" s="17" t="inlineStr">
        <is>
          <t>serving</t>
        </is>
      </c>
      <c r="H7" s="17" t="inlineStr">
        <is>
          <t>Pantry</t>
        </is>
      </c>
      <c r="I7" s="17" t="n">
        <v>420</v>
      </c>
      <c r="J7" s="17" t="n">
        <v>2.1</v>
      </c>
    </row>
    <row r="8">
      <c r="A8" s="17" t="inlineStr">
        <is>
          <t>R002</t>
        </is>
      </c>
      <c r="B8" s="17" t="inlineStr">
        <is>
          <t>Lunch</t>
        </is>
      </c>
      <c r="C8" s="17" t="inlineStr">
        <is>
          <t>Tomato soup and toast</t>
        </is>
      </c>
      <c r="D8" s="17" t="n">
        <v>2</v>
      </c>
      <c r="E8" s="17" t="inlineStr">
        <is>
          <t>Whole grain bread</t>
        </is>
      </c>
      <c r="F8" s="17" t="n">
        <v>2</v>
      </c>
      <c r="G8" s="17" t="inlineStr">
        <is>
          <t>slice</t>
        </is>
      </c>
      <c r="H8" s="17" t="inlineStr">
        <is>
          <t>Bakery</t>
        </is>
      </c>
      <c r="I8" s="17" t="n">
        <v>420</v>
      </c>
      <c r="J8" s="17" t="n">
        <v>0.8</v>
      </c>
    </row>
    <row r="9">
      <c r="A9" s="17" t="inlineStr">
        <is>
          <t>R003</t>
        </is>
      </c>
      <c r="B9" s="17" t="inlineStr">
        <is>
          <t>Dinner</t>
        </is>
      </c>
      <c r="C9" s="17" t="inlineStr">
        <is>
          <t>Salmon rice bowl</t>
        </is>
      </c>
      <c r="D9" s="17" t="n">
        <v>2</v>
      </c>
      <c r="E9" s="17" t="inlineStr">
        <is>
          <t>Salmon fillet</t>
        </is>
      </c>
      <c r="F9" s="17" t="n">
        <v>1</v>
      </c>
      <c r="G9" s="17" t="inlineStr">
        <is>
          <t>portion</t>
        </is>
      </c>
      <c r="H9" s="17" t="inlineStr">
        <is>
          <t>Meat &amp; Seafood</t>
        </is>
      </c>
      <c r="I9" s="17" t="n">
        <v>680</v>
      </c>
      <c r="J9" s="17" t="n">
        <v>5.8</v>
      </c>
    </row>
    <row r="10">
      <c r="A10" s="17" t="inlineStr">
        <is>
          <t>R003</t>
        </is>
      </c>
      <c r="B10" s="17" t="inlineStr">
        <is>
          <t>Dinner</t>
        </is>
      </c>
      <c r="C10" s="17" t="inlineStr">
        <is>
          <t>Salmon rice bowl</t>
        </is>
      </c>
      <c r="D10" s="17" t="n">
        <v>2</v>
      </c>
      <c r="E10" s="17" t="inlineStr">
        <is>
          <t>Rice</t>
        </is>
      </c>
      <c r="F10" s="17" t="n">
        <v>0.75</v>
      </c>
      <c r="G10" s="17" t="inlineStr">
        <is>
          <t>cup</t>
        </is>
      </c>
      <c r="H10" s="17" t="inlineStr">
        <is>
          <t>Pantry</t>
        </is>
      </c>
      <c r="I10" s="17" t="n">
        <v>680</v>
      </c>
      <c r="J10" s="17" t="n">
        <v>0.45</v>
      </c>
    </row>
    <row r="11">
      <c r="A11" s="17" t="inlineStr">
        <is>
          <t>R003</t>
        </is>
      </c>
      <c r="B11" s="17" t="inlineStr">
        <is>
          <t>Dinner</t>
        </is>
      </c>
      <c r="C11" s="17" t="inlineStr">
        <is>
          <t>Salmon rice bowl</t>
        </is>
      </c>
      <c r="D11" s="17" t="n">
        <v>2</v>
      </c>
      <c r="E11" s="17" t="inlineStr">
        <is>
          <t>Broccoli</t>
        </is>
      </c>
      <c r="F11" s="17" t="n">
        <v>1</v>
      </c>
      <c r="G11" s="17" t="inlineStr">
        <is>
          <t>cup</t>
        </is>
      </c>
      <c r="H11" s="17" t="inlineStr">
        <is>
          <t>Produce</t>
        </is>
      </c>
      <c r="I11" s="17" t="n">
        <v>680</v>
      </c>
      <c r="J11" s="17" t="n">
        <v>1.1</v>
      </c>
    </row>
    <row r="12">
      <c r="A12" s="17" t="inlineStr">
        <is>
          <t>R004</t>
        </is>
      </c>
      <c r="B12" s="17" t="inlineStr">
        <is>
          <t>Snack</t>
        </is>
      </c>
      <c r="C12" s="17" t="inlineStr">
        <is>
          <t>Apple and peanut butter</t>
        </is>
      </c>
      <c r="D12" s="17" t="n">
        <v>1</v>
      </c>
      <c r="E12" s="17" t="inlineStr">
        <is>
          <t>Apple</t>
        </is>
      </c>
      <c r="F12" s="17" t="n">
        <v>1</v>
      </c>
      <c r="G12" s="17" t="inlineStr">
        <is>
          <t>each</t>
        </is>
      </c>
      <c r="H12" s="17" t="inlineStr">
        <is>
          <t>Produce</t>
        </is>
      </c>
      <c r="I12" s="17" t="n">
        <v>220</v>
      </c>
      <c r="J12" s="17" t="n">
        <v>0.7</v>
      </c>
    </row>
    <row r="13">
      <c r="A13" s="17" t="inlineStr">
        <is>
          <t>R004</t>
        </is>
      </c>
      <c r="B13" s="17" t="inlineStr">
        <is>
          <t>Snack</t>
        </is>
      </c>
      <c r="C13" s="17" t="inlineStr">
        <is>
          <t>Apple and peanut butter</t>
        </is>
      </c>
      <c r="D13" s="17" t="n">
        <v>1</v>
      </c>
      <c r="E13" s="17" t="inlineStr">
        <is>
          <t>Peanut butter</t>
        </is>
      </c>
      <c r="F13" s="17" t="n">
        <v>2</v>
      </c>
      <c r="G13" s="17" t="inlineStr">
        <is>
          <t>tbsp</t>
        </is>
      </c>
      <c r="H13" s="17" t="inlineStr">
        <is>
          <t>Pantry</t>
        </is>
      </c>
      <c r="I13" s="17" t="n">
        <v>220</v>
      </c>
      <c r="J13" s="17" t="n">
        <v>0.55</v>
      </c>
    </row>
    <row r="14">
      <c r="A14" s="17" t="inlineStr">
        <is>
          <t>R005</t>
        </is>
      </c>
      <c r="B14" s="17" t="inlineStr">
        <is>
          <t>Dinner</t>
        </is>
      </c>
      <c r="C14" s="17" t="inlineStr">
        <is>
          <t>Bean taco bowls</t>
        </is>
      </c>
      <c r="D14" s="17" t="n">
        <v>2</v>
      </c>
      <c r="E14" s="17" t="inlineStr">
        <is>
          <t>Black beans</t>
        </is>
      </c>
      <c r="F14" s="17" t="n">
        <v>1</v>
      </c>
      <c r="G14" s="17" t="inlineStr">
        <is>
          <t>cup</t>
        </is>
      </c>
      <c r="H14" s="17" t="inlineStr">
        <is>
          <t>Pantry</t>
        </is>
      </c>
      <c r="I14" s="17" t="n">
        <v>540</v>
      </c>
      <c r="J14" s="17" t="n">
        <v>0.9</v>
      </c>
    </row>
    <row r="15">
      <c r="A15" s="17" t="inlineStr">
        <is>
          <t>R005</t>
        </is>
      </c>
      <c r="B15" s="17" t="inlineStr">
        <is>
          <t>Dinner</t>
        </is>
      </c>
      <c r="C15" s="17" t="inlineStr">
        <is>
          <t>Bean taco bowls</t>
        </is>
      </c>
      <c r="D15" s="17" t="n">
        <v>2</v>
      </c>
      <c r="E15" s="17" t="inlineStr">
        <is>
          <t>Tortillas</t>
        </is>
      </c>
      <c r="F15" s="17" t="n">
        <v>2</v>
      </c>
      <c r="G15" s="17" t="inlineStr">
        <is>
          <t>each</t>
        </is>
      </c>
      <c r="H15" s="17" t="inlineStr">
        <is>
          <t>Bakery</t>
        </is>
      </c>
      <c r="I15" s="17" t="n">
        <v>540</v>
      </c>
      <c r="J15" s="17" t="n">
        <v>0.75</v>
      </c>
    </row>
    <row r="16">
      <c r="A16" s="17" t="inlineStr">
        <is>
          <t>R005</t>
        </is>
      </c>
      <c r="B16" s="17" t="inlineStr">
        <is>
          <t>Dinner</t>
        </is>
      </c>
      <c r="C16" s="17" t="inlineStr">
        <is>
          <t>Bean taco bowls</t>
        </is>
      </c>
      <c r="D16" s="17" t="n">
        <v>2</v>
      </c>
      <c r="E16" s="17" t="inlineStr">
        <is>
          <t>Salsa</t>
        </is>
      </c>
      <c r="F16" s="17" t="n">
        <v>0.25</v>
      </c>
      <c r="G16" s="17" t="inlineStr">
        <is>
          <t>cup</t>
        </is>
      </c>
      <c r="H16" s="17" t="inlineStr">
        <is>
          <t>Pantry</t>
        </is>
      </c>
      <c r="I16" s="17" t="n">
        <v>540</v>
      </c>
      <c r="J16" s="17" t="n">
        <v>0.45</v>
      </c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 t="inlineStr"/>
      <c r="H102" s="17" t="inlineStr"/>
      <c r="I102" s="17" t="inlineStr"/>
      <c r="J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 t="inlineStr"/>
      <c r="H103" s="17" t="inlineStr"/>
      <c r="I103" s="17" t="inlineStr"/>
      <c r="J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 t="inlineStr"/>
      <c r="H104" s="17" t="inlineStr"/>
      <c r="I104" s="17" t="inlineStr"/>
      <c r="J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  <c r="I105" s="18" t="n"/>
      <c r="J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2" customWidth="1" min="5" max="5"/>
    <col width="14" customWidth="1" min="6" max="6"/>
    <col width="12" customWidth="1" min="7" max="7"/>
    <col width="24" customWidth="1" min="8" max="8"/>
  </cols>
  <sheetData>
    <row r="1" ht="30" customHeight="1">
      <c r="A1" s="1" t="inlineStr">
        <is>
          <t>Pantry</t>
        </is>
      </c>
      <c r="B1" s="9" t="n"/>
      <c r="C1" s="9" t="n"/>
      <c r="D1" s="9" t="n"/>
      <c r="E1" s="9" t="n"/>
      <c r="F1" s="9" t="n"/>
      <c r="G1" s="9" t="n"/>
      <c r="H1" s="10" t="n"/>
    </row>
    <row r="2" ht="42" customHeight="1">
      <c r="A2" s="3" t="inlineStr">
        <is>
          <t>Edit cyan rows to record what you already have. Grocery List compares needed quantity against pantry on hand. Add pantry items only inside rows 5-105.</t>
        </is>
      </c>
      <c r="B2" s="9" t="n"/>
      <c r="C2" s="9" t="n"/>
      <c r="D2" s="9" t="n"/>
      <c r="E2" s="9" t="n"/>
      <c r="F2" s="9" t="n"/>
      <c r="G2" s="9" t="n"/>
      <c r="H2" s="10" t="n"/>
    </row>
    <row r="3" ht="42" customHeight="1">
      <c r="A3" s="4" t="inlineStr">
        <is>
          <t>Do not insert/delete columns. Add rows inside the provided cyan range only; formulas cover rows 5-105.</t>
        </is>
      </c>
      <c r="B3" s="9" t="n"/>
      <c r="C3" s="9" t="n"/>
      <c r="D3" s="9" t="n"/>
      <c r="E3" s="9" t="n"/>
      <c r="F3" s="9" t="n"/>
      <c r="G3" s="9" t="n"/>
      <c r="H3" s="10" t="n"/>
    </row>
    <row r="4">
      <c r="A4" s="5" t="inlineStr">
        <is>
          <t>Item</t>
        </is>
      </c>
      <c r="B4" s="5" t="inlineStr">
        <is>
          <t>Category</t>
        </is>
      </c>
      <c r="C4" s="5" t="inlineStr">
        <is>
          <t>On hand qty</t>
        </is>
      </c>
      <c r="D4" s="5" t="inlineStr">
        <is>
          <t>Unit</t>
        </is>
      </c>
      <c r="E4" s="5" t="inlineStr">
        <is>
          <t>Reorder at</t>
        </is>
      </c>
      <c r="F4" s="5" t="inlineStr">
        <is>
          <t>Unit price</t>
        </is>
      </c>
      <c r="G4" s="5" t="inlineStr">
        <is>
          <t>Need soon?</t>
        </is>
      </c>
      <c r="H4" s="5" t="inlineStr">
        <is>
          <t>Notes</t>
        </is>
      </c>
    </row>
    <row r="5">
      <c r="A5" s="17" t="inlineStr">
        <is>
          <t>Rice</t>
        </is>
      </c>
      <c r="B5" s="17" t="inlineStr">
        <is>
          <t>Pantry</t>
        </is>
      </c>
      <c r="C5" s="17" t="n">
        <v>2</v>
      </c>
      <c r="D5" s="17" t="inlineStr">
        <is>
          <t>cup</t>
        </is>
      </c>
      <c r="E5" s="17" t="n">
        <v>1</v>
      </c>
      <c r="F5" s="17" t="n">
        <v>0.6</v>
      </c>
      <c r="G5" s="17">
        <f>IF(C6&lt;=E6,"yes","")</f>
        <v/>
      </c>
      <c r="H5" s="17" t="inlineStr">
        <is>
          <t>starter</t>
        </is>
      </c>
    </row>
    <row r="6">
      <c r="A6" s="17" t="inlineStr">
        <is>
          <t>Black beans</t>
        </is>
      </c>
      <c r="B6" s="17" t="inlineStr">
        <is>
          <t>Pantry</t>
        </is>
      </c>
      <c r="C6" s="17" t="n">
        <v>1</v>
      </c>
      <c r="D6" s="17" t="inlineStr">
        <is>
          <t>cup</t>
        </is>
      </c>
      <c r="E6" s="17" t="n">
        <v>1</v>
      </c>
      <c r="F6" s="17" t="n">
        <v>0.9</v>
      </c>
      <c r="G6" s="17">
        <f>IF(C7&lt;=E7,"yes","")</f>
        <v/>
      </c>
      <c r="H6" s="17" t="inlineStr">
        <is>
          <t>starter</t>
        </is>
      </c>
    </row>
    <row r="7">
      <c r="A7" s="17" t="inlineStr">
        <is>
          <t>Greek yogurt</t>
        </is>
      </c>
      <c r="B7" s="17" t="inlineStr">
        <is>
          <t>Dairy &amp; Eggs</t>
        </is>
      </c>
      <c r="C7" s="17" t="n">
        <v>1</v>
      </c>
      <c r="D7" s="17" t="inlineStr">
        <is>
          <t>cup</t>
        </is>
      </c>
      <c r="E7" s="17" t="n">
        <v>1</v>
      </c>
      <c r="F7" s="17" t="n">
        <v>2.4</v>
      </c>
      <c r="G7" s="17">
        <f>IF(C8&lt;=E8,"yes","")</f>
        <v/>
      </c>
      <c r="H7" s="17" t="inlineStr">
        <is>
          <t>starter</t>
        </is>
      </c>
    </row>
    <row r="8">
      <c r="A8" s="17" t="inlineStr">
        <is>
          <t>Broccoli</t>
        </is>
      </c>
      <c r="B8" s="17" t="inlineStr">
        <is>
          <t>Produce</t>
        </is>
      </c>
      <c r="C8" s="17" t="n">
        <v>0</v>
      </c>
      <c r="D8" s="17" t="inlineStr">
        <is>
          <t>cup</t>
        </is>
      </c>
      <c r="E8" s="17" t="n">
        <v>1</v>
      </c>
      <c r="F8" s="17" t="n">
        <v>1.1</v>
      </c>
      <c r="G8" s="17">
        <f>IF(C9&lt;=E9,"yes","")</f>
        <v/>
      </c>
      <c r="H8" s="17" t="inlineStr">
        <is>
          <t>starter</t>
        </is>
      </c>
    </row>
    <row r="9">
      <c r="A9" s="17" t="inlineStr">
        <is>
          <t>Apple</t>
        </is>
      </c>
      <c r="B9" s="17" t="inlineStr">
        <is>
          <t>Produce</t>
        </is>
      </c>
      <c r="C9" s="17" t="n">
        <v>4</v>
      </c>
      <c r="D9" s="17" t="inlineStr">
        <is>
          <t>each</t>
        </is>
      </c>
      <c r="E9" s="17" t="n">
        <v>2</v>
      </c>
      <c r="F9" s="17" t="n">
        <v>0.7</v>
      </c>
      <c r="G9" s="17">
        <f>IF(C10&lt;=E10,"yes","")</f>
        <v/>
      </c>
      <c r="H9" s="17" t="inlineStr">
        <is>
          <t>starter</t>
        </is>
      </c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>
        <f>IF(AND(A11&lt;&gt;"",C11&lt;=E11),"yes","")</f>
        <v/>
      </c>
      <c r="H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>
        <f>IF(AND(A12&lt;&gt;"",C12&lt;=E12),"yes","")</f>
        <v/>
      </c>
      <c r="H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>
        <f>IF(AND(A13&lt;&gt;"",C13&lt;=E13),"yes","")</f>
        <v/>
      </c>
      <c r="H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>
        <f>IF(AND(A14&lt;&gt;"",C14&lt;=E14),"yes","")</f>
        <v/>
      </c>
      <c r="H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>
        <f>IF(AND(A15&lt;&gt;"",C15&lt;=E15),"yes","")</f>
        <v/>
      </c>
      <c r="H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>
        <f>IF(AND(A16&lt;&gt;"",C16&lt;=E16),"yes","")</f>
        <v/>
      </c>
      <c r="H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>
        <f>IF(AND(A17&lt;&gt;"",C17&lt;=E17),"yes","")</f>
        <v/>
      </c>
      <c r="H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>
        <f>IF(AND(A18&lt;&gt;"",C18&lt;=E18),"yes","")</f>
        <v/>
      </c>
      <c r="H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>
        <f>IF(AND(A19&lt;&gt;"",C19&lt;=E19),"yes","")</f>
        <v/>
      </c>
      <c r="H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>
        <f>IF(AND(A20&lt;&gt;"",C20&lt;=E20),"yes","")</f>
        <v/>
      </c>
      <c r="H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>
        <f>IF(AND(A21&lt;&gt;"",C21&lt;=E21),"yes","")</f>
        <v/>
      </c>
      <c r="H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>
        <f>IF(AND(A22&lt;&gt;"",C22&lt;=E22),"yes","")</f>
        <v/>
      </c>
      <c r="H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>
        <f>IF(AND(A23&lt;&gt;"",C23&lt;=E23),"yes","")</f>
        <v/>
      </c>
      <c r="H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>
        <f>IF(AND(A24&lt;&gt;"",C24&lt;=E24),"yes","")</f>
        <v/>
      </c>
      <c r="H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>
        <f>IF(AND(A25&lt;&gt;"",C25&lt;=E25),"yes","")</f>
        <v/>
      </c>
      <c r="H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>
        <f>IF(AND(A26&lt;&gt;"",C26&lt;=E26),"yes","")</f>
        <v/>
      </c>
      <c r="H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>
        <f>IF(AND(A27&lt;&gt;"",C27&lt;=E27),"yes","")</f>
        <v/>
      </c>
      <c r="H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>
        <f>IF(AND(A28&lt;&gt;"",C28&lt;=E28),"yes","")</f>
        <v/>
      </c>
      <c r="H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>
        <f>IF(AND(A29&lt;&gt;"",C29&lt;=E29),"yes","")</f>
        <v/>
      </c>
      <c r="H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>
        <f>IF(AND(A30&lt;&gt;"",C30&lt;=E30),"yes","")</f>
        <v/>
      </c>
      <c r="H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>
        <f>IF(AND(A31&lt;&gt;"",C31&lt;=E31),"yes","")</f>
        <v/>
      </c>
      <c r="H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>
        <f>IF(AND(A32&lt;&gt;"",C32&lt;=E32),"yes","")</f>
        <v/>
      </c>
      <c r="H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>
        <f>IF(AND(A33&lt;&gt;"",C33&lt;=E33),"yes","")</f>
        <v/>
      </c>
      <c r="H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>
        <f>IF(AND(A34&lt;&gt;"",C34&lt;=E34),"yes","")</f>
        <v/>
      </c>
      <c r="H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>
        <f>IF(AND(A35&lt;&gt;"",C35&lt;=E35),"yes","")</f>
        <v/>
      </c>
      <c r="H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>
        <f>IF(AND(A36&lt;&gt;"",C36&lt;=E36),"yes","")</f>
        <v/>
      </c>
      <c r="H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>
        <f>IF(AND(A37&lt;&gt;"",C37&lt;=E37),"yes","")</f>
        <v/>
      </c>
      <c r="H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>
        <f>IF(AND(A38&lt;&gt;"",C38&lt;=E38),"yes","")</f>
        <v/>
      </c>
      <c r="H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>
        <f>IF(AND(A39&lt;&gt;"",C39&lt;=E39),"yes","")</f>
        <v/>
      </c>
      <c r="H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>
        <f>IF(AND(A40&lt;&gt;"",C40&lt;=E40),"yes","")</f>
        <v/>
      </c>
      <c r="H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>
        <f>IF(AND(A41&lt;&gt;"",C41&lt;=E41),"yes","")</f>
        <v/>
      </c>
      <c r="H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>
        <f>IF(AND(A42&lt;&gt;"",C42&lt;=E42),"yes","")</f>
        <v/>
      </c>
      <c r="H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>
        <f>IF(AND(A43&lt;&gt;"",C43&lt;=E43),"yes","")</f>
        <v/>
      </c>
      <c r="H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>
        <f>IF(AND(A44&lt;&gt;"",C44&lt;=E44),"yes","")</f>
        <v/>
      </c>
      <c r="H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>
        <f>IF(AND(A45&lt;&gt;"",C45&lt;=E45),"yes","")</f>
        <v/>
      </c>
      <c r="H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>
        <f>IF(AND(A46&lt;&gt;"",C46&lt;=E46),"yes","")</f>
        <v/>
      </c>
      <c r="H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>
        <f>IF(AND(A47&lt;&gt;"",C47&lt;=E47),"yes","")</f>
        <v/>
      </c>
      <c r="H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>
        <f>IF(AND(A48&lt;&gt;"",C48&lt;=E48),"yes","")</f>
        <v/>
      </c>
      <c r="H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>
        <f>IF(AND(A49&lt;&gt;"",C49&lt;=E49),"yes","")</f>
        <v/>
      </c>
      <c r="H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>
        <f>IF(AND(A50&lt;&gt;"",C50&lt;=E50),"yes","")</f>
        <v/>
      </c>
      <c r="H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>
        <f>IF(AND(A51&lt;&gt;"",C51&lt;=E51),"yes","")</f>
        <v/>
      </c>
      <c r="H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>
        <f>IF(AND(A52&lt;&gt;"",C52&lt;=E52),"yes","")</f>
        <v/>
      </c>
      <c r="H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>
        <f>IF(AND(A53&lt;&gt;"",C53&lt;=E53),"yes","")</f>
        <v/>
      </c>
      <c r="H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>
        <f>IF(AND(A54&lt;&gt;"",C54&lt;=E54),"yes","")</f>
        <v/>
      </c>
      <c r="H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>
        <f>IF(AND(A55&lt;&gt;"",C55&lt;=E55),"yes","")</f>
        <v/>
      </c>
      <c r="H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>
        <f>IF(AND(A56&lt;&gt;"",C56&lt;=E56),"yes","")</f>
        <v/>
      </c>
      <c r="H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>
        <f>IF(AND(A57&lt;&gt;"",C57&lt;=E57),"yes","")</f>
        <v/>
      </c>
      <c r="H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>
        <f>IF(AND(A58&lt;&gt;"",C58&lt;=E58),"yes","")</f>
        <v/>
      </c>
      <c r="H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>
        <f>IF(AND(A59&lt;&gt;"",C59&lt;=E59),"yes","")</f>
        <v/>
      </c>
      <c r="H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>
        <f>IF(AND(A60&lt;&gt;"",C60&lt;=E60),"yes","")</f>
        <v/>
      </c>
      <c r="H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>
        <f>IF(AND(A61&lt;&gt;"",C61&lt;=E61),"yes","")</f>
        <v/>
      </c>
      <c r="H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>
        <f>IF(AND(A62&lt;&gt;"",C62&lt;=E62),"yes","")</f>
        <v/>
      </c>
      <c r="H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>
        <f>IF(AND(A63&lt;&gt;"",C63&lt;=E63),"yes","")</f>
        <v/>
      </c>
      <c r="H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>
        <f>IF(AND(A64&lt;&gt;"",C64&lt;=E64),"yes","")</f>
        <v/>
      </c>
      <c r="H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>
        <f>IF(AND(A65&lt;&gt;"",C65&lt;=E65),"yes","")</f>
        <v/>
      </c>
      <c r="H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>
        <f>IF(AND(A66&lt;&gt;"",C66&lt;=E66),"yes","")</f>
        <v/>
      </c>
      <c r="H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>
        <f>IF(AND(A67&lt;&gt;"",C67&lt;=E67),"yes","")</f>
        <v/>
      </c>
      <c r="H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>
        <f>IF(AND(A68&lt;&gt;"",C68&lt;=E68),"yes","")</f>
        <v/>
      </c>
      <c r="H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>
        <f>IF(AND(A69&lt;&gt;"",C69&lt;=E69),"yes","")</f>
        <v/>
      </c>
      <c r="H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>
        <f>IF(AND(A70&lt;&gt;"",C70&lt;=E70),"yes","")</f>
        <v/>
      </c>
      <c r="H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>
        <f>IF(AND(A71&lt;&gt;"",C71&lt;=E71),"yes","")</f>
        <v/>
      </c>
      <c r="H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>
        <f>IF(AND(A72&lt;&gt;"",C72&lt;=E72),"yes","")</f>
        <v/>
      </c>
      <c r="H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>
        <f>IF(AND(A73&lt;&gt;"",C73&lt;=E73),"yes","")</f>
        <v/>
      </c>
      <c r="H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>
        <f>IF(AND(A74&lt;&gt;"",C74&lt;=E74),"yes","")</f>
        <v/>
      </c>
      <c r="H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>
        <f>IF(AND(A75&lt;&gt;"",C75&lt;=E75),"yes","")</f>
        <v/>
      </c>
      <c r="H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>
        <f>IF(AND(A76&lt;&gt;"",C76&lt;=E76),"yes","")</f>
        <v/>
      </c>
      <c r="H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>
        <f>IF(AND(A77&lt;&gt;"",C77&lt;=E77),"yes","")</f>
        <v/>
      </c>
      <c r="H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>
        <f>IF(AND(A78&lt;&gt;"",C78&lt;=E78),"yes","")</f>
        <v/>
      </c>
      <c r="H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>
        <f>IF(AND(A79&lt;&gt;"",C79&lt;=E79),"yes","")</f>
        <v/>
      </c>
      <c r="H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>
        <f>IF(AND(A80&lt;&gt;"",C80&lt;=E80),"yes","")</f>
        <v/>
      </c>
      <c r="H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>
        <f>IF(AND(A81&lt;&gt;"",C81&lt;=E81),"yes","")</f>
        <v/>
      </c>
      <c r="H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>
        <f>IF(AND(A82&lt;&gt;"",C82&lt;=E82),"yes","")</f>
        <v/>
      </c>
      <c r="H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>
        <f>IF(AND(A83&lt;&gt;"",C83&lt;=E83),"yes","")</f>
        <v/>
      </c>
      <c r="H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>
        <f>IF(AND(A84&lt;&gt;"",C84&lt;=E84),"yes","")</f>
        <v/>
      </c>
      <c r="H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>
        <f>IF(AND(A85&lt;&gt;"",C85&lt;=E85),"yes","")</f>
        <v/>
      </c>
      <c r="H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>
        <f>IF(AND(A86&lt;&gt;"",C86&lt;=E86),"yes","")</f>
        <v/>
      </c>
      <c r="H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>
        <f>IF(AND(A87&lt;&gt;"",C87&lt;=E87),"yes","")</f>
        <v/>
      </c>
      <c r="H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>
        <f>IF(AND(A88&lt;&gt;"",C88&lt;=E88),"yes","")</f>
        <v/>
      </c>
      <c r="H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>
        <f>IF(AND(A89&lt;&gt;"",C89&lt;=E89),"yes","")</f>
        <v/>
      </c>
      <c r="H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>
        <f>IF(AND(A90&lt;&gt;"",C90&lt;=E90),"yes","")</f>
        <v/>
      </c>
      <c r="H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>
        <f>IF(AND(A91&lt;&gt;"",C91&lt;=E91),"yes","")</f>
        <v/>
      </c>
      <c r="H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>
        <f>IF(AND(A92&lt;&gt;"",C92&lt;=E92),"yes","")</f>
        <v/>
      </c>
      <c r="H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>
        <f>IF(AND(A93&lt;&gt;"",C93&lt;=E93),"yes","")</f>
        <v/>
      </c>
      <c r="H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>
        <f>IF(AND(A94&lt;&gt;"",C94&lt;=E94),"yes","")</f>
        <v/>
      </c>
      <c r="H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>
        <f>IF(AND(A95&lt;&gt;"",C95&lt;=E95),"yes","")</f>
        <v/>
      </c>
      <c r="H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>
        <f>IF(AND(A96&lt;&gt;"",C96&lt;=E96),"yes","")</f>
        <v/>
      </c>
      <c r="H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>
        <f>IF(AND(A97&lt;&gt;"",C97&lt;=E97),"yes","")</f>
        <v/>
      </c>
      <c r="H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>
        <f>IF(AND(A98&lt;&gt;"",C98&lt;=E98),"yes","")</f>
        <v/>
      </c>
      <c r="H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>
        <f>IF(AND(A99&lt;&gt;"",C99&lt;=E99),"yes","")</f>
        <v/>
      </c>
      <c r="H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>
        <f>IF(AND(A100&lt;&gt;"",C100&lt;=E100),"yes","")</f>
        <v/>
      </c>
      <c r="H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>
        <f>IF(AND(A101&lt;&gt;"",C101&lt;=E101),"yes","")</f>
        <v/>
      </c>
      <c r="H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>
        <f>IF(AND(A102&lt;&gt;"",C102&lt;=E102),"yes","")</f>
        <v/>
      </c>
      <c r="H101" s="17" t="inlineStr"/>
    </row>
    <row r="102">
      <c r="A102" s="17" t="inlineStr"/>
      <c r="B102" s="17" t="inlineStr"/>
      <c r="C102" s="17" t="inlineStr"/>
      <c r="D102" s="17" t="inlineStr"/>
      <c r="E102" s="17" t="inlineStr"/>
      <c r="F102" s="17" t="inlineStr"/>
      <c r="G102" s="17">
        <f>IF(AND(A103&lt;&gt;"",C103&lt;=E103),"yes","")</f>
        <v/>
      </c>
      <c r="H102" s="17" t="inlineStr"/>
    </row>
    <row r="103">
      <c r="A103" s="17" t="inlineStr"/>
      <c r="B103" s="17" t="inlineStr"/>
      <c r="C103" s="17" t="inlineStr"/>
      <c r="D103" s="17" t="inlineStr"/>
      <c r="E103" s="17" t="inlineStr"/>
      <c r="F103" s="17" t="inlineStr"/>
      <c r="G103" s="17">
        <f>IF(AND(A104&lt;&gt;"",C104&lt;=E104),"yes","")</f>
        <v/>
      </c>
      <c r="H103" s="17" t="inlineStr"/>
    </row>
    <row r="104">
      <c r="A104" s="17" t="inlineStr"/>
      <c r="B104" s="17" t="inlineStr"/>
      <c r="C104" s="17" t="inlineStr"/>
      <c r="D104" s="17" t="inlineStr"/>
      <c r="E104" s="17" t="inlineStr"/>
      <c r="F104" s="17" t="inlineStr"/>
      <c r="G104" s="17">
        <f>IF(AND(A105&lt;&gt;"",C105&lt;=E105),"yes","")</f>
        <v/>
      </c>
      <c r="H104" s="17" t="inlineStr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H3"/>
    <mergeCell ref="A2:H2"/>
    <mergeCell ref="A1:H1"/>
  </mergeCells>
  <pageMargins left="0.25" right="0.25" top="0.25" bottom="0.25" header="0.1" footer="0.1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12" customWidth="1" min="6" max="6"/>
    <col width="24" customWidth="1" min="7" max="7"/>
    <col width="14" customWidth="1" min="8" max="8"/>
    <col width="14" customWidth="1" min="9" max="9"/>
  </cols>
  <sheetData>
    <row r="1" ht="30" customHeight="1">
      <c r="A1" s="1" t="inlineStr">
        <is>
          <t>Weekly Planner</t>
        </is>
      </c>
      <c r="B1" s="9" t="n"/>
      <c r="C1" s="9" t="n"/>
      <c r="D1" s="9" t="n"/>
      <c r="E1" s="9" t="n"/>
      <c r="F1" s="9" t="n"/>
      <c r="G1" s="9" t="n"/>
      <c r="H1" s="9" t="n"/>
      <c r="I1" s="10" t="n"/>
    </row>
    <row r="2" ht="42" customHeight="1">
      <c r="A2" s="3" t="inlineStr">
        <is>
          <t>Choose meals from dropdowns in cyan cells, set servings, and add notes. Dashboard and Grocery List use this planned week.</t>
        </is>
      </c>
      <c r="B2" s="9" t="n"/>
      <c r="C2" s="9" t="n"/>
      <c r="D2" s="9" t="n"/>
      <c r="E2" s="9" t="n"/>
      <c r="F2" s="9" t="n"/>
      <c r="G2" s="9" t="n"/>
      <c r="H2" s="9" t="n"/>
      <c r="I2" s="10" t="n"/>
    </row>
    <row r="3" ht="42" customHeight="1">
      <c r="A3" s="4" t="inlineStr">
        <is>
          <t>Do not insert/delete columns or rows on this tab. Use the seven day rows provided; duplicate the workbook for a new planning week.</t>
        </is>
      </c>
      <c r="B3" s="9" t="n"/>
      <c r="C3" s="9" t="n"/>
      <c r="D3" s="9" t="n"/>
      <c r="E3" s="9" t="n"/>
      <c r="F3" s="9" t="n"/>
      <c r="G3" s="9" t="n"/>
      <c r="H3" s="9" t="n"/>
      <c r="I3" s="10" t="n"/>
    </row>
    <row r="4">
      <c r="A4" s="5" t="inlineStr">
        <is>
          <t>Day</t>
        </is>
      </c>
      <c r="B4" s="5" t="inlineStr">
        <is>
          <t>Breakfast</t>
        </is>
      </c>
      <c r="C4" s="5" t="inlineStr">
        <is>
          <t>Lunch</t>
        </is>
      </c>
      <c r="D4" s="5" t="inlineStr">
        <is>
          <t>Dinner</t>
        </is>
      </c>
      <c r="E4" s="5" t="inlineStr">
        <is>
          <t>Snack</t>
        </is>
      </c>
      <c r="F4" s="5" t="inlineStr">
        <is>
          <t>Servings</t>
        </is>
      </c>
      <c r="G4" s="5" t="inlineStr">
        <is>
          <t>Notes</t>
        </is>
      </c>
      <c r="H4" s="5" t="inlineStr">
        <is>
          <t>Day calories</t>
        </is>
      </c>
      <c r="I4" s="5" t="inlineStr">
        <is>
          <t>Day cost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Monday</t>
        </is>
      </c>
      <c r="B6" s="17" t="inlineStr">
        <is>
          <t>Apple and peanut butter</t>
        </is>
      </c>
      <c r="C6" s="17" t="inlineStr">
        <is>
          <t>Tomato soup and toast</t>
        </is>
      </c>
      <c r="D6" s="17" t="inlineStr">
        <is>
          <t>Bean taco bowls</t>
        </is>
      </c>
      <c r="E6" s="17" t="inlineStr">
        <is>
          <t>Apple and peanut butter</t>
        </is>
      </c>
      <c r="F6" s="17" t="n">
        <v>2</v>
      </c>
      <c r="G6" s="17" t="inlineStr">
        <is>
          <t>sample week</t>
        </is>
      </c>
      <c r="H6" s="11">
        <f>SUMPRODUCT((Recipes!$C$6:$C$105=B6)*Recipes!$I$6:$I$105)+SUMPRODUCT((Recipes!$C$6:$C$105=C6)*Recipes!$I$6:$I$105)+SUMPRODUCT((Recipes!$C$6:$C$105=D6)*Recipes!$I$6:$I$105)+SUMPRODUCT((Recipes!$C$6:$C$105=E6)*Recipes!$I$6:$I$105)</f>
        <v/>
      </c>
      <c r="I6" s="11">
        <f>SUMPRODUCT((Recipes!$C$6:$C$105=B6)*Recipes!$J$6:$J$105)+SUMPRODUCT((Recipes!$C$6:$C$105=C6)*Recipes!$J$6:$J$105)+SUMPRODUCT((Recipes!$C$6:$C$105=D6)*Recipes!$J$6:$J$105)+SUMPRODUCT((Recipes!$C$6:$C$105=E6)*Recipes!$J$6:$J$105)</f>
        <v/>
      </c>
    </row>
    <row r="7">
      <c r="A7" s="2" t="inlineStr">
        <is>
          <t>Tuesday</t>
        </is>
      </c>
      <c r="B7" s="17" t="inlineStr">
        <is>
          <t>Greek yogurt berry bowl</t>
        </is>
      </c>
      <c r="C7" s="17" t="inlineStr">
        <is>
          <t>Tomato soup and toast</t>
        </is>
      </c>
      <c r="D7" s="17" t="inlineStr">
        <is>
          <t>Salmon rice bowl</t>
        </is>
      </c>
      <c r="E7" s="17" t="inlineStr">
        <is>
          <t>Apple and peanut butter</t>
        </is>
      </c>
      <c r="F7" s="17" t="n">
        <v>2</v>
      </c>
      <c r="G7" s="17" t="inlineStr">
        <is>
          <t>sample week</t>
        </is>
      </c>
      <c r="H7" s="11">
        <f>SUMPRODUCT((Recipes!$C$6:$C$105=B7)*Recipes!$I$6:$I$105)+SUMPRODUCT((Recipes!$C$6:$C$105=C7)*Recipes!$I$6:$I$105)+SUMPRODUCT((Recipes!$C$6:$C$105=D7)*Recipes!$I$6:$I$105)+SUMPRODUCT((Recipes!$C$6:$C$105=E7)*Recipes!$I$6:$I$105)</f>
        <v/>
      </c>
      <c r="I7" s="11">
        <f>SUMPRODUCT((Recipes!$C$6:$C$105=B7)*Recipes!$J$6:$J$105)+SUMPRODUCT((Recipes!$C$6:$C$105=C7)*Recipes!$J$6:$J$105)+SUMPRODUCT((Recipes!$C$6:$C$105=D7)*Recipes!$J$6:$J$105)+SUMPRODUCT((Recipes!$C$6:$C$105=E7)*Recipes!$J$6:$J$105)</f>
        <v/>
      </c>
    </row>
    <row r="8">
      <c r="A8" s="2" t="inlineStr">
        <is>
          <t>Wednesday</t>
        </is>
      </c>
      <c r="B8" s="17" t="inlineStr">
        <is>
          <t>Apple and peanut butter</t>
        </is>
      </c>
      <c r="C8" s="17" t="inlineStr">
        <is>
          <t>Tomato soup and toast</t>
        </is>
      </c>
      <c r="D8" s="17" t="inlineStr">
        <is>
          <t>Bean taco bowls</t>
        </is>
      </c>
      <c r="E8" s="17" t="inlineStr">
        <is>
          <t>Apple and peanut butter</t>
        </is>
      </c>
      <c r="F8" s="17" t="n">
        <v>2</v>
      </c>
      <c r="G8" s="17" t="inlineStr">
        <is>
          <t>sample week</t>
        </is>
      </c>
      <c r="H8" s="11">
        <f>SUMPRODUCT((Recipes!$C$6:$C$105=B8)*Recipes!$I$6:$I$105)+SUMPRODUCT((Recipes!$C$6:$C$105=C8)*Recipes!$I$6:$I$105)+SUMPRODUCT((Recipes!$C$6:$C$105=D8)*Recipes!$I$6:$I$105)+SUMPRODUCT((Recipes!$C$6:$C$105=E8)*Recipes!$I$6:$I$105)</f>
        <v/>
      </c>
      <c r="I8" s="11">
        <f>SUMPRODUCT((Recipes!$C$6:$C$105=B8)*Recipes!$J$6:$J$105)+SUMPRODUCT((Recipes!$C$6:$C$105=C8)*Recipes!$J$6:$J$105)+SUMPRODUCT((Recipes!$C$6:$C$105=D8)*Recipes!$J$6:$J$105)+SUMPRODUCT((Recipes!$C$6:$C$105=E8)*Recipes!$J$6:$J$105)</f>
        <v/>
      </c>
    </row>
    <row r="9">
      <c r="A9" s="2" t="inlineStr">
        <is>
          <t>Thursday</t>
        </is>
      </c>
      <c r="B9" s="17" t="inlineStr">
        <is>
          <t>Greek yogurt berry bowl</t>
        </is>
      </c>
      <c r="C9" s="17" t="inlineStr">
        <is>
          <t>Tomato soup and toast</t>
        </is>
      </c>
      <c r="D9" s="17" t="inlineStr">
        <is>
          <t>Salmon rice bowl</t>
        </is>
      </c>
      <c r="E9" s="17" t="inlineStr">
        <is>
          <t>Apple and peanut butter</t>
        </is>
      </c>
      <c r="F9" s="17" t="n">
        <v>2</v>
      </c>
      <c r="G9" s="17" t="inlineStr">
        <is>
          <t>sample week</t>
        </is>
      </c>
      <c r="H9" s="11">
        <f>SUMPRODUCT((Recipes!$C$6:$C$105=B9)*Recipes!$I$6:$I$105)+SUMPRODUCT((Recipes!$C$6:$C$105=C9)*Recipes!$I$6:$I$105)+SUMPRODUCT((Recipes!$C$6:$C$105=D9)*Recipes!$I$6:$I$105)+SUMPRODUCT((Recipes!$C$6:$C$105=E9)*Recipes!$I$6:$I$105)</f>
        <v/>
      </c>
      <c r="I9" s="11">
        <f>SUMPRODUCT((Recipes!$C$6:$C$105=B9)*Recipes!$J$6:$J$105)+SUMPRODUCT((Recipes!$C$6:$C$105=C9)*Recipes!$J$6:$J$105)+SUMPRODUCT((Recipes!$C$6:$C$105=D9)*Recipes!$J$6:$J$105)+SUMPRODUCT((Recipes!$C$6:$C$105=E9)*Recipes!$J$6:$J$105)</f>
        <v/>
      </c>
    </row>
    <row r="10">
      <c r="A10" s="2" t="inlineStr">
        <is>
          <t>Friday</t>
        </is>
      </c>
      <c r="B10" s="17" t="inlineStr">
        <is>
          <t>Apple and peanut butter</t>
        </is>
      </c>
      <c r="C10" s="17" t="inlineStr">
        <is>
          <t>Tomato soup and toast</t>
        </is>
      </c>
      <c r="D10" s="17" t="inlineStr">
        <is>
          <t>Bean taco bowls</t>
        </is>
      </c>
      <c r="E10" s="17" t="inlineStr">
        <is>
          <t>Apple and peanut butter</t>
        </is>
      </c>
      <c r="F10" s="17" t="n">
        <v>2</v>
      </c>
      <c r="G10" s="17" t="inlineStr">
        <is>
          <t>sample week</t>
        </is>
      </c>
      <c r="H10" s="11">
        <f>SUMPRODUCT((Recipes!$C$6:$C$105=B10)*Recipes!$I$6:$I$105)+SUMPRODUCT((Recipes!$C$6:$C$105=C10)*Recipes!$I$6:$I$105)+SUMPRODUCT((Recipes!$C$6:$C$105=D10)*Recipes!$I$6:$I$105)+SUMPRODUCT((Recipes!$C$6:$C$105=E10)*Recipes!$I$6:$I$105)</f>
        <v/>
      </c>
      <c r="I10" s="11">
        <f>SUMPRODUCT((Recipes!$C$6:$C$105=B10)*Recipes!$J$6:$J$105)+SUMPRODUCT((Recipes!$C$6:$C$105=C10)*Recipes!$J$6:$J$105)+SUMPRODUCT((Recipes!$C$6:$C$105=D10)*Recipes!$J$6:$J$105)+SUMPRODUCT((Recipes!$C$6:$C$105=E10)*Recipes!$J$6:$J$105)</f>
        <v/>
      </c>
    </row>
    <row r="11">
      <c r="A11" s="2" t="inlineStr">
        <is>
          <t>Saturday</t>
        </is>
      </c>
      <c r="B11" s="17" t="inlineStr">
        <is>
          <t>Greek yogurt berry bowl</t>
        </is>
      </c>
      <c r="C11" s="17" t="inlineStr">
        <is>
          <t>Tomato soup and toast</t>
        </is>
      </c>
      <c r="D11" s="17" t="inlineStr">
        <is>
          <t>Salmon rice bowl</t>
        </is>
      </c>
      <c r="E11" s="17" t="inlineStr">
        <is>
          <t>Apple and peanut butter</t>
        </is>
      </c>
      <c r="F11" s="17" t="n">
        <v>2</v>
      </c>
      <c r="G11" s="17" t="inlineStr">
        <is>
          <t>sample week</t>
        </is>
      </c>
      <c r="H11" s="11">
        <f>SUMPRODUCT((Recipes!$C$6:$C$105=B11)*Recipes!$I$6:$I$105)+SUMPRODUCT((Recipes!$C$6:$C$105=C11)*Recipes!$I$6:$I$105)+SUMPRODUCT((Recipes!$C$6:$C$105=D11)*Recipes!$I$6:$I$105)+SUMPRODUCT((Recipes!$C$6:$C$105=E11)*Recipes!$I$6:$I$105)</f>
        <v/>
      </c>
      <c r="I11" s="11">
        <f>SUMPRODUCT((Recipes!$C$6:$C$105=B11)*Recipes!$J$6:$J$105)+SUMPRODUCT((Recipes!$C$6:$C$105=C11)*Recipes!$J$6:$J$105)+SUMPRODUCT((Recipes!$C$6:$C$105=D11)*Recipes!$J$6:$J$105)+SUMPRODUCT((Recipes!$C$6:$C$105=E11)*Recipes!$J$6:$J$105)</f>
        <v/>
      </c>
    </row>
    <row r="12">
      <c r="A12" s="2" t="inlineStr">
        <is>
          <t>Sunday</t>
        </is>
      </c>
      <c r="B12" s="17" t="inlineStr">
        <is>
          <t>Apple and peanut butter</t>
        </is>
      </c>
      <c r="C12" s="17" t="inlineStr">
        <is>
          <t>Tomato soup and toast</t>
        </is>
      </c>
      <c r="D12" s="17" t="inlineStr">
        <is>
          <t>Bean taco bowls</t>
        </is>
      </c>
      <c r="E12" s="17" t="inlineStr">
        <is>
          <t>Apple and peanut butter</t>
        </is>
      </c>
      <c r="F12" s="17" t="n">
        <v>2</v>
      </c>
      <c r="G12" s="17" t="inlineStr">
        <is>
          <t>sample week</t>
        </is>
      </c>
      <c r="H12" s="11">
        <f>SUMPRODUCT((Recipes!$C$6:$C$105=B12)*Recipes!$I$6:$I$105)+SUMPRODUCT((Recipes!$C$6:$C$105=C12)*Recipes!$I$6:$I$105)+SUMPRODUCT((Recipes!$C$6:$C$105=D12)*Recipes!$I$6:$I$105)+SUMPRODUCT((Recipes!$C$6:$C$105=E12)*Recipes!$I$6:$I$105)</f>
        <v/>
      </c>
      <c r="I12" s="11">
        <f>SUMPRODUCT((Recipes!$C$6:$C$105=B12)*Recipes!$J$6:$J$105)+SUMPRODUCT((Recipes!$C$6:$C$105=C12)*Recipes!$J$6:$J$105)+SUMPRODUCT((Recipes!$C$6:$C$105=D12)*Recipes!$J$6:$J$105)+SUMPRODUCT((Recipes!$C$6:$C$105=E12)*Recipes!$J$6:$J$105)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I1"/>
    <mergeCell ref="A3:I3"/>
    <mergeCell ref="A2:I2"/>
  </mergeCells>
  <dataValidations count="4">
    <dataValidation sqref="B6:B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C6:C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D6:D12" showDropDown="0" showInputMessage="0" showErrorMessage="0" allowBlank="1" type="list">
      <formula1>"Greek yogurt berry bowl,Tomato soup and toast,Salmon rice bowl,Apple and peanut butter,Bean taco bowls,Veggie pasta,Chicken salad wrap"</formula1>
    </dataValidation>
    <dataValidation sqref="E6:E12" showDropDown="0" showInputMessage="0" showErrorMessage="0" allowBlank="1" type="list">
      <formula1>"Greek yogurt berry bowl,Tomato soup and toast,Salmon rice bowl,Apple and peanut butter,Bean taco bowls,Veggie pasta,Chicken salad wrap"</formula1>
    </dataValidation>
  </dataValidations>
  <pageMargins left="0.25" right="0.25" top="0.25" bottom="0.25" header="0.1" footer="0.1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24" customWidth="1" min="10" max="10"/>
    <col hidden="1" width="13" customWidth="1" min="11" max="11"/>
  </cols>
  <sheetData>
    <row r="1" ht="30" customHeight="1">
      <c r="A1" s="1" t="inlineStr">
        <is>
          <t>Grocery List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10" t="n"/>
    </row>
    <row r="2" ht="42" customHeight="1">
      <c r="A2" s="3" t="inlineStr">
        <is>
          <t>Review and shop from this final list. Cyan quantity, pantry, unit price, checked, and notes cells are editable. Estimated cost uses the visible Unit price column.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10" t="n"/>
    </row>
    <row r="3" ht="42" customHeight="1">
      <c r="A3" s="4" t="inlineStr">
        <is>
          <t>Core grocery rows are driven from the weekly planner and recipe ingredients. Add custom items only inside the provided cyan rows; formulas are prefilled for those rows.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10" t="n"/>
    </row>
    <row r="4">
      <c r="A4" s="5" t="inlineStr">
        <is>
          <t>Category</t>
        </is>
      </c>
      <c r="B4" s="5" t="inlineStr">
        <is>
          <t>Item</t>
        </is>
      </c>
      <c r="C4" s="5" t="inlineStr">
        <is>
          <t>Needed qty</t>
        </is>
      </c>
      <c r="D4" s="5" t="inlineStr">
        <is>
          <t>Pantry on hand</t>
        </is>
      </c>
      <c r="E4" s="5" t="inlineStr">
        <is>
          <t>Buy qty</t>
        </is>
      </c>
      <c r="F4" s="5" t="inlineStr">
        <is>
          <t>Unit</t>
        </is>
      </c>
      <c r="G4" s="5" t="inlineStr">
        <is>
          <t>Unit price</t>
        </is>
      </c>
      <c r="H4" s="5" t="inlineStr">
        <is>
          <t>Estimated cost</t>
        </is>
      </c>
      <c r="I4" s="5" t="inlineStr">
        <is>
          <t>Checked</t>
        </is>
      </c>
      <c r="J4" s="5" t="inlineStr">
        <is>
          <t>Notes</t>
        </is>
      </c>
      <c r="K4" t="inlineStr">
        <is>
          <t>Source recipe</t>
        </is>
      </c>
    </row>
    <row r="5">
      <c r="A5" s="17" t="inlineStr">
        <is>
          <t>Dairy &amp; Eggs</t>
        </is>
      </c>
      <c r="B5" s="17" t="inlineStr">
        <is>
          <t>Greek yogurt</t>
        </is>
      </c>
      <c r="C5" s="17">
        <f>IF(B5="","",SUMPRODUCT((Recipes!$C$6:$C$105=$K5)*(Recipes!$E$6:$E$105=B5)*Recipes!$F$6:$F$105)*SUMIF('Recipe Totals'!$A$2:$A$8,$K5,'Recipe Totals'!$B$2:$B$8))</f>
        <v/>
      </c>
      <c r="D5" s="17">
        <f>IF(B5="","",IFERROR(SUMIF(Pantry!$A$5:$A$105,B5,Pantry!$C$5:$C$105),0))</f>
        <v/>
      </c>
      <c r="E5" s="17">
        <f>IF(B5="","",MAX(0,C5-D5))</f>
        <v/>
      </c>
      <c r="F5" s="17" t="inlineStr">
        <is>
          <t>cup</t>
        </is>
      </c>
      <c r="G5" s="17" t="n">
        <v>2.4</v>
      </c>
      <c r="H5" s="17">
        <f>IF(B5="","",IFERROR(E5*G5,0))</f>
        <v/>
      </c>
      <c r="I5" s="17" t="inlineStr"/>
      <c r="J5" s="17" t="inlineStr"/>
      <c r="K5" s="18" t="inlineStr">
        <is>
          <t>Greek yogurt berry bowl</t>
        </is>
      </c>
    </row>
    <row r="6">
      <c r="A6" s="17" t="inlineStr">
        <is>
          <t>Produce</t>
        </is>
      </c>
      <c r="B6" s="17" t="inlineStr">
        <is>
          <t>Berries</t>
        </is>
      </c>
      <c r="C6" s="17">
        <f>IF(B6="","",SUMPRODUCT((Recipes!$C$6:$C$105=$K6)*(Recipes!$E$6:$E$105=B6)*Recipes!$F$6:$F$105)*SUMIF('Recipe Totals'!$A$2:$A$8,$K6,'Recipe Totals'!$B$2:$B$8))</f>
        <v/>
      </c>
      <c r="D6" s="17">
        <f>IF(B6="","",IFERROR(SUMIF(Pantry!$A$5:$A$105,B6,Pantry!$C$5:$C$105),0))</f>
        <v/>
      </c>
      <c r="E6" s="17">
        <f>IF(B6="","",MAX(0,C6-D6))</f>
        <v/>
      </c>
      <c r="F6" s="17" t="inlineStr">
        <is>
          <t>cup</t>
        </is>
      </c>
      <c r="G6" s="17" t="n">
        <v>1.35</v>
      </c>
      <c r="H6" s="17">
        <f>IF(B6="","",IFERROR(E6*G6,0))</f>
        <v/>
      </c>
      <c r="I6" s="17" t="inlineStr"/>
      <c r="J6" s="17" t="inlineStr"/>
      <c r="K6" s="18" t="inlineStr">
        <is>
          <t>Greek yogurt berry bowl</t>
        </is>
      </c>
    </row>
    <row r="7">
      <c r="A7" s="17" t="inlineStr">
        <is>
          <t>Pantry</t>
        </is>
      </c>
      <c r="B7" s="17" t="inlineStr">
        <is>
          <t>Tomato soup</t>
        </is>
      </c>
      <c r="C7" s="17">
        <f>IF(B7="","",SUMPRODUCT((Recipes!$C$6:$C$105=$K7)*(Recipes!$E$6:$E$105=B7)*Recipes!$F$6:$F$105)*SUMIF('Recipe Totals'!$A$2:$A$8,$K7,'Recipe Totals'!$B$2:$B$8))</f>
        <v/>
      </c>
      <c r="D7" s="17">
        <f>IF(B7="","",IFERROR(SUMIF(Pantry!$A$5:$A$105,B7,Pantry!$C$5:$C$105),0))</f>
        <v/>
      </c>
      <c r="E7" s="17">
        <f>IF(B7="","",MAX(0,C7-D7))</f>
        <v/>
      </c>
      <c r="F7" s="17" t="inlineStr">
        <is>
          <t>serving</t>
        </is>
      </c>
      <c r="G7" s="17" t="n">
        <v>2.1</v>
      </c>
      <c r="H7" s="17">
        <f>IF(B7="","",IFERROR(E7*G7,0))</f>
        <v/>
      </c>
      <c r="I7" s="17" t="inlineStr"/>
      <c r="J7" s="17" t="inlineStr"/>
      <c r="K7" s="18" t="inlineStr">
        <is>
          <t>Tomato soup and toast</t>
        </is>
      </c>
    </row>
    <row r="8">
      <c r="A8" s="17" t="inlineStr">
        <is>
          <t>Bakery</t>
        </is>
      </c>
      <c r="B8" s="17" t="inlineStr">
        <is>
          <t>Whole grain bread</t>
        </is>
      </c>
      <c r="C8" s="17">
        <f>IF(B8="","",SUMPRODUCT((Recipes!$C$6:$C$105=$K8)*(Recipes!$E$6:$E$105=B8)*Recipes!$F$6:$F$105)*SUMIF('Recipe Totals'!$A$2:$A$8,$K8,'Recipe Totals'!$B$2:$B$8))</f>
        <v/>
      </c>
      <c r="D8" s="17">
        <f>IF(B8="","",IFERROR(SUMIF(Pantry!$A$5:$A$105,B8,Pantry!$C$5:$C$105),0))</f>
        <v/>
      </c>
      <c r="E8" s="17">
        <f>IF(B8="","",MAX(0,C8-D8))</f>
        <v/>
      </c>
      <c r="F8" s="17" t="inlineStr">
        <is>
          <t>slice</t>
        </is>
      </c>
      <c r="G8" s="17" t="n">
        <v>0.8</v>
      </c>
      <c r="H8" s="17">
        <f>IF(B8="","",IFERROR(E8*G8,0))</f>
        <v/>
      </c>
      <c r="I8" s="17" t="inlineStr"/>
      <c r="J8" s="17" t="inlineStr"/>
      <c r="K8" s="18" t="inlineStr">
        <is>
          <t>Tomato soup and toast</t>
        </is>
      </c>
    </row>
    <row r="9">
      <c r="A9" s="17" t="inlineStr">
        <is>
          <t>Meat &amp; Seafood</t>
        </is>
      </c>
      <c r="B9" s="17" t="inlineStr">
        <is>
          <t>Salmon fillet</t>
        </is>
      </c>
      <c r="C9" s="17">
        <f>IF(B9="","",SUMPRODUCT((Recipes!$C$6:$C$105=$K9)*(Recipes!$E$6:$E$105=B9)*Recipes!$F$6:$F$105)*SUMIF('Recipe Totals'!$A$2:$A$8,$K9,'Recipe Totals'!$B$2:$B$8))</f>
        <v/>
      </c>
      <c r="D9" s="17">
        <f>IF(B9="","",IFERROR(SUMIF(Pantry!$A$5:$A$105,B9,Pantry!$C$5:$C$105),0))</f>
        <v/>
      </c>
      <c r="E9" s="17">
        <f>IF(B9="","",MAX(0,C9-D9))</f>
        <v/>
      </c>
      <c r="F9" s="17" t="inlineStr">
        <is>
          <t>portion</t>
        </is>
      </c>
      <c r="G9" s="17" t="n">
        <v>5.8</v>
      </c>
      <c r="H9" s="17">
        <f>IF(B9="","",IFERROR(E9*G9,0))</f>
        <v/>
      </c>
      <c r="I9" s="17" t="inlineStr"/>
      <c r="J9" s="17" t="inlineStr"/>
      <c r="K9" s="18" t="inlineStr">
        <is>
          <t>Salmon rice bowl</t>
        </is>
      </c>
    </row>
    <row r="10">
      <c r="A10" s="17" t="inlineStr">
        <is>
          <t>Pantry</t>
        </is>
      </c>
      <c r="B10" s="17" t="inlineStr">
        <is>
          <t>Rice</t>
        </is>
      </c>
      <c r="C10" s="17">
        <f>IF(B10="","",SUMPRODUCT((Recipes!$C$6:$C$105=$K10)*(Recipes!$E$6:$E$105=B10)*Recipes!$F$6:$F$105)*SUMIF('Recipe Totals'!$A$2:$A$8,$K10,'Recipe Totals'!$B$2:$B$8))</f>
        <v/>
      </c>
      <c r="D10" s="17">
        <f>IF(B10="","",IFERROR(SUMIF(Pantry!$A$5:$A$105,B10,Pantry!$C$5:$C$105),0))</f>
        <v/>
      </c>
      <c r="E10" s="17">
        <f>IF(B10="","",MAX(0,C10-D10))</f>
        <v/>
      </c>
      <c r="F10" s="17" t="inlineStr">
        <is>
          <t>cup</t>
        </is>
      </c>
      <c r="G10" s="17" t="n">
        <v>0.45</v>
      </c>
      <c r="H10" s="17">
        <f>IF(B10="","",IFERROR(E10*G10,0))</f>
        <v/>
      </c>
      <c r="I10" s="17" t="inlineStr"/>
      <c r="J10" s="17" t="inlineStr"/>
      <c r="K10" s="18" t="inlineStr">
        <is>
          <t>Salmon rice bowl</t>
        </is>
      </c>
    </row>
    <row r="11">
      <c r="A11" s="17" t="inlineStr">
        <is>
          <t>Produce</t>
        </is>
      </c>
      <c r="B11" s="17" t="inlineStr">
        <is>
          <t>Broccoli</t>
        </is>
      </c>
      <c r="C11" s="17">
        <f>IF(B11="","",SUMPRODUCT((Recipes!$C$6:$C$105=$K11)*(Recipes!$E$6:$E$105=B11)*Recipes!$F$6:$F$105)*SUMIF('Recipe Totals'!$A$2:$A$8,$K11,'Recipe Totals'!$B$2:$B$8))</f>
        <v/>
      </c>
      <c r="D11" s="17">
        <f>IF(B11="","",IFERROR(SUMIF(Pantry!$A$5:$A$105,B11,Pantry!$C$5:$C$105),0))</f>
        <v/>
      </c>
      <c r="E11" s="17">
        <f>IF(B11="","",MAX(0,C11-D11))</f>
        <v/>
      </c>
      <c r="F11" s="17" t="inlineStr">
        <is>
          <t>cup</t>
        </is>
      </c>
      <c r="G11" s="17" t="n">
        <v>1.1</v>
      </c>
      <c r="H11" s="17">
        <f>IF(B11="","",IFERROR(E11*G11,0))</f>
        <v/>
      </c>
      <c r="I11" s="17" t="inlineStr"/>
      <c r="J11" s="17" t="inlineStr"/>
      <c r="K11" s="18" t="inlineStr">
        <is>
          <t>Salmon rice bowl</t>
        </is>
      </c>
    </row>
    <row r="12">
      <c r="A12" s="17" t="inlineStr">
        <is>
          <t>Produce</t>
        </is>
      </c>
      <c r="B12" s="17" t="inlineStr">
        <is>
          <t>Apple</t>
        </is>
      </c>
      <c r="C12" s="17">
        <f>IF(B12="","",SUMPRODUCT((Recipes!$C$6:$C$105=$K12)*(Recipes!$E$6:$E$105=B12)*Recipes!$F$6:$F$105)*SUMIF('Recipe Totals'!$A$2:$A$8,$K12,'Recipe Totals'!$B$2:$B$8))</f>
        <v/>
      </c>
      <c r="D12" s="17">
        <f>IF(B12="","",IFERROR(SUMIF(Pantry!$A$5:$A$105,B12,Pantry!$C$5:$C$105),0))</f>
        <v/>
      </c>
      <c r="E12" s="17">
        <f>IF(B12="","",MAX(0,C12-D12))</f>
        <v/>
      </c>
      <c r="F12" s="17" t="inlineStr">
        <is>
          <t>each</t>
        </is>
      </c>
      <c r="G12" s="17" t="n">
        <v>0.7</v>
      </c>
      <c r="H12" s="17">
        <f>IF(B12="","",IFERROR(E12*G12,0))</f>
        <v/>
      </c>
      <c r="I12" s="17" t="inlineStr"/>
      <c r="J12" s="17" t="inlineStr"/>
      <c r="K12" s="18" t="inlineStr">
        <is>
          <t>Apple and peanut butter</t>
        </is>
      </c>
    </row>
    <row r="13">
      <c r="A13" s="17" t="inlineStr">
        <is>
          <t>Pantry</t>
        </is>
      </c>
      <c r="B13" s="17" t="inlineStr">
        <is>
          <t>Peanut butter</t>
        </is>
      </c>
      <c r="C13" s="17">
        <f>IF(B13="","",SUMPRODUCT((Recipes!$C$6:$C$105=$K13)*(Recipes!$E$6:$E$105=B13)*Recipes!$F$6:$F$105)*SUMIF('Recipe Totals'!$A$2:$A$8,$K13,'Recipe Totals'!$B$2:$B$8))</f>
        <v/>
      </c>
      <c r="D13" s="17">
        <f>IF(B13="","",IFERROR(SUMIF(Pantry!$A$5:$A$105,B13,Pantry!$C$5:$C$105),0))</f>
        <v/>
      </c>
      <c r="E13" s="17">
        <f>IF(B13="","",MAX(0,C13-D13))</f>
        <v/>
      </c>
      <c r="F13" s="17" t="inlineStr">
        <is>
          <t>tbsp</t>
        </is>
      </c>
      <c r="G13" s="17" t="n">
        <v>0.55</v>
      </c>
      <c r="H13" s="17">
        <f>IF(B13="","",IFERROR(E13*G13,0))</f>
        <v/>
      </c>
      <c r="I13" s="17" t="inlineStr"/>
      <c r="J13" s="17" t="inlineStr"/>
      <c r="K13" s="18" t="inlineStr">
        <is>
          <t>Apple and peanut butter</t>
        </is>
      </c>
    </row>
    <row r="14">
      <c r="A14" s="17" t="inlineStr">
        <is>
          <t>Pantry</t>
        </is>
      </c>
      <c r="B14" s="17" t="inlineStr">
        <is>
          <t>Black beans</t>
        </is>
      </c>
      <c r="C14" s="17">
        <f>IF(B14="","",SUMPRODUCT((Recipes!$C$6:$C$105=$K14)*(Recipes!$E$6:$E$105=B14)*Recipes!$F$6:$F$105)*SUMIF('Recipe Totals'!$A$2:$A$8,$K14,'Recipe Totals'!$B$2:$B$8))</f>
        <v/>
      </c>
      <c r="D14" s="17">
        <f>IF(B14="","",IFERROR(SUMIF(Pantry!$A$5:$A$105,B14,Pantry!$C$5:$C$105),0))</f>
        <v/>
      </c>
      <c r="E14" s="17">
        <f>IF(B14="","",MAX(0,C14-D14))</f>
        <v/>
      </c>
      <c r="F14" s="17" t="inlineStr">
        <is>
          <t>cup</t>
        </is>
      </c>
      <c r="G14" s="17" t="n">
        <v>0.9</v>
      </c>
      <c r="H14" s="17">
        <f>IF(B14="","",IFERROR(E14*G14,0))</f>
        <v/>
      </c>
      <c r="I14" s="17" t="inlineStr"/>
      <c r="J14" s="17" t="inlineStr"/>
      <c r="K14" s="18" t="inlineStr">
        <is>
          <t>Bean taco bowls</t>
        </is>
      </c>
    </row>
    <row r="15">
      <c r="A15" s="17" t="inlineStr">
        <is>
          <t>Bakery</t>
        </is>
      </c>
      <c r="B15" s="17" t="inlineStr">
        <is>
          <t>Tortillas</t>
        </is>
      </c>
      <c r="C15" s="17">
        <f>IF(B15="","",SUMPRODUCT((Recipes!$C$6:$C$105=$K15)*(Recipes!$E$6:$E$105=B15)*Recipes!$F$6:$F$105)*SUMIF('Recipe Totals'!$A$2:$A$8,$K15,'Recipe Totals'!$B$2:$B$8))</f>
        <v/>
      </c>
      <c r="D15" s="17">
        <f>IF(B15="","",IFERROR(SUMIF(Pantry!$A$5:$A$105,B15,Pantry!$C$5:$C$105),0))</f>
        <v/>
      </c>
      <c r="E15" s="17">
        <f>IF(B15="","",MAX(0,C15-D15))</f>
        <v/>
      </c>
      <c r="F15" s="17" t="inlineStr">
        <is>
          <t>each</t>
        </is>
      </c>
      <c r="G15" s="17" t="n">
        <v>0.75</v>
      </c>
      <c r="H15" s="17">
        <f>IF(B15="","",IFERROR(E15*G15,0))</f>
        <v/>
      </c>
      <c r="I15" s="17" t="inlineStr"/>
      <c r="J15" s="17" t="inlineStr"/>
      <c r="K15" s="18" t="inlineStr">
        <is>
          <t>Bean taco bowls</t>
        </is>
      </c>
    </row>
    <row r="16">
      <c r="A16" s="17" t="inlineStr">
        <is>
          <t>Pantry</t>
        </is>
      </c>
      <c r="B16" s="17" t="inlineStr">
        <is>
          <t>Salsa</t>
        </is>
      </c>
      <c r="C16" s="17">
        <f>IF(B16="","",SUMPRODUCT((Recipes!$C$6:$C$105=$K16)*(Recipes!$E$6:$E$105=B16)*Recipes!$F$6:$F$105)*SUMIF('Recipe Totals'!$A$2:$A$8,$K16,'Recipe Totals'!$B$2:$B$8))</f>
        <v/>
      </c>
      <c r="D16" s="17">
        <f>IF(B16="","",IFERROR(SUMIF(Pantry!$A$5:$A$105,B16,Pantry!$C$5:$C$105),0))</f>
        <v/>
      </c>
      <c r="E16" s="17">
        <f>IF(B16="","",MAX(0,C16-D16))</f>
        <v/>
      </c>
      <c r="F16" s="17" t="inlineStr">
        <is>
          <t>cup</t>
        </is>
      </c>
      <c r="G16" s="17" t="n">
        <v>0.45</v>
      </c>
      <c r="H16" s="17">
        <f>IF(B16="","",IFERROR(E16*G16,0))</f>
        <v/>
      </c>
      <c r="I16" s="17" t="inlineStr"/>
      <c r="J16" s="17" t="inlineStr"/>
      <c r="K16" s="18" t="inlineStr">
        <is>
          <t>Bean taco bowls</t>
        </is>
      </c>
    </row>
    <row r="17">
      <c r="A17" s="17" t="inlineStr"/>
      <c r="B17" s="17" t="inlineStr"/>
      <c r="C17" s="17" t="inlineStr"/>
      <c r="D17" s="17" t="inlineStr"/>
      <c r="E17" s="17">
        <f>IF(B18="","",MAX(0,C18-D18))</f>
        <v/>
      </c>
      <c r="F17" s="17" t="inlineStr"/>
      <c r="G17" s="17" t="inlineStr"/>
      <c r="H17" s="17">
        <f>IF(B17="","",IFERROR(E17*G17,0))</f>
        <v/>
      </c>
      <c r="I17" s="17" t="inlineStr"/>
      <c r="J17" s="17" t="inlineStr"/>
      <c r="K17" s="18" t="n"/>
    </row>
    <row r="18">
      <c r="A18" s="17" t="inlineStr"/>
      <c r="B18" s="17" t="inlineStr"/>
      <c r="C18" s="17" t="inlineStr"/>
      <c r="D18" s="17" t="inlineStr"/>
      <c r="E18" s="17">
        <f>IF(B19="","",MAX(0,C19-D19))</f>
        <v/>
      </c>
      <c r="F18" s="17" t="inlineStr"/>
      <c r="G18" s="17" t="inlineStr"/>
      <c r="H18" s="17">
        <f>IF(B18="","",IFERROR(E18*G18,0))</f>
        <v/>
      </c>
      <c r="I18" s="17" t="inlineStr"/>
      <c r="J18" s="17" t="inlineStr"/>
      <c r="K18" s="18" t="n"/>
    </row>
    <row r="19">
      <c r="A19" s="17" t="inlineStr"/>
      <c r="B19" s="17" t="inlineStr"/>
      <c r="C19" s="17" t="inlineStr"/>
      <c r="D19" s="17" t="inlineStr"/>
      <c r="E19" s="17">
        <f>IF(B20="","",MAX(0,C20-D20))</f>
        <v/>
      </c>
      <c r="F19" s="17" t="inlineStr"/>
      <c r="G19" s="17" t="inlineStr"/>
      <c r="H19" s="17">
        <f>IF(B19="","",IFERROR(E19*G19,0))</f>
        <v/>
      </c>
      <c r="I19" s="17" t="inlineStr"/>
      <c r="J19" s="17" t="inlineStr"/>
      <c r="K19" s="18" t="n"/>
    </row>
    <row r="20">
      <c r="A20" s="17" t="inlineStr"/>
      <c r="B20" s="17" t="inlineStr"/>
      <c r="C20" s="17" t="inlineStr"/>
      <c r="D20" s="17" t="inlineStr"/>
      <c r="E20" s="17">
        <f>IF(B21="","",MAX(0,C21-D21))</f>
        <v/>
      </c>
      <c r="F20" s="17" t="inlineStr"/>
      <c r="G20" s="17" t="inlineStr"/>
      <c r="H20" s="17">
        <f>IF(B20="","",IFERROR(E20*G20,0))</f>
        <v/>
      </c>
      <c r="I20" s="17" t="inlineStr"/>
      <c r="J20" s="17" t="inlineStr"/>
      <c r="K20" s="18" t="n"/>
    </row>
    <row r="21">
      <c r="A21" s="17" t="inlineStr"/>
      <c r="B21" s="17" t="inlineStr"/>
      <c r="C21" s="17" t="inlineStr"/>
      <c r="D21" s="17" t="inlineStr"/>
      <c r="E21" s="17">
        <f>IF(B22="","",MAX(0,C22-D22))</f>
        <v/>
      </c>
      <c r="F21" s="17" t="inlineStr"/>
      <c r="G21" s="17" t="inlineStr"/>
      <c r="H21" s="17">
        <f>IF(B21="","",IFERROR(E21*G21,0))</f>
        <v/>
      </c>
      <c r="I21" s="17" t="inlineStr"/>
      <c r="J21" s="17" t="inlineStr"/>
      <c r="K21" s="18" t="n"/>
    </row>
    <row r="22">
      <c r="A22" s="17" t="inlineStr"/>
      <c r="B22" s="17" t="inlineStr"/>
      <c r="C22" s="17" t="inlineStr"/>
      <c r="D22" s="17" t="inlineStr"/>
      <c r="E22" s="17">
        <f>IF(B23="","",MAX(0,C23-D23))</f>
        <v/>
      </c>
      <c r="F22" s="17" t="inlineStr"/>
      <c r="G22" s="17" t="inlineStr"/>
      <c r="H22" s="17">
        <f>IF(B22="","",IFERROR(E22*G22,0))</f>
        <v/>
      </c>
      <c r="I22" s="17" t="inlineStr"/>
      <c r="J22" s="17" t="inlineStr"/>
      <c r="K22" s="18" t="n"/>
    </row>
    <row r="23">
      <c r="A23" s="17" t="inlineStr"/>
      <c r="B23" s="17" t="inlineStr"/>
      <c r="C23" s="17" t="inlineStr"/>
      <c r="D23" s="17" t="inlineStr"/>
      <c r="E23" s="17">
        <f>IF(B24="","",MAX(0,C24-D24))</f>
        <v/>
      </c>
      <c r="F23" s="17" t="inlineStr"/>
      <c r="G23" s="17" t="inlineStr"/>
      <c r="H23" s="17">
        <f>IF(B23="","",IFERROR(E23*G23,0))</f>
        <v/>
      </c>
      <c r="I23" s="17" t="inlineStr"/>
      <c r="J23" s="17" t="inlineStr"/>
      <c r="K23" s="18" t="n"/>
    </row>
    <row r="24">
      <c r="A24" s="17" t="inlineStr"/>
      <c r="B24" s="17" t="inlineStr"/>
      <c r="C24" s="17" t="inlineStr"/>
      <c r="D24" s="17" t="inlineStr"/>
      <c r="E24" s="17">
        <f>IF(B25="","",MAX(0,C25-D25))</f>
        <v/>
      </c>
      <c r="F24" s="17" t="inlineStr"/>
      <c r="G24" s="17" t="inlineStr"/>
      <c r="H24" s="17">
        <f>IF(B24="","",IFERROR(E24*G24,0))</f>
        <v/>
      </c>
      <c r="I24" s="17" t="inlineStr"/>
      <c r="J24" s="17" t="inlineStr"/>
      <c r="K24" s="18" t="n"/>
    </row>
    <row r="25">
      <c r="A25" s="17" t="inlineStr"/>
      <c r="B25" s="17" t="inlineStr"/>
      <c r="C25" s="17" t="inlineStr"/>
      <c r="D25" s="17" t="inlineStr"/>
      <c r="E25" s="17">
        <f>IF(B26="","",MAX(0,C26-D26))</f>
        <v/>
      </c>
      <c r="F25" s="17" t="inlineStr"/>
      <c r="G25" s="17" t="inlineStr"/>
      <c r="H25" s="17">
        <f>IF(B25="","",IFERROR(E25*G25,0))</f>
        <v/>
      </c>
      <c r="I25" s="17" t="inlineStr"/>
      <c r="J25" s="17" t="inlineStr"/>
      <c r="K25" s="18" t="n"/>
    </row>
    <row r="26">
      <c r="A26" s="17" t="inlineStr"/>
      <c r="B26" s="17" t="inlineStr"/>
      <c r="C26" s="17" t="inlineStr"/>
      <c r="D26" s="17" t="inlineStr"/>
      <c r="E26" s="17">
        <f>IF(B27="","",MAX(0,C27-D27))</f>
        <v/>
      </c>
      <c r="F26" s="17" t="inlineStr"/>
      <c r="G26" s="17" t="inlineStr"/>
      <c r="H26" s="17">
        <f>IF(B26="","",IFERROR(E26*G26,0))</f>
        <v/>
      </c>
      <c r="I26" s="17" t="inlineStr"/>
      <c r="J26" s="17" t="inlineStr"/>
      <c r="K26" s="18" t="n"/>
    </row>
    <row r="27">
      <c r="A27" s="17" t="inlineStr"/>
      <c r="B27" s="17" t="inlineStr"/>
      <c r="C27" s="17" t="inlineStr"/>
      <c r="D27" s="17" t="inlineStr"/>
      <c r="E27" s="17">
        <f>IF(B28="","",MAX(0,C28-D28))</f>
        <v/>
      </c>
      <c r="F27" s="17" t="inlineStr"/>
      <c r="G27" s="17" t="inlineStr"/>
      <c r="H27" s="17">
        <f>IF(B27="","",IFERROR(E27*G27,0))</f>
        <v/>
      </c>
      <c r="I27" s="17" t="inlineStr"/>
      <c r="J27" s="17" t="inlineStr"/>
      <c r="K27" s="18" t="n"/>
    </row>
    <row r="28">
      <c r="A28" s="17" t="inlineStr"/>
      <c r="B28" s="17" t="inlineStr"/>
      <c r="C28" s="17" t="inlineStr"/>
      <c r="D28" s="17" t="inlineStr"/>
      <c r="E28" s="17">
        <f>IF(B29="","",MAX(0,C29-D29))</f>
        <v/>
      </c>
      <c r="F28" s="17" t="inlineStr"/>
      <c r="G28" s="17" t="inlineStr"/>
      <c r="H28" s="17">
        <f>IF(B28="","",IFERROR(E28*G28,0))</f>
        <v/>
      </c>
      <c r="I28" s="17" t="inlineStr"/>
      <c r="J28" s="17" t="inlineStr"/>
      <c r="K28" s="18" t="n"/>
    </row>
    <row r="29">
      <c r="A29" s="17" t="inlineStr"/>
      <c r="B29" s="17" t="inlineStr"/>
      <c r="C29" s="17" t="inlineStr"/>
      <c r="D29" s="17" t="inlineStr"/>
      <c r="E29" s="17">
        <f>IF(B30="","",MAX(0,C30-D30))</f>
        <v/>
      </c>
      <c r="F29" s="17" t="inlineStr"/>
      <c r="G29" s="17" t="inlineStr"/>
      <c r="H29" s="17">
        <f>IF(B29="","",IFERROR(E29*G29,0))</f>
        <v/>
      </c>
      <c r="I29" s="17" t="inlineStr"/>
      <c r="J29" s="17" t="inlineStr"/>
      <c r="K29" s="18" t="n"/>
    </row>
    <row r="30">
      <c r="A30" s="17" t="inlineStr"/>
      <c r="B30" s="17" t="inlineStr"/>
      <c r="C30" s="17" t="inlineStr"/>
      <c r="D30" s="17" t="inlineStr"/>
      <c r="E30" s="17">
        <f>IF(B31="","",MAX(0,C31-D31))</f>
        <v/>
      </c>
      <c r="F30" s="17" t="inlineStr"/>
      <c r="G30" s="17" t="inlineStr"/>
      <c r="H30" s="17">
        <f>IF(B30="","",IFERROR(E30*G30,0))</f>
        <v/>
      </c>
      <c r="I30" s="17" t="inlineStr"/>
      <c r="J30" s="17" t="inlineStr"/>
      <c r="K30" s="18" t="n"/>
    </row>
    <row r="31">
      <c r="A31" s="17" t="inlineStr"/>
      <c r="B31" s="17" t="inlineStr"/>
      <c r="C31" s="17" t="inlineStr"/>
      <c r="D31" s="17" t="inlineStr"/>
      <c r="E31" s="17">
        <f>IF(B32="","",MAX(0,C32-D32))</f>
        <v/>
      </c>
      <c r="F31" s="17" t="inlineStr"/>
      <c r="G31" s="17" t="inlineStr"/>
      <c r="H31" s="17">
        <f>IF(B31="","",IFERROR(E31*G31,0))</f>
        <v/>
      </c>
      <c r="I31" s="17" t="inlineStr"/>
      <c r="J31" s="17" t="inlineStr"/>
      <c r="K31" s="18" t="n"/>
    </row>
    <row r="32">
      <c r="A32" s="17" t="inlineStr"/>
      <c r="B32" s="17" t="inlineStr"/>
      <c r="C32" s="17" t="inlineStr"/>
      <c r="D32" s="17" t="inlineStr"/>
      <c r="E32" s="17">
        <f>IF(B33="","",MAX(0,C33-D33))</f>
        <v/>
      </c>
      <c r="F32" s="17" t="inlineStr"/>
      <c r="G32" s="17" t="inlineStr"/>
      <c r="H32" s="17">
        <f>IF(B32="","",IFERROR(E32*G32,0))</f>
        <v/>
      </c>
      <c r="I32" s="17" t="inlineStr"/>
      <c r="J32" s="17" t="inlineStr"/>
      <c r="K32" s="18" t="n"/>
    </row>
    <row r="33">
      <c r="A33" s="17" t="inlineStr"/>
      <c r="B33" s="17" t="inlineStr"/>
      <c r="C33" s="17" t="inlineStr"/>
      <c r="D33" s="17" t="inlineStr"/>
      <c r="E33" s="17">
        <f>IF(B34="","",MAX(0,C34-D34))</f>
        <v/>
      </c>
      <c r="F33" s="17" t="inlineStr"/>
      <c r="G33" s="17" t="inlineStr"/>
      <c r="H33" s="17">
        <f>IF(B33="","",IFERROR(E33*G33,0))</f>
        <v/>
      </c>
      <c r="I33" s="17" t="inlineStr"/>
      <c r="J33" s="17" t="inlineStr"/>
      <c r="K33" s="18" t="n"/>
    </row>
    <row r="34">
      <c r="A34" s="17" t="inlineStr"/>
      <c r="B34" s="17" t="inlineStr"/>
      <c r="C34" s="17" t="inlineStr"/>
      <c r="D34" s="17" t="inlineStr"/>
      <c r="E34" s="17">
        <f>IF(B35="","",MAX(0,C35-D35))</f>
        <v/>
      </c>
      <c r="F34" s="17" t="inlineStr"/>
      <c r="G34" s="17" t="inlineStr"/>
      <c r="H34" s="17">
        <f>IF(B34="","",IFERROR(E34*G34,0))</f>
        <v/>
      </c>
      <c r="I34" s="17" t="inlineStr"/>
      <c r="J34" s="17" t="inlineStr"/>
      <c r="K34" s="18" t="n"/>
    </row>
    <row r="35">
      <c r="A35" s="17" t="inlineStr"/>
      <c r="B35" s="17" t="inlineStr"/>
      <c r="C35" s="17" t="inlineStr"/>
      <c r="D35" s="17" t="inlineStr"/>
      <c r="E35" s="17">
        <f>IF(B36="","",MAX(0,C36-D36))</f>
        <v/>
      </c>
      <c r="F35" s="17" t="inlineStr"/>
      <c r="G35" s="17" t="inlineStr"/>
      <c r="H35" s="17">
        <f>IF(B35="","",IFERROR(E35*G35,0))</f>
        <v/>
      </c>
      <c r="I35" s="17" t="inlineStr"/>
      <c r="J35" s="17" t="inlineStr"/>
      <c r="K35" s="18" t="n"/>
    </row>
    <row r="36">
      <c r="A36" s="17" t="inlineStr"/>
      <c r="B36" s="17" t="inlineStr"/>
      <c r="C36" s="17" t="inlineStr"/>
      <c r="D36" s="17" t="inlineStr"/>
      <c r="E36" s="17">
        <f>IF(B37="","",MAX(0,C37-D37))</f>
        <v/>
      </c>
      <c r="F36" s="17" t="inlineStr"/>
      <c r="G36" s="17" t="inlineStr"/>
      <c r="H36" s="17">
        <f>IF(B36="","",IFERROR(E36*G36,0))</f>
        <v/>
      </c>
      <c r="I36" s="17" t="inlineStr"/>
      <c r="J36" s="17" t="inlineStr"/>
      <c r="K36" s="18" t="n"/>
    </row>
    <row r="37">
      <c r="A37" s="17" t="inlineStr"/>
      <c r="B37" s="17" t="inlineStr"/>
      <c r="C37" s="17" t="inlineStr"/>
      <c r="D37" s="17" t="inlineStr"/>
      <c r="E37" s="17">
        <f>IF(B38="","",MAX(0,C38-D38))</f>
        <v/>
      </c>
      <c r="F37" s="17" t="inlineStr"/>
      <c r="G37" s="17" t="inlineStr"/>
      <c r="H37" s="17">
        <f>IF(B37="","",IFERROR(E37*G37,0))</f>
        <v/>
      </c>
      <c r="I37" s="17" t="inlineStr"/>
      <c r="J37" s="17" t="inlineStr"/>
      <c r="K37" s="18" t="n"/>
    </row>
    <row r="38">
      <c r="A38" s="17" t="inlineStr"/>
      <c r="B38" s="17" t="inlineStr"/>
      <c r="C38" s="17" t="inlineStr"/>
      <c r="D38" s="17" t="inlineStr"/>
      <c r="E38" s="17">
        <f>IF(B39="","",MAX(0,C39-D39))</f>
        <v/>
      </c>
      <c r="F38" s="17" t="inlineStr"/>
      <c r="G38" s="17" t="inlineStr"/>
      <c r="H38" s="17">
        <f>IF(B38="","",IFERROR(E38*G38,0))</f>
        <v/>
      </c>
      <c r="I38" s="17" t="inlineStr"/>
      <c r="J38" s="17" t="inlineStr"/>
      <c r="K38" s="18" t="n"/>
    </row>
    <row r="39">
      <c r="A39" s="17" t="inlineStr"/>
      <c r="B39" s="17" t="inlineStr"/>
      <c r="C39" s="17" t="inlineStr"/>
      <c r="D39" s="17" t="inlineStr"/>
      <c r="E39" s="17">
        <f>IF(B40="","",MAX(0,C40-D40))</f>
        <v/>
      </c>
      <c r="F39" s="17" t="inlineStr"/>
      <c r="G39" s="17" t="inlineStr"/>
      <c r="H39" s="17">
        <f>IF(B39="","",IFERROR(E39*G39,0))</f>
        <v/>
      </c>
      <c r="I39" s="17" t="inlineStr"/>
      <c r="J39" s="17" t="inlineStr"/>
      <c r="K39" s="18" t="n"/>
    </row>
    <row r="40">
      <c r="A40" s="17" t="inlineStr"/>
      <c r="B40" s="17" t="inlineStr"/>
      <c r="C40" s="17" t="inlineStr"/>
      <c r="D40" s="17" t="inlineStr"/>
      <c r="E40" s="17">
        <f>IF(B41="","",MAX(0,C41-D41))</f>
        <v/>
      </c>
      <c r="F40" s="17" t="inlineStr"/>
      <c r="G40" s="17" t="inlineStr"/>
      <c r="H40" s="17">
        <f>IF(B40="","",IFERROR(E40*G40,0))</f>
        <v/>
      </c>
      <c r="I40" s="17" t="inlineStr"/>
      <c r="J40" s="17" t="inlineStr"/>
      <c r="K40" s="18" t="n"/>
    </row>
    <row r="41">
      <c r="A41" s="17" t="inlineStr"/>
      <c r="B41" s="17" t="inlineStr"/>
      <c r="C41" s="17" t="inlineStr"/>
      <c r="D41" s="17" t="inlineStr"/>
      <c r="E41" s="17">
        <f>IF(B42="","",MAX(0,C42-D42))</f>
        <v/>
      </c>
      <c r="F41" s="17" t="inlineStr"/>
      <c r="G41" s="17" t="inlineStr"/>
      <c r="H41" s="17">
        <f>IF(B41="","",IFERROR(E41*G41,0))</f>
        <v/>
      </c>
      <c r="I41" s="17" t="inlineStr"/>
      <c r="J41" s="17" t="inlineStr"/>
      <c r="K41" s="18" t="n"/>
    </row>
    <row r="42">
      <c r="A42" s="17" t="inlineStr"/>
      <c r="B42" s="17" t="inlineStr"/>
      <c r="C42" s="17" t="inlineStr"/>
      <c r="D42" s="17" t="inlineStr"/>
      <c r="E42" s="17">
        <f>IF(B43="","",MAX(0,C43-D43))</f>
        <v/>
      </c>
      <c r="F42" s="17" t="inlineStr"/>
      <c r="G42" s="17" t="inlineStr"/>
      <c r="H42" s="17">
        <f>IF(B42="","",IFERROR(E42*G42,0))</f>
        <v/>
      </c>
      <c r="I42" s="17" t="inlineStr"/>
      <c r="J42" s="17" t="inlineStr"/>
      <c r="K42" s="18" t="n"/>
    </row>
    <row r="43">
      <c r="A43" s="17" t="inlineStr"/>
      <c r="B43" s="17" t="inlineStr"/>
      <c r="C43" s="17" t="inlineStr"/>
      <c r="D43" s="17" t="inlineStr"/>
      <c r="E43" s="17">
        <f>IF(B44="","",MAX(0,C44-D44))</f>
        <v/>
      </c>
      <c r="F43" s="17" t="inlineStr"/>
      <c r="G43" s="17" t="inlineStr"/>
      <c r="H43" s="17">
        <f>IF(B43="","",IFERROR(E43*G43,0))</f>
        <v/>
      </c>
      <c r="I43" s="17" t="inlineStr"/>
      <c r="J43" s="17" t="inlineStr"/>
      <c r="K43" s="18" t="n"/>
    </row>
    <row r="44">
      <c r="A44" s="17" t="inlineStr"/>
      <c r="B44" s="17" t="inlineStr"/>
      <c r="C44" s="17" t="inlineStr"/>
      <c r="D44" s="17" t="inlineStr"/>
      <c r="E44" s="17">
        <f>IF(B45="","",MAX(0,C45-D45))</f>
        <v/>
      </c>
      <c r="F44" s="17" t="inlineStr"/>
      <c r="G44" s="17" t="inlineStr"/>
      <c r="H44" s="17">
        <f>IF(B44="","",IFERROR(E44*G44,0))</f>
        <v/>
      </c>
      <c r="I44" s="17" t="inlineStr"/>
      <c r="J44" s="17" t="inlineStr"/>
      <c r="K44" s="18" t="n"/>
    </row>
    <row r="45">
      <c r="A45" s="17" t="inlineStr"/>
      <c r="B45" s="17" t="inlineStr"/>
      <c r="C45" s="17" t="inlineStr"/>
      <c r="D45" s="17" t="inlineStr"/>
      <c r="E45" s="17">
        <f>IF(B46="","",MAX(0,C46-D46))</f>
        <v/>
      </c>
      <c r="F45" s="17" t="inlineStr"/>
      <c r="G45" s="17" t="inlineStr"/>
      <c r="H45" s="17">
        <f>IF(B45="","",IFERROR(E45*G45,0))</f>
        <v/>
      </c>
      <c r="I45" s="17" t="inlineStr"/>
      <c r="J45" s="17" t="inlineStr"/>
      <c r="K45" s="18" t="n"/>
    </row>
    <row r="46">
      <c r="A46" s="17" t="inlineStr"/>
      <c r="B46" s="17" t="inlineStr"/>
      <c r="C46" s="17" t="inlineStr"/>
      <c r="D46" s="17" t="inlineStr"/>
      <c r="E46" s="17">
        <f>IF(B47="","",MAX(0,C47-D47))</f>
        <v/>
      </c>
      <c r="F46" s="17" t="inlineStr"/>
      <c r="G46" s="17" t="inlineStr"/>
      <c r="H46" s="17">
        <f>IF(B46="","",IFERROR(E46*G46,0))</f>
        <v/>
      </c>
      <c r="I46" s="17" t="inlineStr"/>
      <c r="J46" s="17" t="inlineStr"/>
      <c r="K46" s="18" t="n"/>
    </row>
    <row r="47">
      <c r="A47" s="17" t="inlineStr"/>
      <c r="B47" s="17" t="inlineStr"/>
      <c r="C47" s="17" t="inlineStr"/>
      <c r="D47" s="17" t="inlineStr"/>
      <c r="E47" s="17">
        <f>IF(B48="","",MAX(0,C48-D48))</f>
        <v/>
      </c>
      <c r="F47" s="17" t="inlineStr"/>
      <c r="G47" s="17" t="inlineStr"/>
      <c r="H47" s="17">
        <f>IF(B47="","",IFERROR(E47*G47,0))</f>
        <v/>
      </c>
      <c r="I47" s="17" t="inlineStr"/>
      <c r="J47" s="17" t="inlineStr"/>
      <c r="K47" s="18" t="n"/>
    </row>
    <row r="48">
      <c r="A48" s="17" t="inlineStr"/>
      <c r="B48" s="17" t="inlineStr"/>
      <c r="C48" s="17" t="inlineStr"/>
      <c r="D48" s="17" t="inlineStr"/>
      <c r="E48" s="17">
        <f>IF(B49="","",MAX(0,C49-D49))</f>
        <v/>
      </c>
      <c r="F48" s="17" t="inlineStr"/>
      <c r="G48" s="17" t="inlineStr"/>
      <c r="H48" s="17">
        <f>IF(B48="","",IFERROR(E48*G48,0))</f>
        <v/>
      </c>
      <c r="I48" s="17" t="inlineStr"/>
      <c r="J48" s="17" t="inlineStr"/>
      <c r="K48" s="18" t="n"/>
    </row>
    <row r="49">
      <c r="A49" s="17" t="inlineStr"/>
      <c r="B49" s="17" t="inlineStr"/>
      <c r="C49" s="17" t="inlineStr"/>
      <c r="D49" s="17" t="inlineStr"/>
      <c r="E49" s="17">
        <f>IF(B50="","",MAX(0,C50-D50))</f>
        <v/>
      </c>
      <c r="F49" s="17" t="inlineStr"/>
      <c r="G49" s="17" t="inlineStr"/>
      <c r="H49" s="17">
        <f>IF(B49="","",IFERROR(E49*G49,0))</f>
        <v/>
      </c>
      <c r="I49" s="17" t="inlineStr"/>
      <c r="J49" s="17" t="inlineStr"/>
      <c r="K49" s="18" t="n"/>
    </row>
    <row r="50">
      <c r="A50" s="17" t="inlineStr"/>
      <c r="B50" s="17" t="inlineStr"/>
      <c r="C50" s="17" t="inlineStr"/>
      <c r="D50" s="17" t="inlineStr"/>
      <c r="E50" s="17">
        <f>IF(B51="","",MAX(0,C51-D51))</f>
        <v/>
      </c>
      <c r="F50" s="17" t="inlineStr"/>
      <c r="G50" s="17" t="inlineStr"/>
      <c r="H50" s="17">
        <f>IF(B50="","",IFERROR(E50*G50,0))</f>
        <v/>
      </c>
      <c r="I50" s="17" t="inlineStr"/>
      <c r="J50" s="17" t="inlineStr"/>
      <c r="K50" s="18" t="n"/>
    </row>
    <row r="51">
      <c r="A51" s="17" t="inlineStr"/>
      <c r="B51" s="17" t="inlineStr"/>
      <c r="C51" s="17" t="inlineStr"/>
      <c r="D51" s="17" t="inlineStr"/>
      <c r="E51" s="17">
        <f>IF(B52="","",MAX(0,C52-D52))</f>
        <v/>
      </c>
      <c r="F51" s="17" t="inlineStr"/>
      <c r="G51" s="17" t="inlineStr"/>
      <c r="H51" s="17">
        <f>IF(B51="","",IFERROR(E51*G51,0))</f>
        <v/>
      </c>
      <c r="I51" s="17" t="inlineStr"/>
      <c r="J51" s="17" t="inlineStr"/>
      <c r="K51" s="18" t="n"/>
    </row>
    <row r="52">
      <c r="A52" s="17" t="inlineStr"/>
      <c r="B52" s="17" t="inlineStr"/>
      <c r="C52" s="17" t="inlineStr"/>
      <c r="D52" s="17" t="inlineStr"/>
      <c r="E52" s="17">
        <f>IF(B53="","",MAX(0,C53-D53))</f>
        <v/>
      </c>
      <c r="F52" s="17" t="inlineStr"/>
      <c r="G52" s="17" t="inlineStr"/>
      <c r="H52" s="17">
        <f>IF(B52="","",IFERROR(E52*G52,0))</f>
        <v/>
      </c>
      <c r="I52" s="17" t="inlineStr"/>
      <c r="J52" s="17" t="inlineStr"/>
      <c r="K52" s="18" t="n"/>
    </row>
    <row r="53">
      <c r="A53" s="17" t="inlineStr"/>
      <c r="B53" s="17" t="inlineStr"/>
      <c r="C53" s="17" t="inlineStr"/>
      <c r="D53" s="17" t="inlineStr"/>
      <c r="E53" s="17">
        <f>IF(B54="","",MAX(0,C54-D54))</f>
        <v/>
      </c>
      <c r="F53" s="17" t="inlineStr"/>
      <c r="G53" s="17" t="inlineStr"/>
      <c r="H53" s="17">
        <f>IF(B53="","",IFERROR(E53*G53,0))</f>
        <v/>
      </c>
      <c r="I53" s="17" t="inlineStr"/>
      <c r="J53" s="17" t="inlineStr"/>
      <c r="K53" s="18" t="n"/>
    </row>
    <row r="54">
      <c r="A54" s="17" t="inlineStr"/>
      <c r="B54" s="17" t="inlineStr"/>
      <c r="C54" s="17" t="inlineStr"/>
      <c r="D54" s="17" t="inlineStr"/>
      <c r="E54" s="17">
        <f>IF(B55="","",MAX(0,C55-D55))</f>
        <v/>
      </c>
      <c r="F54" s="17" t="inlineStr"/>
      <c r="G54" s="17" t="inlineStr"/>
      <c r="H54" s="17">
        <f>IF(B54="","",IFERROR(E54*G54,0))</f>
        <v/>
      </c>
      <c r="I54" s="17" t="inlineStr"/>
      <c r="J54" s="17" t="inlineStr"/>
      <c r="K54" s="18" t="n"/>
    </row>
    <row r="55">
      <c r="A55" s="17" t="inlineStr"/>
      <c r="B55" s="17" t="inlineStr"/>
      <c r="C55" s="17" t="inlineStr"/>
      <c r="D55" s="17" t="inlineStr"/>
      <c r="E55" s="17">
        <f>IF(B56="","",MAX(0,C56-D56))</f>
        <v/>
      </c>
      <c r="F55" s="17" t="inlineStr"/>
      <c r="G55" s="17" t="inlineStr"/>
      <c r="H55" s="17">
        <f>IF(B55="","",IFERROR(E55*G55,0))</f>
        <v/>
      </c>
      <c r="I55" s="17" t="inlineStr"/>
      <c r="J55" s="17" t="inlineStr"/>
      <c r="K55" s="18" t="n"/>
    </row>
    <row r="56">
      <c r="A56" s="17" t="inlineStr"/>
      <c r="B56" s="17" t="inlineStr"/>
      <c r="C56" s="17" t="inlineStr"/>
      <c r="D56" s="17" t="inlineStr"/>
      <c r="E56" s="17">
        <f>IF(B57="","",MAX(0,C57-D57))</f>
        <v/>
      </c>
      <c r="F56" s="17" t="inlineStr"/>
      <c r="G56" s="17" t="inlineStr"/>
      <c r="H56" s="17">
        <f>IF(B56="","",IFERROR(E56*G56,0))</f>
        <v/>
      </c>
      <c r="I56" s="17" t="inlineStr"/>
      <c r="J56" s="17" t="inlineStr"/>
      <c r="K56" s="18" t="n"/>
    </row>
    <row r="57">
      <c r="A57" s="17" t="inlineStr"/>
      <c r="B57" s="17" t="inlineStr"/>
      <c r="C57" s="17" t="inlineStr"/>
      <c r="D57" s="17" t="inlineStr"/>
      <c r="E57" s="17">
        <f>IF(B58="","",MAX(0,C58-D58))</f>
        <v/>
      </c>
      <c r="F57" s="17" t="inlineStr"/>
      <c r="G57" s="17" t="inlineStr"/>
      <c r="H57" s="17">
        <f>IF(B57="","",IFERROR(E57*G57,0))</f>
        <v/>
      </c>
      <c r="I57" s="17" t="inlineStr"/>
      <c r="J57" s="17" t="inlineStr"/>
      <c r="K57" s="18" t="n"/>
    </row>
    <row r="58">
      <c r="A58" s="17" t="inlineStr"/>
      <c r="B58" s="17" t="inlineStr"/>
      <c r="C58" s="17" t="inlineStr"/>
      <c r="D58" s="17" t="inlineStr"/>
      <c r="E58" s="17">
        <f>IF(B59="","",MAX(0,C59-D59))</f>
        <v/>
      </c>
      <c r="F58" s="17" t="inlineStr"/>
      <c r="G58" s="17" t="inlineStr"/>
      <c r="H58" s="17">
        <f>IF(B58="","",IFERROR(E58*G58,0))</f>
        <v/>
      </c>
      <c r="I58" s="17" t="inlineStr"/>
      <c r="J58" s="17" t="inlineStr"/>
      <c r="K58" s="18" t="n"/>
    </row>
    <row r="59">
      <c r="A59" s="17" t="inlineStr"/>
      <c r="B59" s="17" t="inlineStr"/>
      <c r="C59" s="17" t="inlineStr"/>
      <c r="D59" s="17" t="inlineStr"/>
      <c r="E59" s="17">
        <f>IF(B60="","",MAX(0,C60-D60))</f>
        <v/>
      </c>
      <c r="F59" s="17" t="inlineStr"/>
      <c r="G59" s="17" t="inlineStr"/>
      <c r="H59" s="17">
        <f>IF(B59="","",IFERROR(E59*G59,0))</f>
        <v/>
      </c>
      <c r="I59" s="17" t="inlineStr"/>
      <c r="J59" s="17" t="inlineStr"/>
      <c r="K59" s="18" t="n"/>
    </row>
    <row r="60">
      <c r="A60" s="17" t="inlineStr"/>
      <c r="B60" s="17" t="inlineStr"/>
      <c r="C60" s="17" t="inlineStr"/>
      <c r="D60" s="17" t="inlineStr"/>
      <c r="E60" s="17">
        <f>IF(B61="","",MAX(0,C61-D61))</f>
        <v/>
      </c>
      <c r="F60" s="17" t="inlineStr"/>
      <c r="G60" s="17" t="inlineStr"/>
      <c r="H60" s="17">
        <f>IF(B60="","",IFERROR(E60*G60,0))</f>
        <v/>
      </c>
      <c r="I60" s="17" t="inlineStr"/>
      <c r="J60" s="17" t="inlineStr"/>
      <c r="K60" s="18" t="n"/>
    </row>
    <row r="61">
      <c r="A61" s="17" t="inlineStr"/>
      <c r="B61" s="17" t="inlineStr"/>
      <c r="C61" s="17" t="inlineStr"/>
      <c r="D61" s="17" t="inlineStr"/>
      <c r="E61" s="17">
        <f>IF(B62="","",MAX(0,C62-D62))</f>
        <v/>
      </c>
      <c r="F61" s="17" t="inlineStr"/>
      <c r="G61" s="17" t="inlineStr"/>
      <c r="H61" s="17">
        <f>IF(B61="","",IFERROR(E61*G61,0))</f>
        <v/>
      </c>
      <c r="I61" s="17" t="inlineStr"/>
      <c r="J61" s="17" t="inlineStr"/>
      <c r="K61" s="18" t="n"/>
    </row>
    <row r="62">
      <c r="A62" s="17" t="inlineStr"/>
      <c r="B62" s="17" t="inlineStr"/>
      <c r="C62" s="17" t="inlineStr"/>
      <c r="D62" s="17" t="inlineStr"/>
      <c r="E62" s="17">
        <f>IF(B63="","",MAX(0,C63-D63))</f>
        <v/>
      </c>
      <c r="F62" s="17" t="inlineStr"/>
      <c r="G62" s="17" t="inlineStr"/>
      <c r="H62" s="17">
        <f>IF(B62="","",IFERROR(E62*G62,0))</f>
        <v/>
      </c>
      <c r="I62" s="17" t="inlineStr"/>
      <c r="J62" s="17" t="inlineStr"/>
      <c r="K62" s="18" t="n"/>
    </row>
    <row r="63">
      <c r="A63" s="17" t="inlineStr"/>
      <c r="B63" s="17" t="inlineStr"/>
      <c r="C63" s="17" t="inlineStr"/>
      <c r="D63" s="17" t="inlineStr"/>
      <c r="E63" s="17">
        <f>IF(B64="","",MAX(0,C64-D64))</f>
        <v/>
      </c>
      <c r="F63" s="17" t="inlineStr"/>
      <c r="G63" s="17" t="inlineStr"/>
      <c r="H63" s="17">
        <f>IF(B63="","",IFERROR(E63*G63,0))</f>
        <v/>
      </c>
      <c r="I63" s="17" t="inlineStr"/>
      <c r="J63" s="17" t="inlineStr"/>
      <c r="K63" s="18" t="n"/>
    </row>
    <row r="64">
      <c r="A64" s="17" t="inlineStr"/>
      <c r="B64" s="17" t="inlineStr"/>
      <c r="C64" s="17" t="inlineStr"/>
      <c r="D64" s="17" t="inlineStr"/>
      <c r="E64" s="17">
        <f>IF(B65="","",MAX(0,C65-D65))</f>
        <v/>
      </c>
      <c r="F64" s="17" t="inlineStr"/>
      <c r="G64" s="17" t="inlineStr"/>
      <c r="H64" s="17">
        <f>IF(B64="","",IFERROR(E64*G64,0))</f>
        <v/>
      </c>
      <c r="I64" s="17" t="inlineStr"/>
      <c r="J64" s="17" t="inlineStr"/>
      <c r="K64" s="18" t="n"/>
    </row>
    <row r="65">
      <c r="A65" s="17" t="inlineStr"/>
      <c r="B65" s="17" t="inlineStr"/>
      <c r="C65" s="17" t="inlineStr"/>
      <c r="D65" s="17" t="inlineStr"/>
      <c r="E65" s="17">
        <f>IF(B66="","",MAX(0,C66-D66))</f>
        <v/>
      </c>
      <c r="F65" s="17" t="inlineStr"/>
      <c r="G65" s="17" t="inlineStr"/>
      <c r="H65" s="17">
        <f>IF(B65="","",IFERROR(E65*G65,0))</f>
        <v/>
      </c>
      <c r="I65" s="17" t="inlineStr"/>
      <c r="J65" s="17" t="inlineStr"/>
      <c r="K65" s="18" t="n"/>
    </row>
    <row r="66">
      <c r="A66" s="17" t="inlineStr"/>
      <c r="B66" s="17" t="inlineStr"/>
      <c r="C66" s="17" t="inlineStr"/>
      <c r="D66" s="17" t="inlineStr"/>
      <c r="E66" s="17">
        <f>IF(B67="","",MAX(0,C67-D67))</f>
        <v/>
      </c>
      <c r="F66" s="17" t="inlineStr"/>
      <c r="G66" s="17" t="inlineStr"/>
      <c r="H66" s="17">
        <f>IF(B66="","",IFERROR(E66*G66,0))</f>
        <v/>
      </c>
      <c r="I66" s="17" t="inlineStr"/>
      <c r="J66" s="17" t="inlineStr"/>
      <c r="K66" s="18" t="n"/>
    </row>
    <row r="67">
      <c r="A67" s="17" t="inlineStr"/>
      <c r="B67" s="17" t="inlineStr"/>
      <c r="C67" s="17" t="inlineStr"/>
      <c r="D67" s="17" t="inlineStr"/>
      <c r="E67" s="17">
        <f>IF(B68="","",MAX(0,C68-D68))</f>
        <v/>
      </c>
      <c r="F67" s="17" t="inlineStr"/>
      <c r="G67" s="17" t="inlineStr"/>
      <c r="H67" s="17">
        <f>IF(B67="","",IFERROR(E67*G67,0))</f>
        <v/>
      </c>
      <c r="I67" s="17" t="inlineStr"/>
      <c r="J67" s="17" t="inlineStr"/>
      <c r="K67" s="18" t="n"/>
    </row>
    <row r="68">
      <c r="A68" s="17" t="inlineStr"/>
      <c r="B68" s="17" t="inlineStr"/>
      <c r="C68" s="17" t="inlineStr"/>
      <c r="D68" s="17" t="inlineStr"/>
      <c r="E68" s="17">
        <f>IF(B69="","",MAX(0,C69-D69))</f>
        <v/>
      </c>
      <c r="F68" s="17" t="inlineStr"/>
      <c r="G68" s="17" t="inlineStr"/>
      <c r="H68" s="17">
        <f>IF(B68="","",IFERROR(E68*G68,0))</f>
        <v/>
      </c>
      <c r="I68" s="17" t="inlineStr"/>
      <c r="J68" s="17" t="inlineStr"/>
      <c r="K68" s="18" t="n"/>
    </row>
    <row r="69">
      <c r="A69" s="17" t="inlineStr"/>
      <c r="B69" s="17" t="inlineStr"/>
      <c r="C69" s="17" t="inlineStr"/>
      <c r="D69" s="17" t="inlineStr"/>
      <c r="E69" s="17">
        <f>IF(B70="","",MAX(0,C70-D70))</f>
        <v/>
      </c>
      <c r="F69" s="17" t="inlineStr"/>
      <c r="G69" s="17" t="inlineStr"/>
      <c r="H69" s="17">
        <f>IF(B69="","",IFERROR(E69*G69,0))</f>
        <v/>
      </c>
      <c r="I69" s="17" t="inlineStr"/>
      <c r="J69" s="17" t="inlineStr"/>
      <c r="K69" s="18" t="n"/>
    </row>
    <row r="70">
      <c r="A70" s="17" t="inlineStr"/>
      <c r="B70" s="17" t="inlineStr"/>
      <c r="C70" s="17" t="inlineStr"/>
      <c r="D70" s="17" t="inlineStr"/>
      <c r="E70" s="17">
        <f>IF(B71="","",MAX(0,C71-D71))</f>
        <v/>
      </c>
      <c r="F70" s="17" t="inlineStr"/>
      <c r="G70" s="17" t="inlineStr"/>
      <c r="H70" s="17">
        <f>IF(B70="","",IFERROR(E70*G70,0))</f>
        <v/>
      </c>
      <c r="I70" s="17" t="inlineStr"/>
      <c r="J70" s="17" t="inlineStr"/>
      <c r="K70" s="18" t="n"/>
    </row>
    <row r="71">
      <c r="A71" s="17" t="inlineStr"/>
      <c r="B71" s="17" t="inlineStr"/>
      <c r="C71" s="17" t="inlineStr"/>
      <c r="D71" s="17" t="inlineStr"/>
      <c r="E71" s="17">
        <f>IF(B72="","",MAX(0,C72-D72))</f>
        <v/>
      </c>
      <c r="F71" s="17" t="inlineStr"/>
      <c r="G71" s="17" t="inlineStr"/>
      <c r="H71" s="17">
        <f>IF(B71="","",IFERROR(E71*G71,0))</f>
        <v/>
      </c>
      <c r="I71" s="17" t="inlineStr"/>
      <c r="J71" s="17" t="inlineStr"/>
      <c r="K71" s="18" t="n"/>
    </row>
    <row r="72">
      <c r="A72" s="17" t="inlineStr"/>
      <c r="B72" s="17" t="inlineStr"/>
      <c r="C72" s="17" t="inlineStr"/>
      <c r="D72" s="17" t="inlineStr"/>
      <c r="E72" s="17">
        <f>IF(B73="","",MAX(0,C73-D73))</f>
        <v/>
      </c>
      <c r="F72" s="17" t="inlineStr"/>
      <c r="G72" s="17" t="inlineStr"/>
      <c r="H72" s="17">
        <f>IF(B72="","",IFERROR(E72*G72,0))</f>
        <v/>
      </c>
      <c r="I72" s="17" t="inlineStr"/>
      <c r="J72" s="17" t="inlineStr"/>
      <c r="K72" s="18" t="n"/>
    </row>
    <row r="73">
      <c r="A73" s="17" t="inlineStr"/>
      <c r="B73" s="17" t="inlineStr"/>
      <c r="C73" s="17" t="inlineStr"/>
      <c r="D73" s="17" t="inlineStr"/>
      <c r="E73" s="17">
        <f>IF(B74="","",MAX(0,C74-D74))</f>
        <v/>
      </c>
      <c r="F73" s="17" t="inlineStr"/>
      <c r="G73" s="17" t="inlineStr"/>
      <c r="H73" s="17">
        <f>IF(B73="","",IFERROR(E73*G73,0))</f>
        <v/>
      </c>
      <c r="I73" s="17" t="inlineStr"/>
      <c r="J73" s="17" t="inlineStr"/>
      <c r="K73" s="18" t="n"/>
    </row>
    <row r="74">
      <c r="A74" s="17" t="inlineStr"/>
      <c r="B74" s="17" t="inlineStr"/>
      <c r="C74" s="17" t="inlineStr"/>
      <c r="D74" s="17" t="inlineStr"/>
      <c r="E74" s="17">
        <f>IF(B75="","",MAX(0,C75-D75))</f>
        <v/>
      </c>
      <c r="F74" s="17" t="inlineStr"/>
      <c r="G74" s="17" t="inlineStr"/>
      <c r="H74" s="17">
        <f>IF(B74="","",IFERROR(E74*G74,0))</f>
        <v/>
      </c>
      <c r="I74" s="17" t="inlineStr"/>
      <c r="J74" s="17" t="inlineStr"/>
      <c r="K74" s="18" t="n"/>
    </row>
    <row r="75">
      <c r="A75" s="17" t="inlineStr"/>
      <c r="B75" s="17" t="inlineStr"/>
      <c r="C75" s="17" t="inlineStr"/>
      <c r="D75" s="17" t="inlineStr"/>
      <c r="E75" s="17">
        <f>IF(B76="","",MAX(0,C76-D76))</f>
        <v/>
      </c>
      <c r="F75" s="17" t="inlineStr"/>
      <c r="G75" s="17" t="inlineStr"/>
      <c r="H75" s="17">
        <f>IF(B75="","",IFERROR(E75*G75,0))</f>
        <v/>
      </c>
      <c r="I75" s="17" t="inlineStr"/>
      <c r="J75" s="17" t="inlineStr"/>
      <c r="K75" s="18" t="n"/>
    </row>
    <row r="76">
      <c r="A76" s="17" t="inlineStr"/>
      <c r="B76" s="17" t="inlineStr"/>
      <c r="C76" s="17" t="inlineStr"/>
      <c r="D76" s="17" t="inlineStr"/>
      <c r="E76" s="17">
        <f>IF(B77="","",MAX(0,C77-D77))</f>
        <v/>
      </c>
      <c r="F76" s="17" t="inlineStr"/>
      <c r="G76" s="17" t="inlineStr"/>
      <c r="H76" s="17">
        <f>IF(B76="","",IFERROR(E76*G76,0))</f>
        <v/>
      </c>
      <c r="I76" s="17" t="inlineStr"/>
      <c r="J76" s="17" t="inlineStr"/>
      <c r="K76" s="18" t="n"/>
    </row>
    <row r="77">
      <c r="A77" s="17" t="inlineStr"/>
      <c r="B77" s="17" t="inlineStr"/>
      <c r="C77" s="17" t="inlineStr"/>
      <c r="D77" s="17" t="inlineStr"/>
      <c r="E77" s="17">
        <f>IF(B78="","",MAX(0,C78-D78))</f>
        <v/>
      </c>
      <c r="F77" s="17" t="inlineStr"/>
      <c r="G77" s="17" t="inlineStr"/>
      <c r="H77" s="17">
        <f>IF(B77="","",IFERROR(E77*G77,0))</f>
        <v/>
      </c>
      <c r="I77" s="17" t="inlineStr"/>
      <c r="J77" s="17" t="inlineStr"/>
      <c r="K77" s="18" t="n"/>
    </row>
    <row r="78">
      <c r="A78" s="17" t="inlineStr"/>
      <c r="B78" s="17" t="inlineStr"/>
      <c r="C78" s="17" t="inlineStr"/>
      <c r="D78" s="17" t="inlineStr"/>
      <c r="E78" s="17">
        <f>IF(B79="","",MAX(0,C79-D79))</f>
        <v/>
      </c>
      <c r="F78" s="17" t="inlineStr"/>
      <c r="G78" s="17" t="inlineStr"/>
      <c r="H78" s="17">
        <f>IF(B78="","",IFERROR(E78*G78,0))</f>
        <v/>
      </c>
      <c r="I78" s="17" t="inlineStr"/>
      <c r="J78" s="17" t="inlineStr"/>
      <c r="K78" s="18" t="n"/>
    </row>
    <row r="79">
      <c r="A79" s="17" t="inlineStr"/>
      <c r="B79" s="17" t="inlineStr"/>
      <c r="C79" s="17" t="inlineStr"/>
      <c r="D79" s="17" t="inlineStr"/>
      <c r="E79" s="17">
        <f>IF(B80="","",MAX(0,C80-D80))</f>
        <v/>
      </c>
      <c r="F79" s="17" t="inlineStr"/>
      <c r="G79" s="17" t="inlineStr"/>
      <c r="H79" s="17">
        <f>IF(B79="","",IFERROR(E79*G79,0))</f>
        <v/>
      </c>
      <c r="I79" s="17" t="inlineStr"/>
      <c r="J79" s="17" t="inlineStr"/>
      <c r="K79" s="18" t="n"/>
    </row>
    <row r="80">
      <c r="A80" s="17" t="inlineStr"/>
      <c r="B80" s="17" t="inlineStr"/>
      <c r="C80" s="17" t="inlineStr"/>
      <c r="D80" s="17" t="inlineStr"/>
      <c r="E80" s="17">
        <f>IF(B81="","",MAX(0,C81-D81))</f>
        <v/>
      </c>
      <c r="F80" s="17" t="inlineStr"/>
      <c r="G80" s="17" t="inlineStr"/>
      <c r="H80" s="17">
        <f>IF(B80="","",IFERROR(E80*G80,0))</f>
        <v/>
      </c>
      <c r="I80" s="17" t="inlineStr"/>
      <c r="J80" s="17" t="inlineStr"/>
      <c r="K80" s="18" t="n"/>
    </row>
    <row r="81">
      <c r="A81" s="17" t="inlineStr"/>
      <c r="B81" s="17" t="inlineStr"/>
      <c r="C81" s="17" t="inlineStr"/>
      <c r="D81" s="17" t="inlineStr"/>
      <c r="E81" s="17">
        <f>IF(B82="","",MAX(0,C82-D82))</f>
        <v/>
      </c>
      <c r="F81" s="17" t="inlineStr"/>
      <c r="G81" s="17" t="inlineStr"/>
      <c r="H81" s="17">
        <f>IF(B81="","",IFERROR(E81*G81,0))</f>
        <v/>
      </c>
      <c r="I81" s="17" t="inlineStr"/>
      <c r="J81" s="17" t="inlineStr"/>
      <c r="K81" s="18" t="n"/>
    </row>
    <row r="82">
      <c r="A82" s="17" t="inlineStr"/>
      <c r="B82" s="17" t="inlineStr"/>
      <c r="C82" s="17" t="inlineStr"/>
      <c r="D82" s="17" t="inlineStr"/>
      <c r="E82" s="17">
        <f>IF(B83="","",MAX(0,C83-D83))</f>
        <v/>
      </c>
      <c r="F82" s="17" t="inlineStr"/>
      <c r="G82" s="17" t="inlineStr"/>
      <c r="H82" s="17">
        <f>IF(B82="","",IFERROR(E82*G82,0))</f>
        <v/>
      </c>
      <c r="I82" s="17" t="inlineStr"/>
      <c r="J82" s="17" t="inlineStr"/>
      <c r="K82" s="18" t="n"/>
    </row>
    <row r="83">
      <c r="A83" s="17" t="inlineStr"/>
      <c r="B83" s="17" t="inlineStr"/>
      <c r="C83" s="17" t="inlineStr"/>
      <c r="D83" s="17" t="inlineStr"/>
      <c r="E83" s="17">
        <f>IF(B84="","",MAX(0,C84-D84))</f>
        <v/>
      </c>
      <c r="F83" s="17" t="inlineStr"/>
      <c r="G83" s="17" t="inlineStr"/>
      <c r="H83" s="17">
        <f>IF(B83="","",IFERROR(E83*G83,0))</f>
        <v/>
      </c>
      <c r="I83" s="17" t="inlineStr"/>
      <c r="J83" s="17" t="inlineStr"/>
      <c r="K83" s="18" t="n"/>
    </row>
    <row r="84">
      <c r="A84" s="17" t="inlineStr"/>
      <c r="B84" s="17" t="inlineStr"/>
      <c r="C84" s="17" t="inlineStr"/>
      <c r="D84" s="17" t="inlineStr"/>
      <c r="E84" s="17">
        <f>IF(B85="","",MAX(0,C85-D85))</f>
        <v/>
      </c>
      <c r="F84" s="17" t="inlineStr"/>
      <c r="G84" s="17" t="inlineStr"/>
      <c r="H84" s="17">
        <f>IF(B84="","",IFERROR(E84*G84,0))</f>
        <v/>
      </c>
      <c r="I84" s="17" t="inlineStr"/>
      <c r="J84" s="17" t="inlineStr"/>
      <c r="K84" s="18" t="n"/>
    </row>
    <row r="85">
      <c r="A85" s="17" t="inlineStr"/>
      <c r="B85" s="17" t="inlineStr"/>
      <c r="C85" s="17" t="inlineStr"/>
      <c r="D85" s="17" t="inlineStr"/>
      <c r="E85" s="17">
        <f>IF(B86="","",MAX(0,C86-D86))</f>
        <v/>
      </c>
      <c r="F85" s="17" t="inlineStr"/>
      <c r="G85" s="17" t="inlineStr"/>
      <c r="H85" s="17">
        <f>IF(B85="","",IFERROR(E85*G85,0))</f>
        <v/>
      </c>
      <c r="I85" s="17" t="inlineStr"/>
      <c r="J85" s="17" t="inlineStr"/>
      <c r="K85" s="18" t="n"/>
    </row>
    <row r="86">
      <c r="A86" s="17" t="inlineStr"/>
      <c r="B86" s="17" t="inlineStr"/>
      <c r="C86" s="17" t="inlineStr"/>
      <c r="D86" s="17" t="inlineStr"/>
      <c r="E86" s="17">
        <f>IF(B87="","",MAX(0,C87-D87))</f>
        <v/>
      </c>
      <c r="F86" s="17" t="inlineStr"/>
      <c r="G86" s="17" t="inlineStr"/>
      <c r="H86" s="17">
        <f>IF(B86="","",IFERROR(E86*G86,0))</f>
        <v/>
      </c>
      <c r="I86" s="17" t="inlineStr"/>
      <c r="J86" s="17" t="inlineStr"/>
      <c r="K86" s="18" t="n"/>
    </row>
    <row r="87">
      <c r="A87" s="17" t="inlineStr"/>
      <c r="B87" s="17" t="inlineStr"/>
      <c r="C87" s="17" t="inlineStr"/>
      <c r="D87" s="17" t="inlineStr"/>
      <c r="E87" s="17">
        <f>IF(B88="","",MAX(0,C88-D88))</f>
        <v/>
      </c>
      <c r="F87" s="17" t="inlineStr"/>
      <c r="G87" s="17" t="inlineStr"/>
      <c r="H87" s="17">
        <f>IF(B87="","",IFERROR(E87*G87,0))</f>
        <v/>
      </c>
      <c r="I87" s="17" t="inlineStr"/>
      <c r="J87" s="17" t="inlineStr"/>
      <c r="K87" s="18" t="n"/>
    </row>
    <row r="88">
      <c r="A88" s="17" t="inlineStr"/>
      <c r="B88" s="17" t="inlineStr"/>
      <c r="C88" s="17" t="inlineStr"/>
      <c r="D88" s="17" t="inlineStr"/>
      <c r="E88" s="17">
        <f>IF(B89="","",MAX(0,C89-D89))</f>
        <v/>
      </c>
      <c r="F88" s="17" t="inlineStr"/>
      <c r="G88" s="17" t="inlineStr"/>
      <c r="H88" s="17">
        <f>IF(B88="","",IFERROR(E88*G88,0))</f>
        <v/>
      </c>
      <c r="I88" s="17" t="inlineStr"/>
      <c r="J88" s="17" t="inlineStr"/>
      <c r="K88" s="18" t="n"/>
    </row>
    <row r="89">
      <c r="A89" s="17" t="inlineStr"/>
      <c r="B89" s="17" t="inlineStr"/>
      <c r="C89" s="17" t="inlineStr"/>
      <c r="D89" s="17" t="inlineStr"/>
      <c r="E89" s="17">
        <f>IF(B90="","",MAX(0,C90-D90))</f>
        <v/>
      </c>
      <c r="F89" s="17" t="inlineStr"/>
      <c r="G89" s="17" t="inlineStr"/>
      <c r="H89" s="17">
        <f>IF(B89="","",IFERROR(E89*G89,0))</f>
        <v/>
      </c>
      <c r="I89" s="17" t="inlineStr"/>
      <c r="J89" s="17" t="inlineStr"/>
      <c r="K89" s="18" t="n"/>
    </row>
    <row r="90">
      <c r="A90" s="17" t="inlineStr"/>
      <c r="B90" s="17" t="inlineStr"/>
      <c r="C90" s="17" t="inlineStr"/>
      <c r="D90" s="17" t="inlineStr"/>
      <c r="E90" s="17">
        <f>IF(B91="","",MAX(0,C91-D91))</f>
        <v/>
      </c>
      <c r="F90" s="17" t="inlineStr"/>
      <c r="G90" s="17" t="inlineStr"/>
      <c r="H90" s="17">
        <f>IF(B90="","",IFERROR(E90*G90,0))</f>
        <v/>
      </c>
      <c r="I90" s="17" t="inlineStr"/>
      <c r="J90" s="17" t="inlineStr"/>
      <c r="K90" s="18" t="n"/>
    </row>
    <row r="91">
      <c r="A91" s="17" t="inlineStr"/>
      <c r="B91" s="17" t="inlineStr"/>
      <c r="C91" s="17" t="inlineStr"/>
      <c r="D91" s="17" t="inlineStr"/>
      <c r="E91" s="17">
        <f>IF(B92="","",MAX(0,C92-D92))</f>
        <v/>
      </c>
      <c r="F91" s="17" t="inlineStr"/>
      <c r="G91" s="17" t="inlineStr"/>
      <c r="H91" s="17">
        <f>IF(B91="","",IFERROR(E91*G91,0))</f>
        <v/>
      </c>
      <c r="I91" s="17" t="inlineStr"/>
      <c r="J91" s="17" t="inlineStr"/>
      <c r="K91" s="18" t="n"/>
    </row>
    <row r="92">
      <c r="A92" s="17" t="inlineStr"/>
      <c r="B92" s="17" t="inlineStr"/>
      <c r="C92" s="17" t="inlineStr"/>
      <c r="D92" s="17" t="inlineStr"/>
      <c r="E92" s="17">
        <f>IF(B93="","",MAX(0,C93-D93))</f>
        <v/>
      </c>
      <c r="F92" s="17" t="inlineStr"/>
      <c r="G92" s="17" t="inlineStr"/>
      <c r="H92" s="17">
        <f>IF(B92="","",IFERROR(E92*G92,0))</f>
        <v/>
      </c>
      <c r="I92" s="17" t="inlineStr"/>
      <c r="J92" s="17" t="inlineStr"/>
      <c r="K92" s="18" t="n"/>
    </row>
    <row r="93">
      <c r="A93" s="17" t="inlineStr"/>
      <c r="B93" s="17" t="inlineStr"/>
      <c r="C93" s="17" t="inlineStr"/>
      <c r="D93" s="17" t="inlineStr"/>
      <c r="E93" s="17">
        <f>IF(B94="","",MAX(0,C94-D94))</f>
        <v/>
      </c>
      <c r="F93" s="17" t="inlineStr"/>
      <c r="G93" s="17" t="inlineStr"/>
      <c r="H93" s="17">
        <f>IF(B93="","",IFERROR(E93*G93,0))</f>
        <v/>
      </c>
      <c r="I93" s="17" t="inlineStr"/>
      <c r="J93" s="17" t="inlineStr"/>
      <c r="K93" s="18" t="n"/>
    </row>
    <row r="94">
      <c r="A94" s="17" t="inlineStr"/>
      <c r="B94" s="17" t="inlineStr"/>
      <c r="C94" s="17" t="inlineStr"/>
      <c r="D94" s="17" t="inlineStr"/>
      <c r="E94" s="17">
        <f>IF(B95="","",MAX(0,C95-D95))</f>
        <v/>
      </c>
      <c r="F94" s="17" t="inlineStr"/>
      <c r="G94" s="17" t="inlineStr"/>
      <c r="H94" s="17">
        <f>IF(B94="","",IFERROR(E94*G94,0))</f>
        <v/>
      </c>
      <c r="I94" s="17" t="inlineStr"/>
      <c r="J94" s="17" t="inlineStr"/>
      <c r="K94" s="18" t="n"/>
    </row>
    <row r="95">
      <c r="A95" s="17" t="inlineStr"/>
      <c r="B95" s="17" t="inlineStr"/>
      <c r="C95" s="17" t="inlineStr"/>
      <c r="D95" s="17" t="inlineStr"/>
      <c r="E95" s="17">
        <f>IF(B96="","",MAX(0,C96-D96))</f>
        <v/>
      </c>
      <c r="F95" s="17" t="inlineStr"/>
      <c r="G95" s="17" t="inlineStr"/>
      <c r="H95" s="17">
        <f>IF(B95="","",IFERROR(E95*G95,0))</f>
        <v/>
      </c>
      <c r="I95" s="17" t="inlineStr"/>
      <c r="J95" s="17" t="inlineStr"/>
      <c r="K95" s="18" t="n"/>
    </row>
    <row r="96">
      <c r="A96" s="17" t="inlineStr"/>
      <c r="B96" s="17" t="inlineStr"/>
      <c r="C96" s="17" t="inlineStr"/>
      <c r="D96" s="17" t="inlineStr"/>
      <c r="E96" s="17">
        <f>IF(B97="","",MAX(0,C97-D97))</f>
        <v/>
      </c>
      <c r="F96" s="17" t="inlineStr"/>
      <c r="G96" s="17" t="inlineStr"/>
      <c r="H96" s="17">
        <f>IF(B96="","",IFERROR(E96*G96,0))</f>
        <v/>
      </c>
      <c r="I96" s="17" t="inlineStr"/>
      <c r="J96" s="17" t="inlineStr"/>
      <c r="K96" s="18" t="n"/>
    </row>
    <row r="97">
      <c r="A97" s="17" t="inlineStr"/>
      <c r="B97" s="17" t="inlineStr"/>
      <c r="C97" s="17" t="inlineStr"/>
      <c r="D97" s="17" t="inlineStr"/>
      <c r="E97" s="17">
        <f>IF(B98="","",MAX(0,C98-D98))</f>
        <v/>
      </c>
      <c r="F97" s="17" t="inlineStr"/>
      <c r="G97" s="17" t="inlineStr"/>
      <c r="H97" s="17">
        <f>IF(B97="","",IFERROR(E97*G97,0))</f>
        <v/>
      </c>
      <c r="I97" s="17" t="inlineStr"/>
      <c r="J97" s="17" t="inlineStr"/>
      <c r="K97" s="18" t="n"/>
    </row>
    <row r="98">
      <c r="A98" s="17" t="inlineStr"/>
      <c r="B98" s="17" t="inlineStr"/>
      <c r="C98" s="17" t="inlineStr"/>
      <c r="D98" s="17" t="inlineStr"/>
      <c r="E98" s="17">
        <f>IF(B99="","",MAX(0,C99-D99))</f>
        <v/>
      </c>
      <c r="F98" s="17" t="inlineStr"/>
      <c r="G98" s="17" t="inlineStr"/>
      <c r="H98" s="17">
        <f>IF(B98="","",IFERROR(E98*G98,0))</f>
        <v/>
      </c>
      <c r="I98" s="17" t="inlineStr"/>
      <c r="J98" s="17" t="inlineStr"/>
      <c r="K98" s="18" t="n"/>
    </row>
    <row r="99">
      <c r="A99" s="17" t="inlineStr"/>
      <c r="B99" s="17" t="inlineStr"/>
      <c r="C99" s="17" t="inlineStr"/>
      <c r="D99" s="17" t="inlineStr"/>
      <c r="E99" s="17">
        <f>IF(B100="","",MAX(0,C100-D100))</f>
        <v/>
      </c>
      <c r="F99" s="17" t="inlineStr"/>
      <c r="G99" s="17" t="inlineStr"/>
      <c r="H99" s="17">
        <f>IF(B99="","",IFERROR(E99*G99,0))</f>
        <v/>
      </c>
      <c r="I99" s="17" t="inlineStr"/>
      <c r="J99" s="17" t="inlineStr"/>
      <c r="K99" s="18" t="n"/>
    </row>
    <row r="100">
      <c r="A100" s="17" t="inlineStr"/>
      <c r="B100" s="17" t="inlineStr"/>
      <c r="C100" s="17" t="inlineStr"/>
      <c r="D100" s="17" t="inlineStr"/>
      <c r="E100" s="17">
        <f>IF(B101="","",MAX(0,C101-D101))</f>
        <v/>
      </c>
      <c r="F100" s="17" t="inlineStr"/>
      <c r="G100" s="17" t="inlineStr"/>
      <c r="H100" s="17">
        <f>IF(B100="","",IFERROR(E100*G100,0))</f>
        <v/>
      </c>
      <c r="I100" s="17" t="inlineStr"/>
      <c r="J100" s="17" t="inlineStr"/>
      <c r="K100" s="18" t="n"/>
    </row>
    <row r="101">
      <c r="A101" s="17" t="inlineStr"/>
      <c r="B101" s="17" t="inlineStr"/>
      <c r="C101" s="17" t="inlineStr"/>
      <c r="D101" s="17" t="inlineStr"/>
      <c r="E101" s="17">
        <f>IF(B102="","",MAX(0,C102-D102))</f>
        <v/>
      </c>
      <c r="F101" s="17" t="inlineStr"/>
      <c r="G101" s="17" t="inlineStr"/>
      <c r="H101" s="17">
        <f>IF(B101="","",IFERROR(E101*G101,0))</f>
        <v/>
      </c>
      <c r="I101" s="17" t="inlineStr"/>
      <c r="J101" s="17" t="inlineStr"/>
      <c r="K101" s="18" t="n"/>
    </row>
    <row r="102">
      <c r="A102" s="17" t="inlineStr"/>
      <c r="B102" s="17" t="inlineStr"/>
      <c r="C102" s="17" t="inlineStr"/>
      <c r="D102" s="17" t="inlineStr"/>
      <c r="E102" s="17">
        <f>IF(B103="","",MAX(0,C103-D103))</f>
        <v/>
      </c>
      <c r="F102" s="17" t="inlineStr"/>
      <c r="G102" s="17" t="inlineStr"/>
      <c r="H102" s="17">
        <f>IF(B102="","",IFERROR(E102*G102,0))</f>
        <v/>
      </c>
      <c r="I102" s="17" t="inlineStr"/>
      <c r="J102" s="17" t="inlineStr"/>
      <c r="K102" s="18" t="n"/>
    </row>
    <row r="103">
      <c r="A103" s="17" t="inlineStr"/>
      <c r="B103" s="17" t="inlineStr"/>
      <c r="C103" s="17" t="inlineStr"/>
      <c r="D103" s="17" t="inlineStr"/>
      <c r="E103" s="17">
        <f>IF(B104="","",MAX(0,C104-D104))</f>
        <v/>
      </c>
      <c r="F103" s="17" t="inlineStr"/>
      <c r="G103" s="17" t="inlineStr"/>
      <c r="H103" s="17">
        <f>IF(B103="","",IFERROR(E103*G103,0))</f>
        <v/>
      </c>
      <c r="I103" s="17" t="inlineStr"/>
      <c r="J103" s="17" t="inlineStr"/>
      <c r="K103" s="18" t="n"/>
    </row>
    <row r="104">
      <c r="A104" s="17" t="inlineStr"/>
      <c r="B104" s="17" t="inlineStr"/>
      <c r="C104" s="17" t="inlineStr"/>
      <c r="D104" s="17" t="inlineStr"/>
      <c r="E104" s="17">
        <f>IF(B105="","",MAX(0,C105-D105))</f>
        <v/>
      </c>
      <c r="F104" s="17" t="inlineStr"/>
      <c r="G104" s="17" t="inlineStr"/>
      <c r="H104" s="17">
        <f>IF(B104="","",IFERROR(E104*G104,0))</f>
        <v/>
      </c>
      <c r="I104" s="17" t="inlineStr"/>
      <c r="J104" s="17" t="inlineStr"/>
      <c r="K104" s="18" t="n"/>
    </row>
    <row r="105">
      <c r="A105" s="18" t="n"/>
      <c r="B105" s="18" t="n"/>
      <c r="C105" s="18" t="n"/>
      <c r="D105" s="18" t="n"/>
      <c r="E105" s="18" t="n"/>
      <c r="F105" s="18" t="n"/>
      <c r="G105" s="18" t="n"/>
      <c r="H105" s="18">
        <f>IF(B105="","",IFERROR(E105*G105,0))</f>
        <v/>
      </c>
      <c r="I105" s="18" t="n"/>
      <c r="J105" s="18" t="n"/>
      <c r="K105" s="1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1:J1"/>
    <mergeCell ref="A3:J3"/>
    <mergeCell ref="A2:J2"/>
  </mergeCells>
  <pageMargins left="0.25" right="0.25" top="0.25" bottom="0.25" header="0.1" footer="0.1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30" customWidth="1" min="3" max="3"/>
    <col width="32" customWidth="1" min="4" max="4"/>
    <col width="28" customWidth="1" min="5" max="5"/>
    <col width="28" customWidth="1" min="6" max="6"/>
  </cols>
  <sheetData>
    <row r="1" ht="30" customHeight="1">
      <c r="A1" s="1" t="inlineStr">
        <is>
          <t>Help</t>
        </is>
      </c>
      <c r="B1" s="9" t="n"/>
      <c r="C1" s="9" t="n"/>
      <c r="D1" s="9" t="n"/>
      <c r="E1" s="9" t="n"/>
      <c r="F1" s="10" t="n"/>
    </row>
    <row r="2" ht="42" customHeight="1">
      <c r="A2" s="3" t="inlineStr">
        <is>
          <t>Use this tab when something looks wrong. It explains setup, protected formulas, supported edits, and recovery.</t>
        </is>
      </c>
      <c r="B2" s="9" t="n"/>
      <c r="C2" s="9" t="n"/>
      <c r="D2" s="9" t="n"/>
      <c r="E2" s="9" t="n"/>
      <c r="F2" s="10" t="n"/>
    </row>
    <row r="3" ht="42" customHeight="1">
      <c r="A3" s="4" t="inlineStr">
        <is>
          <t>Support does not include custom formulas, spreadsheet redesign, personal nutrition advice, or data-entry work.</t>
        </is>
      </c>
      <c r="B3" s="9" t="n"/>
      <c r="C3" s="9" t="n"/>
      <c r="D3" s="9" t="n"/>
      <c r="E3" s="9" t="n"/>
      <c r="F3" s="10" t="n"/>
    </row>
    <row r="4">
      <c r="A4" s="5" t="inlineStr">
        <is>
          <t>Topic</t>
        </is>
      </c>
      <c r="B4" s="5" t="inlineStr">
        <is>
          <t>Guidance</t>
        </is>
      </c>
      <c r="C4" s="5" t="inlineStr">
        <is>
          <t>Supported</t>
        </is>
      </c>
      <c r="D4" s="5" t="inlineStr">
        <is>
          <t>Not supported</t>
        </is>
      </c>
      <c r="E4" s="5" t="inlineStr">
        <is>
          <t>Recovery</t>
        </is>
      </c>
      <c r="F4" s="5" t="inlineStr">
        <is>
          <t>Notes</t>
        </is>
      </c>
    </row>
    <row r="5">
      <c r="A5" s="2" t="inlineStr">
        <is>
          <t>Editable cells</t>
        </is>
      </c>
      <c r="B5" s="2" t="inlineStr">
        <is>
          <t>Cyan cells are safe to edit. Blue cells are formulas or outputs.</t>
        </is>
      </c>
      <c r="C5" s="2" t="inlineStr">
        <is>
          <t>Settings, Recipes, Pantry, Planner, Grocery notes/prices</t>
        </is>
      </c>
      <c r="D5" s="2" t="inlineStr">
        <is>
          <t>Formula columns and structural changes</t>
        </is>
      </c>
      <c r="E5" s="2" t="inlineStr">
        <is>
          <t>Use clean backup copy</t>
        </is>
      </c>
      <c r="F5" s="2" t="inlineStr">
        <is>
          <t>Rows 6-105 are prefilled</t>
        </is>
      </c>
    </row>
    <row r="6">
      <c r="A6" s="2" t="inlineStr">
        <is>
          <t>Rows and columns</t>
        </is>
      </c>
      <c r="B6" s="2" t="inlineStr">
        <is>
          <t>Add data inside existing cyan rows only. Do not insert/delete columns.</t>
        </is>
      </c>
      <c r="C6" s="2" t="inlineStr">
        <is>
          <t>Using provided blank yellow rows</t>
        </is>
      </c>
      <c r="D6" s="2" t="inlineStr">
        <is>
          <t>Adding columns or deleting formula rows</t>
        </is>
      </c>
      <c r="E6" s="2" t="inlineStr">
        <is>
          <t>Restore from backup</t>
        </is>
      </c>
      <c r="F6" s="2" t="inlineStr">
        <is>
          <t>Warnings appear on every tab</t>
        </is>
      </c>
    </row>
    <row r="7">
      <c r="A7" s="2" t="inlineStr">
        <is>
          <t>Compatibility</t>
        </is>
      </c>
      <c r="B7" s="2" t="inlineStr">
        <is>
          <t>Google Sheets primary. Excel export must be QA checked before claim.</t>
        </is>
      </c>
      <c r="C7" s="2" t="inlineStr">
        <is>
          <t>Normal viewing/editing in supported file</t>
        </is>
      </c>
      <c r="D7" s="2" t="inlineStr">
        <is>
          <t>External scripts/add-ons</t>
        </is>
      </c>
      <c r="E7" s="2" t="inlineStr">
        <is>
          <t>Use primary file if export differs</t>
        </is>
      </c>
      <c r="F7" s="2" t="inlineStr">
        <is>
          <t>No external-data formulas</t>
        </is>
      </c>
    </row>
    <row r="8">
      <c r="A8" s="2" t="inlineStr">
        <is>
          <t>Support scope</t>
        </is>
      </c>
      <c r="B8" s="2" t="inlineStr">
        <is>
          <t>Access, setup, documented use.</t>
        </is>
      </c>
      <c r="C8" s="2" t="inlineStr">
        <is>
          <t>Basic questions</t>
        </is>
      </c>
      <c r="D8" s="2" t="inlineStr">
        <is>
          <t>Custom formulas, nutrition advice, redesign</t>
        </is>
      </c>
      <c r="E8" s="2" t="inlineStr">
        <is>
          <t>Read FAQ and reset from backup</t>
        </is>
      </c>
      <c r="F8" s="2" t="inlineStr">
        <is>
          <t>Clear scope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mergeCells count="3">
    <mergeCell ref="A3:F3"/>
    <mergeCell ref="A2:F2"/>
    <mergeCell ref="A1:F1"/>
  </mergeCells>
  <pageMargins left="0.25" right="0.25" top="0.25" bottom="0.25" header="0.1" footer="0.1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Servings</t>
        </is>
      </c>
    </row>
    <row r="2">
      <c r="A2">
        <f>'Weekly Planner'!B6</f>
        <v/>
      </c>
      <c r="B2">
        <f>'Weekly Planner'!F6</f>
        <v/>
      </c>
    </row>
    <row r="3">
      <c r="A3">
        <f>'Weekly Planner'!C6</f>
        <v/>
      </c>
      <c r="B3">
        <f>'Weekly Planner'!F6</f>
        <v/>
      </c>
    </row>
    <row r="4">
      <c r="A4">
        <f>'Weekly Planner'!D6</f>
        <v/>
      </c>
      <c r="B4">
        <f>'Weekly Planner'!F6</f>
        <v/>
      </c>
    </row>
    <row r="5">
      <c r="A5">
        <f>'Weekly Planner'!E6</f>
        <v/>
      </c>
      <c r="B5">
        <f>'Weekly Planner'!F6</f>
        <v/>
      </c>
    </row>
    <row r="6">
      <c r="A6">
        <f>'Weekly Planner'!B7</f>
        <v/>
      </c>
      <c r="B6">
        <f>'Weekly Planner'!F7</f>
        <v/>
      </c>
    </row>
    <row r="7">
      <c r="A7">
        <f>'Weekly Planner'!C7</f>
        <v/>
      </c>
      <c r="B7">
        <f>'Weekly Planner'!F7</f>
        <v/>
      </c>
    </row>
    <row r="8">
      <c r="A8">
        <f>'Weekly Planner'!D7</f>
        <v/>
      </c>
      <c r="B8">
        <f>'Weekly Planner'!F7</f>
        <v/>
      </c>
    </row>
    <row r="9">
      <c r="A9">
        <f>'Weekly Planner'!E7</f>
        <v/>
      </c>
      <c r="B9">
        <f>'Weekly Planner'!F7</f>
        <v/>
      </c>
    </row>
    <row r="10">
      <c r="A10">
        <f>'Weekly Planner'!B8</f>
        <v/>
      </c>
      <c r="B10">
        <f>'Weekly Planner'!F8</f>
        <v/>
      </c>
    </row>
    <row r="11">
      <c r="A11">
        <f>'Weekly Planner'!C8</f>
        <v/>
      </c>
      <c r="B11">
        <f>'Weekly Planner'!F8</f>
        <v/>
      </c>
    </row>
    <row r="12">
      <c r="A12">
        <f>'Weekly Planner'!D8</f>
        <v/>
      </c>
      <c r="B12">
        <f>'Weekly Planner'!F8</f>
        <v/>
      </c>
    </row>
    <row r="13">
      <c r="A13">
        <f>'Weekly Planner'!E8</f>
        <v/>
      </c>
      <c r="B13">
        <f>'Weekly Planner'!F8</f>
        <v/>
      </c>
    </row>
    <row r="14">
      <c r="A14">
        <f>'Weekly Planner'!B9</f>
        <v/>
      </c>
      <c r="B14">
        <f>'Weekly Planner'!F9</f>
        <v/>
      </c>
    </row>
    <row r="15">
      <c r="A15">
        <f>'Weekly Planner'!C9</f>
        <v/>
      </c>
      <c r="B15">
        <f>'Weekly Planner'!F9</f>
        <v/>
      </c>
    </row>
    <row r="16">
      <c r="A16">
        <f>'Weekly Planner'!D9</f>
        <v/>
      </c>
      <c r="B16">
        <f>'Weekly Planner'!F9</f>
        <v/>
      </c>
    </row>
    <row r="17">
      <c r="A17">
        <f>'Weekly Planner'!E9</f>
        <v/>
      </c>
      <c r="B17">
        <f>'Weekly Planner'!F9</f>
        <v/>
      </c>
    </row>
    <row r="18">
      <c r="A18">
        <f>'Weekly Planner'!B10</f>
        <v/>
      </c>
      <c r="B18">
        <f>'Weekly Planner'!F10</f>
        <v/>
      </c>
    </row>
    <row r="19">
      <c r="A19">
        <f>'Weekly Planner'!C10</f>
        <v/>
      </c>
      <c r="B19">
        <f>'Weekly Planner'!F10</f>
        <v/>
      </c>
    </row>
    <row r="20">
      <c r="A20">
        <f>'Weekly Planner'!D10</f>
        <v/>
      </c>
      <c r="B20">
        <f>'Weekly Planner'!F10</f>
        <v/>
      </c>
    </row>
    <row r="21">
      <c r="A21">
        <f>'Weekly Planner'!E10</f>
        <v/>
      </c>
      <c r="B21">
        <f>'Weekly Planner'!F10</f>
        <v/>
      </c>
    </row>
    <row r="22">
      <c r="A22">
        <f>'Weekly Planner'!B11</f>
        <v/>
      </c>
      <c r="B22">
        <f>'Weekly Planner'!F11</f>
        <v/>
      </c>
    </row>
    <row r="23">
      <c r="A23">
        <f>'Weekly Planner'!C11</f>
        <v/>
      </c>
      <c r="B23">
        <f>'Weekly Planner'!F11</f>
        <v/>
      </c>
    </row>
    <row r="24">
      <c r="A24">
        <f>'Weekly Planner'!D11</f>
        <v/>
      </c>
      <c r="B24">
        <f>'Weekly Planner'!F11</f>
        <v/>
      </c>
    </row>
    <row r="25">
      <c r="A25">
        <f>'Weekly Planner'!E11</f>
        <v/>
      </c>
      <c r="B25">
        <f>'Weekly Planner'!F11</f>
        <v/>
      </c>
    </row>
    <row r="26">
      <c r="A26">
        <f>'Weekly Planner'!B12</f>
        <v/>
      </c>
      <c r="B26">
        <f>'Weekly Planner'!F12</f>
        <v/>
      </c>
    </row>
    <row r="27">
      <c r="A27">
        <f>'Weekly Planner'!C12</f>
        <v/>
      </c>
      <c r="B27">
        <f>'Weekly Planner'!F12</f>
        <v/>
      </c>
    </row>
    <row r="28">
      <c r="A28">
        <f>'Weekly Planner'!D12</f>
        <v/>
      </c>
      <c r="B28">
        <f>'Weekly Planner'!F12</f>
        <v/>
      </c>
    </row>
    <row r="29">
      <c r="A29">
        <f>'Weekly Planner'!E12</f>
        <v/>
      </c>
      <c r="B29">
        <f>'Weekly Planner'!F12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Weekly servings</t>
        </is>
      </c>
    </row>
    <row r="2">
      <c r="A2" t="inlineStr">
        <is>
          <t>Greek yogurt berry bowl</t>
        </is>
      </c>
      <c r="B2">
        <f>SUMIF('Meal Slots'!$A$2:$A$29,A2,'Meal Slots'!$B$2:$B$29)</f>
        <v/>
      </c>
    </row>
    <row r="3">
      <c r="A3" t="inlineStr">
        <is>
          <t>Tomato soup and toast</t>
        </is>
      </c>
      <c r="B3">
        <f>SUMIF('Meal Slots'!$A$2:$A$29,A3,'Meal Slots'!$B$2:$B$29)</f>
        <v/>
      </c>
    </row>
    <row r="4">
      <c r="A4" t="inlineStr">
        <is>
          <t>Salmon rice bowl</t>
        </is>
      </c>
      <c r="B4">
        <f>SUMIF('Meal Slots'!$A$2:$A$29,A4,'Meal Slots'!$B$2:$B$29)</f>
        <v/>
      </c>
    </row>
    <row r="5">
      <c r="A5" t="inlineStr">
        <is>
          <t>Apple and peanut butter</t>
        </is>
      </c>
      <c r="B5">
        <f>SUMIF('Meal Slots'!$A$2:$A$29,A5,'Meal Slots'!$B$2:$B$29)</f>
        <v/>
      </c>
    </row>
    <row r="6">
      <c r="A6" t="inlineStr">
        <is>
          <t>Bean taco bowls</t>
        </is>
      </c>
      <c r="B6">
        <f>SUMIF('Meal Slots'!$A$2:$A$29,A6,'Meal Slots'!$B$2:$B$29)</f>
        <v/>
      </c>
    </row>
    <row r="7">
      <c r="A7" t="inlineStr">
        <is>
          <t>Veggie pasta</t>
        </is>
      </c>
      <c r="B7">
        <f>SUMIF('Meal Slots'!$A$2:$A$29,A7,'Meal Slots'!$B$2:$B$29)</f>
        <v/>
      </c>
    </row>
    <row r="8">
      <c r="A8" t="inlineStr">
        <is>
          <t>Chicken salad wrap</t>
        </is>
      </c>
      <c r="B8">
        <f>SUMIF('Meal Slots'!$A$2:$A$29,A8,'Meal Slots'!$B$2:$B$29)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BeatsPerfect</dc:creator>
  <dc:title>Meal Planner Studio</dc:title>
  <dcterms:created xsi:type="dcterms:W3CDTF">2026-06-22T12:54:16Z</dcterms:created>
  <dcterms:modified xsi:type="dcterms:W3CDTF">2026-06-22T13:30:11Z</dcterms:modified>
</cp:coreProperties>
</file>