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ACAD" lockStructure="1"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Assumptions" sheetId="2" state="visible" r:id="rId2"/>
    <sheet name="Scope Inputs" sheetId="3" state="visible" r:id="rId3"/>
    <sheet name="Quote Summary" sheetId="4" state="visible" r:id="rId4"/>
    <sheet name="Saved Qu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52606D"/>
      <sz val="10"/>
    </font>
    <font>
      <name val="Aptos"/>
      <b val="1"/>
      <color rgb="00FFFFFF"/>
      <sz val="12"/>
    </font>
    <font>
      <name val="Aptos"/>
      <color rgb="001E293B"/>
      <sz val="10"/>
    </font>
    <font>
      <name val="Aptos"/>
      <b val="1"/>
      <color rgb="001E293B"/>
      <sz val="11"/>
    </font>
    <font>
      <name val="Aptos"/>
      <b val="1"/>
      <color rgb="001E293B"/>
      <sz val="10"/>
    </font>
    <font>
      <name val="Aptos"/>
      <color rgb="0052606D"/>
      <sz val="10"/>
    </font>
    <font>
      <name val="Aptos"/>
      <b val="1"/>
      <color rgb="0052606D"/>
      <sz val="9"/>
    </font>
    <font>
      <name val="Aptos"/>
      <b val="1"/>
      <color rgb="0052606D"/>
      <sz val="10"/>
    </font>
    <font>
      <name val="Aptos"/>
      <b val="1"/>
      <color rgb="001E293B"/>
      <sz val="12"/>
    </font>
  </fonts>
  <fills count="11">
    <fill>
      <patternFill/>
    </fill>
    <fill>
      <patternFill patternType="gray125"/>
    </fill>
    <fill>
      <patternFill patternType="solid">
        <fgColor rgb="008C3B28"/>
      </patternFill>
    </fill>
    <fill>
      <patternFill patternType="solid">
        <fgColor rgb="00F5F1EA"/>
      </patternFill>
    </fill>
    <fill>
      <patternFill patternType="solid">
        <fgColor rgb="00FFFDFC"/>
      </patternFill>
    </fill>
    <fill>
      <patternFill patternType="solid">
        <fgColor rgb="005C7A52"/>
      </patternFill>
    </fill>
    <fill>
      <patternFill patternType="solid">
        <fgColor rgb="00D9770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F4EE"/>
      </patternFill>
    </fill>
    <fill>
      <patternFill patternType="solid">
        <fgColor rgb="00EEF2F6"/>
      </patternFill>
    </fill>
  </fills>
  <borders count="16">
    <border>
      <left/>
      <right/>
      <top/>
      <bottom/>
      <diagonal/>
    </border>
    <border>
      <left style="medium">
        <color rgb="008C3B28"/>
      </left>
      <right style="thin">
        <color rgb="00D7C7B4"/>
      </right>
      <top style="medium">
        <color rgb="008C3B28"/>
      </top>
      <bottom style="thin">
        <color rgb="00D7C7B4"/>
      </bottom>
    </border>
    <border>
      <left style="thin">
        <color rgb="00D7C7B4"/>
      </left>
      <right style="thin">
        <color rgb="00D7C7B4"/>
      </right>
      <top style="medium">
        <color rgb="008C3B28"/>
      </top>
      <bottom style="thin">
        <color rgb="00D7C7B4"/>
      </bottom>
    </border>
    <border>
      <left style="thin">
        <color rgb="00D7C7B4"/>
      </left>
      <right style="medium">
        <color rgb="008C3B28"/>
      </right>
      <top style="medium">
        <color rgb="008C3B28"/>
      </top>
      <bottom style="thin">
        <color rgb="00D7C7B4"/>
      </bottom>
    </border>
    <border>
      <left style="medium">
        <color rgb="008C3B28"/>
      </left>
      <right style="thin">
        <color rgb="00D7C7B4"/>
      </right>
      <top style="thin">
        <color rgb="00D7C7B4"/>
      </top>
      <bottom style="thin">
        <color rgb="00D7C7B4"/>
      </bottom>
    </border>
    <border>
      <left style="thin">
        <color rgb="00D7C7B4"/>
      </left>
      <right style="thin">
        <color rgb="00D7C7B4"/>
      </right>
      <top style="thin">
        <color rgb="00D7C7B4"/>
      </top>
      <bottom style="thin">
        <color rgb="00D7C7B4"/>
      </bottom>
    </border>
    <border>
      <left style="thin">
        <color rgb="00D7C7B4"/>
      </left>
      <right style="medium">
        <color rgb="008C3B28"/>
      </right>
      <top style="thin">
        <color rgb="00D7C7B4"/>
      </top>
      <bottom style="thin">
        <color rgb="00D7C7B4"/>
      </bottom>
    </border>
    <border>
      <left style="medium">
        <color rgb="008C3B28"/>
      </left>
      <right style="thin">
        <color rgb="00D7C7B4"/>
      </right>
      <top style="thin">
        <color rgb="00D7C7B4"/>
      </top>
      <bottom style="medium">
        <color rgb="008C3B28"/>
      </bottom>
    </border>
    <border>
      <left style="thin">
        <color rgb="00D7C7B4"/>
      </left>
      <right style="thin">
        <color rgb="00D7C7B4"/>
      </right>
      <top style="thin">
        <color rgb="00D7C7B4"/>
      </top>
      <bottom style="medium">
        <color rgb="008C3B28"/>
      </bottom>
    </border>
    <border>
      <left style="thin">
        <color rgb="00D7C7B4"/>
      </left>
      <right style="medium">
        <color rgb="008C3B28"/>
      </right>
      <top style="thin">
        <color rgb="00D7C7B4"/>
      </top>
      <bottom style="medium">
        <color rgb="008C3B28"/>
      </bottom>
    </border>
    <border>
      <left style="medium">
        <color rgb="008C3B28"/>
      </left>
      <right style="thin">
        <color rgb="00D7C7B4"/>
      </right>
      <top style="medium">
        <color rgb="008C3B28"/>
      </top>
      <bottom style="medium">
        <color rgb="008C3B28"/>
      </bottom>
    </border>
    <border>
      <left style="thin">
        <color rgb="00D7C7B4"/>
      </left>
      <right style="medium">
        <color rgb="008C3B28"/>
      </right>
      <top style="medium">
        <color rgb="008C3B28"/>
      </top>
      <bottom style="medium">
        <color rgb="008C3B28"/>
      </bottom>
    </border>
    <border>
      <left style="thin">
        <color rgb="00D7C7B4"/>
      </left>
      <right style="thin">
        <color rgb="00D7C7B4"/>
      </right>
      <top style="medium">
        <color rgb="008C3B28"/>
      </top>
      <bottom style="medium">
        <color rgb="008C3B28"/>
      </bottom>
    </border>
    <border>
      <left/>
      <right/>
      <top style="medium">
        <color rgb="008C3B28"/>
      </top>
      <bottom/>
      <diagonal/>
    </border>
    <border>
      <left/>
      <right style="medium">
        <color rgb="008C3B28"/>
      </right>
      <top style="medium">
        <color rgb="008C3B28"/>
      </top>
      <bottom/>
      <diagonal/>
    </border>
    <border>
      <left/>
      <right style="medium">
        <color rgb="008C3B28"/>
      </right>
      <top style="medium">
        <color rgb="008C3B28"/>
      </top>
      <bottom style="medium">
        <color rgb="008C3B28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4" borderId="2" pivotButton="0" quotePrefix="0" xfId="0"/>
    <xf numFmtId="0" fontId="0" fillId="4" borderId="3" pivotButton="0" quotePrefix="0" xfId="0"/>
    <xf numFmtId="0" fontId="4" fillId="4" borderId="4" applyAlignment="1" pivotButton="0" quotePrefix="0" xfId="0">
      <alignment vertical="top" wrapText="1"/>
    </xf>
    <xf numFmtId="0" fontId="0" fillId="4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4" borderId="9" pivotButton="0" quotePrefix="0" xfId="0"/>
    <xf numFmtId="0" fontId="5" fillId="0" borderId="0" pivotButton="0" quotePrefix="0" xfId="0"/>
    <xf numFmtId="0" fontId="6" fillId="7" borderId="10" pivotButton="0" quotePrefix="0" xfId="0"/>
    <xf numFmtId="0" fontId="4" fillId="0" borderId="11" pivotButton="0" quotePrefix="0" xfId="0"/>
    <xf numFmtId="0" fontId="4" fillId="0" borderId="0" pivotButton="0" quotePrefix="0" xfId="0"/>
    <xf numFmtId="0" fontId="6" fillId="8" borderId="10" pivotButton="0" quotePrefix="0" xfId="0"/>
    <xf numFmtId="0" fontId="6" fillId="4" borderId="10" pivotButton="0" quotePrefix="0" xfId="0"/>
    <xf numFmtId="0" fontId="4" fillId="4" borderId="10" pivotButton="0" quotePrefix="0" xfId="0"/>
    <xf numFmtId="164" fontId="6" fillId="7" borderId="12" applyProtection="1" pivotButton="0" quotePrefix="0" xfId="0">
      <protection locked="0" hidden="0"/>
    </xf>
    <xf numFmtId="0" fontId="7" fillId="4" borderId="11" pivotButton="0" quotePrefix="0" xfId="0"/>
    <xf numFmtId="9" fontId="6" fillId="7" borderId="12" applyProtection="1" pivotButton="0" quotePrefix="0" xfId="0">
      <protection locked="0" hidden="0"/>
    </xf>
    <xf numFmtId="1" fontId="6" fillId="7" borderId="12" applyProtection="1" pivotButton="0" quotePrefix="0" xfId="0">
      <protection locked="0" hidden="0"/>
    </xf>
    <xf numFmtId="0" fontId="8" fillId="9" borderId="10" applyAlignment="1" pivotButton="0" quotePrefix="0" xfId="0">
      <alignment horizontal="left" vertical="center"/>
    </xf>
    <xf numFmtId="0" fontId="6" fillId="7" borderId="12" applyAlignment="1" applyProtection="1" pivotButton="0" quotePrefix="0" xfId="0">
      <alignment horizontal="left" vertical="center"/>
      <protection locked="0" hidden="0"/>
    </xf>
    <xf numFmtId="0" fontId="0" fillId="0" borderId="11" pivotButton="0" quotePrefix="0" xfId="0"/>
    <xf numFmtId="0" fontId="7" fillId="0" borderId="10" pivotButton="0" quotePrefix="0" xfId="0"/>
    <xf numFmtId="0" fontId="6" fillId="10" borderId="11" pivotButton="0" quotePrefix="0" xfId="0"/>
    <xf numFmtId="0" fontId="6" fillId="9" borderId="10" applyAlignment="1" pivotButton="0" quotePrefix="0" xfId="0">
      <alignment horizontal="center"/>
    </xf>
    <xf numFmtId="0" fontId="6" fillId="9" borderId="12" applyAlignment="1" pivotButton="0" quotePrefix="0" xfId="0">
      <alignment horizontal="center"/>
    </xf>
    <xf numFmtId="0" fontId="6" fillId="9" borderId="11" applyAlignment="1" pivotButton="0" quotePrefix="0" xfId="0">
      <alignment horizontal="center"/>
    </xf>
    <xf numFmtId="0" fontId="4" fillId="4" borderId="10" applyAlignment="1" pivotButton="0" quotePrefix="0" xfId="0">
      <alignment horizontal="center" vertical="center"/>
    </xf>
    <xf numFmtId="0" fontId="4" fillId="7" borderId="12" applyAlignment="1" applyProtection="1" pivotButton="0" quotePrefix="0" xfId="0">
      <alignment horizontal="left" vertical="center"/>
      <protection locked="0" hidden="0"/>
    </xf>
    <xf numFmtId="2" fontId="4" fillId="7" borderId="12" applyAlignment="1" applyProtection="1" pivotButton="0" quotePrefix="0" xfId="0">
      <alignment horizontal="center" vertical="center"/>
      <protection locked="0" hidden="0"/>
    </xf>
    <xf numFmtId="164" fontId="4" fillId="7" borderId="12" applyAlignment="1" applyProtection="1" pivotButton="0" quotePrefix="0" xfId="0">
      <alignment horizontal="center" vertical="center"/>
      <protection locked="0" hidden="0"/>
    </xf>
    <xf numFmtId="0" fontId="4" fillId="7" borderId="12" applyAlignment="1" applyProtection="1" pivotButton="0" quotePrefix="0" xfId="0">
      <alignment horizontal="center" vertical="center"/>
      <protection locked="0" hidden="0"/>
    </xf>
    <xf numFmtId="164" fontId="4" fillId="8" borderId="12" applyAlignment="1" pivotButton="0" quotePrefix="0" xfId="0">
      <alignment horizontal="center" vertical="center"/>
    </xf>
    <xf numFmtId="164" fontId="4" fillId="8" borderId="11" applyAlignment="1" pivotButton="0" quotePrefix="0" xfId="0">
      <alignment horizontal="center" vertical="center"/>
    </xf>
    <xf numFmtId="0" fontId="9" fillId="9" borderId="10" applyAlignment="1" pivotButton="0" quotePrefix="0" xfId="0">
      <alignment horizontal="left"/>
    </xf>
    <xf numFmtId="164" fontId="10" fillId="8" borderId="11" applyAlignment="1" pivotButton="0" quotePrefix="0" xfId="0">
      <alignment horizontal="center" vertical="center"/>
    </xf>
    <xf numFmtId="49" fontId="10" fillId="8" borderId="11" applyAlignment="1" pivotButton="0" quotePrefix="0" xfId="0">
      <alignment horizontal="center" vertical="center"/>
    </xf>
    <xf numFmtId="49" fontId="10" fillId="8" borderId="11" applyAlignment="1" pivotButton="0" quotePrefix="0" xfId="0">
      <alignment horizontal="left" vertical="center" wrapText="1"/>
    </xf>
    <xf numFmtId="0" fontId="4" fillId="7" borderId="10" applyAlignment="1" applyProtection="1" pivotButton="0" quotePrefix="0" xfId="0">
      <alignment horizontal="center" vertical="center"/>
      <protection locked="0" hidden="0"/>
    </xf>
    <xf numFmtId="0" fontId="4" fillId="7" borderId="12" applyAlignment="1" applyProtection="1" pivotButton="0" quotePrefix="0" xfId="0">
      <alignment horizontal="left" vertical="center"/>
      <protection locked="0" hidden="0"/>
    </xf>
    <xf numFmtId="164" fontId="4" fillId="7" borderId="12" applyAlignment="1" applyProtection="1" pivotButton="0" quotePrefix="0" xfId="0">
      <alignment horizontal="center" vertical="center"/>
      <protection locked="0" hidden="0"/>
    </xf>
    <xf numFmtId="0" fontId="4" fillId="7" borderId="12" applyAlignment="1" applyProtection="1" pivotButton="0" quotePrefix="0" xfId="0">
      <alignment horizontal="center" vertical="center"/>
      <protection locked="0" hidden="0"/>
    </xf>
    <xf numFmtId="0" fontId="4" fillId="7" borderId="12" applyAlignment="1" applyProtection="1" pivotButton="0" quotePrefix="0" xfId="0">
      <alignment horizontal="left" vertical="center" wrapText="1"/>
      <protection locked="0" hidden="0"/>
    </xf>
    <xf numFmtId="0" fontId="4" fillId="8" borderId="1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20" customWidth="1" min="3" max="3"/>
    <col width="20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Handyman Quote Readiness Planner</t>
        </is>
      </c>
    </row>
    <row r="2" ht="22" customHeight="1">
      <c r="A2" s="2" t="inlineStr">
        <is>
          <t>Quote the job, check the floor, and know whether to send or clarify before you reply.</t>
        </is>
      </c>
    </row>
    <row r="5">
      <c r="A5" s="3" t="inlineStr">
        <is>
          <t>Step 1</t>
        </is>
      </c>
      <c r="B5" s="4" t="n"/>
      <c r="C5" s="4" t="n"/>
      <c r="D5" s="4" t="n"/>
      <c r="E5" s="5" t="n"/>
    </row>
    <row r="6">
      <c r="A6" s="6" t="inlineStr">
        <is>
          <t>Open Assumptions and confirm your hourly rate, minimum job floor, deposit policy, and standard timing.</t>
        </is>
      </c>
      <c r="B6" s="7" t="n"/>
      <c r="C6" s="7" t="n"/>
      <c r="D6" s="7" t="n"/>
      <c r="E6" s="8" t="n"/>
    </row>
    <row r="7">
      <c r="A7" s="9" t="n"/>
      <c r="B7" s="10" t="n"/>
      <c r="C7" s="10" t="n"/>
      <c r="D7" s="10" t="n"/>
      <c r="E7" s="11" t="n"/>
    </row>
    <row r="9">
      <c r="A9" s="3" t="inlineStr">
        <is>
          <t>Step 2</t>
        </is>
      </c>
      <c r="B9" s="4" t="n"/>
      <c r="C9" s="4" t="n"/>
      <c r="D9" s="4" t="n"/>
      <c r="E9" s="5" t="n"/>
    </row>
    <row r="10">
      <c r="A10" s="6" t="inlineStr">
        <is>
          <t>Go to Scope Inputs and complete the readiness checks before touching the line items.</t>
        </is>
      </c>
      <c r="B10" s="7" t="n"/>
      <c r="C10" s="7" t="n"/>
      <c r="D10" s="7" t="n"/>
      <c r="E10" s="8" t="n"/>
    </row>
    <row r="11">
      <c r="A11" s="9" t="n"/>
      <c r="B11" s="10" t="n"/>
      <c r="C11" s="10" t="n"/>
      <c r="D11" s="10" t="n"/>
      <c r="E11" s="11" t="n"/>
    </row>
    <row r="13">
      <c r="A13" s="3" t="inlineStr">
        <is>
          <t>Step 3</t>
        </is>
      </c>
      <c r="B13" s="4" t="n"/>
      <c r="C13" s="4" t="n"/>
      <c r="D13" s="4" t="n"/>
      <c r="E13" s="5" t="n"/>
    </row>
    <row r="14">
      <c r="A14" s="6" t="inlineStr">
        <is>
          <t>Enter task rows with hours, material cost, and travel yes/no. Yellow cells are yours.</t>
        </is>
      </c>
      <c r="B14" s="7" t="n"/>
      <c r="C14" s="7" t="n"/>
      <c r="D14" s="7" t="n"/>
      <c r="E14" s="8" t="n"/>
    </row>
    <row r="15">
      <c r="A15" s="9" t="n"/>
      <c r="B15" s="10" t="n"/>
      <c r="C15" s="10" t="n"/>
      <c r="D15" s="10" t="n"/>
      <c r="E15" s="11" t="n"/>
    </row>
    <row r="17">
      <c r="A17" s="3" t="inlineStr">
        <is>
          <t>Step 4</t>
        </is>
      </c>
      <c r="B17" s="4" t="n"/>
      <c r="C17" s="4" t="n"/>
      <c r="D17" s="4" t="n"/>
      <c r="E17" s="5" t="n"/>
    </row>
    <row r="18">
      <c r="A18" s="6" t="inlineStr">
        <is>
          <t>Read Quote Summary. Send only when the state says send_ready. Otherwise follow the next-step guidance.</t>
        </is>
      </c>
      <c r="B18" s="7" t="n"/>
      <c r="C18" s="7" t="n"/>
      <c r="D18" s="7" t="n"/>
      <c r="E18" s="8" t="n"/>
    </row>
    <row r="19">
      <c r="A19" s="9" t="n"/>
      <c r="B19" s="10" t="n"/>
      <c r="C19" s="10" t="n"/>
      <c r="D19" s="10" t="n"/>
      <c r="E19" s="11" t="n"/>
    </row>
    <row r="22">
      <c r="A22" s="12" t="inlineStr">
        <is>
          <t>Color key</t>
        </is>
      </c>
      <c r="D22" s="12" t="inlineStr">
        <is>
          <t>This workbook is for quoting only.</t>
        </is>
      </c>
    </row>
    <row r="23">
      <c r="A23" s="13" t="inlineStr">
        <is>
          <t>Yellow</t>
        </is>
      </c>
      <c r="B23" s="14" t="inlineStr">
        <is>
          <t>Buyer input cells</t>
        </is>
      </c>
      <c r="D23" s="15" t="inlineStr">
        <is>
          <t>• No invoicing, CRM, dispatch, or auto-emailing.</t>
        </is>
      </c>
    </row>
    <row r="24">
      <c r="A24" s="16" t="inlineStr">
        <is>
          <t>Blue</t>
        </is>
      </c>
      <c r="B24" s="14" t="inlineStr">
        <is>
          <t>Generated outputs</t>
        </is>
      </c>
      <c r="D24" s="15" t="inlineStr">
        <is>
          <t>• If the state is clarify_scope, ask for more details before sending.</t>
        </is>
      </c>
    </row>
    <row r="25">
      <c r="A25" s="17" t="inlineStr">
        <is>
          <t>White</t>
        </is>
      </c>
      <c r="B25" s="14" t="inlineStr">
        <is>
          <t>Reference or helper text</t>
        </is>
      </c>
      <c r="D25" s="15" t="inlineStr">
        <is>
          <t>• If the state is below_floor, adjust scope or decline the job.</t>
        </is>
      </c>
    </row>
    <row r="26">
      <c r="D26" s="15" t="inlineStr">
        <is>
          <t>• If the state is unrealistic_timeline, reset expectations before you quote.</t>
        </is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1" formatRows="0" sort="0" password="ACAD"/>
  <mergeCells count="14">
    <mergeCell ref="D23:G23"/>
    <mergeCell ref="A1:G1"/>
    <mergeCell ref="D26:G26"/>
    <mergeCell ref="D25:G25"/>
    <mergeCell ref="A10:E11"/>
    <mergeCell ref="A5:B5"/>
    <mergeCell ref="A18:E19"/>
    <mergeCell ref="D24:G24"/>
    <mergeCell ref="A13:B13"/>
    <mergeCell ref="A2:G2"/>
    <mergeCell ref="A6:E7"/>
    <mergeCell ref="A17:B17"/>
    <mergeCell ref="A9:B9"/>
    <mergeCell ref="A14: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0" customWidth="1" min="4" max="4"/>
    <col width="24" customWidth="1" min="5" max="5"/>
  </cols>
  <sheetData>
    <row r="1" ht="28" customHeight="1">
      <c r="A1" s="1" t="inlineStr">
        <is>
          <t>Assumptions</t>
        </is>
      </c>
    </row>
    <row r="2" ht="22" customHeight="1">
      <c r="A2" s="2" t="inlineStr">
        <is>
          <t>Set the business defaults that every quote uses unless you override them.</t>
        </is>
      </c>
    </row>
    <row r="4">
      <c r="A4" s="18" t="inlineStr">
        <is>
          <t>Default hourly rate</t>
        </is>
      </c>
      <c r="B4" s="19" t="n">
        <v>75</v>
      </c>
      <c r="C4" s="20" t="inlineStr">
        <is>
          <t>$/hour</t>
        </is>
      </c>
      <c r="E4" s="12" t="inlineStr">
        <is>
          <t>Guardrails</t>
        </is>
      </c>
    </row>
    <row r="5">
      <c r="A5" s="18" t="inlineStr">
        <is>
          <t>Deposit percent</t>
        </is>
      </c>
      <c r="B5" s="21" t="n">
        <v>0.3</v>
      </c>
      <c r="C5" s="20" t="inlineStr">
        <is>
          <t>percent</t>
        </is>
      </c>
      <c r="E5" s="15" t="inlineStr">
        <is>
          <t>Quote Summary uses these values every time.</t>
        </is>
      </c>
    </row>
    <row r="6">
      <c r="A6" s="18" t="inlineStr">
        <is>
          <t>Minimum job floor</t>
        </is>
      </c>
      <c r="B6" s="19" t="n">
        <v>250</v>
      </c>
      <c r="C6" s="20" t="inlineStr">
        <is>
          <t>$ minimum</t>
        </is>
      </c>
      <c r="E6" s="15" t="inlineStr">
        <is>
          <t>Change deposit percent here to update the summary.</t>
        </is>
      </c>
    </row>
    <row r="7">
      <c r="A7" s="18" t="inlineStr">
        <is>
          <t>Travel fee per quoted job</t>
        </is>
      </c>
      <c r="B7" s="19" t="n">
        <v>45</v>
      </c>
      <c r="C7" s="20" t="inlineStr">
        <is>
          <t>$ flat</t>
        </is>
      </c>
      <c r="E7" s="15" t="inlineStr">
        <is>
          <t>Minimum job floor blocks send_ready when totals fall below it.</t>
        </is>
      </c>
    </row>
    <row r="8">
      <c r="A8" s="18" t="inlineStr">
        <is>
          <t>Rush surcharge percent</t>
        </is>
      </c>
      <c r="B8" s="21" t="n">
        <v>0.2</v>
      </c>
      <c r="C8" s="20" t="inlineStr">
        <is>
          <t>percent</t>
        </is>
      </c>
      <c r="E8" s="15" t="inlineStr">
        <is>
          <t>Rush timing and surcharge work together.</t>
        </is>
      </c>
    </row>
    <row r="9">
      <c r="A9" s="18" t="inlineStr">
        <is>
          <t>Standard turnaround days</t>
        </is>
      </c>
      <c r="B9" s="22" t="n">
        <v>5</v>
      </c>
      <c r="C9" s="20" t="inlineStr">
        <is>
          <t>business days</t>
        </is>
      </c>
    </row>
    <row r="10">
      <c r="A10" s="18" t="inlineStr">
        <is>
          <t>Rush turnaround days</t>
        </is>
      </c>
      <c r="B10" s="22" t="n">
        <v>2</v>
      </c>
      <c r="C10" s="20" t="inlineStr">
        <is>
          <t>business days</t>
        </is>
      </c>
    </row>
    <row r="11">
      <c r="A11" s="18" t="inlineStr">
        <is>
          <t>Material markup percent</t>
        </is>
      </c>
      <c r="B11" s="21" t="n">
        <v>0.1</v>
      </c>
      <c r="C11" s="20" t="inlineStr">
        <is>
          <t>percent</t>
        </is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1" formatRows="0" sort="0" password="ACAD"/>
  <mergeCells count="2">
    <mergeCell ref="A2:E2"/>
    <mergeCell ref="A1:E1"/>
  </mergeCells>
  <dataValidations count="1">
    <dataValidation sqref="B4:B11" showDropDown="0" showInputMessage="0" showErrorMessage="0" allowBlank="1" errorTitle="Numbers only" error="Enter a number that is zero or higher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zoomScale="85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 ht="28" customHeight="1">
      <c r="A1" s="1" t="inlineStr">
        <is>
          <t>Scope Inputs</t>
        </is>
      </c>
    </row>
    <row r="2" ht="22" customHeight="1">
      <c r="A2" s="2" t="inlineStr">
        <is>
          <t>Complete readiness checks first, then enter line items. Only yellow cells should be edited.</t>
        </is>
      </c>
    </row>
    <row r="4" ht="22" customHeight="1">
      <c r="A4" s="23" t="inlineStr">
        <is>
          <t>Client name</t>
        </is>
      </c>
      <c r="B4" s="24" t="inlineStr">
        <is>
          <t>Jordan Lee</t>
        </is>
      </c>
      <c r="C4" s="25" t="n"/>
      <c r="J4" s="12" t="inlineStr">
        <is>
          <t>Helper totals</t>
        </is>
      </c>
    </row>
    <row r="5" ht="22" customHeight="1">
      <c r="A5" s="23" t="inlineStr">
        <is>
          <t>Job type</t>
        </is>
      </c>
      <c r="B5" s="24" t="inlineStr">
        <is>
          <t>repair_bundle</t>
        </is>
      </c>
      <c r="C5" s="25" t="n"/>
      <c r="J5" s="26" t="inlineStr">
        <is>
          <t>Base total before rush</t>
        </is>
      </c>
      <c r="K5" s="27">
        <f>ROUND(SUM(H15:H29)-B11,2)</f>
        <v/>
      </c>
    </row>
    <row r="6" ht="22" customHeight="1">
      <c r="A6" s="23" t="inlineStr">
        <is>
          <t>Site visit complete</t>
        </is>
      </c>
      <c r="B6" s="24" t="inlineStr">
        <is>
          <t>yes</t>
        </is>
      </c>
      <c r="C6" s="25" t="n"/>
      <c r="J6" s="26" t="inlineStr">
        <is>
          <t>Valid task rows</t>
        </is>
      </c>
      <c r="K6" s="27">
        <f>COUNTIF(B15:B29,"&lt;&gt;")</f>
        <v/>
      </c>
    </row>
    <row r="7" ht="22" customHeight="1">
      <c r="A7" s="23" t="inlineStr">
        <is>
          <t>Material list complete</t>
        </is>
      </c>
      <c r="B7" s="24" t="inlineStr">
        <is>
          <t>yes</t>
        </is>
      </c>
      <c r="C7" s="25" t="n"/>
      <c r="J7" s="26" t="inlineStr">
        <is>
          <t>Travel lines</t>
        </is>
      </c>
      <c r="K7" s="27">
        <f>COUNTIF(F15:F29,"yes")</f>
        <v/>
      </c>
    </row>
    <row r="8" ht="22" customHeight="1">
      <c r="A8" s="23" t="inlineStr">
        <is>
          <t>Scope confirmed</t>
        </is>
      </c>
      <c r="B8" s="24" t="inlineStr">
        <is>
          <t>yes</t>
        </is>
      </c>
      <c r="C8" s="25" t="n"/>
    </row>
    <row r="9" ht="22" customHeight="1">
      <c r="A9" s="23" t="inlineStr">
        <is>
          <t>Rush requested</t>
        </is>
      </c>
      <c r="B9" s="24" t="inlineStr">
        <is>
          <t>no</t>
        </is>
      </c>
      <c r="C9" s="25" t="n"/>
    </row>
    <row r="10" ht="22" customHeight="1">
      <c r="A10" s="23" t="inlineStr">
        <is>
          <t>Requested days until start</t>
        </is>
      </c>
      <c r="B10" s="24" t="n">
        <v>5</v>
      </c>
      <c r="C10" s="25" t="n"/>
    </row>
    <row r="11" ht="22" customHeight="1">
      <c r="A11" s="23" t="inlineStr">
        <is>
          <t>Discount amount</t>
        </is>
      </c>
      <c r="B11" s="24" t="n">
        <v>0</v>
      </c>
      <c r="C11" s="25" t="n"/>
    </row>
    <row r="14">
      <c r="A14" s="28" t="inlineStr">
        <is>
          <t>No.</t>
        </is>
      </c>
      <c r="B14" s="29" t="inlineStr">
        <is>
          <t>Task name</t>
        </is>
      </c>
      <c r="C14" s="29" t="inlineStr">
        <is>
          <t>Est. hours</t>
        </is>
      </c>
      <c r="D14" s="29" t="inlineStr">
        <is>
          <t>Rate override</t>
        </is>
      </c>
      <c r="E14" s="29" t="inlineStr">
        <is>
          <t>Material cost</t>
        </is>
      </c>
      <c r="F14" s="29" t="inlineStr">
        <is>
          <t>Travel required</t>
        </is>
      </c>
      <c r="G14" s="29" t="inlineStr">
        <is>
          <t>Labor subtotal</t>
        </is>
      </c>
      <c r="H14" s="30" t="inlineStr">
        <is>
          <t>Line subtotal</t>
        </is>
      </c>
    </row>
    <row r="15">
      <c r="A15" s="31" t="n">
        <v>1</v>
      </c>
      <c r="B15" s="32" t="inlineStr">
        <is>
          <t>Patch hallway drywall</t>
        </is>
      </c>
      <c r="C15" s="33" t="n">
        <v>3</v>
      </c>
      <c r="D15" s="34" t="n"/>
      <c r="E15" s="34" t="n">
        <v>60</v>
      </c>
      <c r="F15" s="35" t="inlineStr">
        <is>
          <t>yes</t>
        </is>
      </c>
      <c r="G15" s="36">
        <f>IF(B15="","",ROUND(C15*IF(D15="",Assumptions!$B$4,D15),2))</f>
        <v/>
      </c>
      <c r="H15" s="37">
        <f>IF(B15="","",ROUND(G15+(E15*(1+Assumptions!$B$11))+IF(F15="yes",Assumptions!$B$7,0),2))</f>
        <v/>
      </c>
    </row>
    <row r="16">
      <c r="A16" s="31" t="n">
        <v>2</v>
      </c>
      <c r="B16" s="32" t="inlineStr">
        <is>
          <t>Install faucet</t>
        </is>
      </c>
      <c r="C16" s="33" t="n">
        <v>2</v>
      </c>
      <c r="D16" s="34" t="n"/>
      <c r="E16" s="34" t="n">
        <v>90</v>
      </c>
      <c r="F16" s="35" t="inlineStr">
        <is>
          <t>no</t>
        </is>
      </c>
      <c r="G16" s="36">
        <f>IF(B16="","",ROUND(C16*IF(D16="",Assumptions!$B$4,D16),2))</f>
        <v/>
      </c>
      <c r="H16" s="37">
        <f>IF(B16="","",ROUND(G16+(E16*(1+Assumptions!$B$11))+IF(F16="yes",Assumptions!$B$7,0),2))</f>
        <v/>
      </c>
    </row>
    <row r="17">
      <c r="A17" s="31" t="n">
        <v>3</v>
      </c>
      <c r="B17" s="32" t="n"/>
      <c r="C17" s="33" t="n"/>
      <c r="D17" s="34" t="n"/>
      <c r="E17" s="34" t="n"/>
      <c r="F17" s="35" t="n"/>
      <c r="G17" s="36">
        <f>IF(B17="","",ROUND(C17*IF(D17="",Assumptions!$B$4,D17),2))</f>
        <v/>
      </c>
      <c r="H17" s="37">
        <f>IF(B17="","",ROUND(G17+(E17*(1+Assumptions!$B$11))+IF(F17="yes",Assumptions!$B$7,0),2))</f>
        <v/>
      </c>
    </row>
    <row r="18">
      <c r="A18" s="31" t="n">
        <v>4</v>
      </c>
      <c r="B18" s="32" t="n"/>
      <c r="C18" s="33" t="n"/>
      <c r="D18" s="34" t="n"/>
      <c r="E18" s="34" t="n"/>
      <c r="F18" s="35" t="n"/>
      <c r="G18" s="36">
        <f>IF(B18="","",ROUND(C18*IF(D18="",Assumptions!$B$4,D18),2))</f>
        <v/>
      </c>
      <c r="H18" s="37">
        <f>IF(B18="","",ROUND(G18+(E18*(1+Assumptions!$B$11))+IF(F18="yes",Assumptions!$B$7,0),2))</f>
        <v/>
      </c>
    </row>
    <row r="19">
      <c r="A19" s="31" t="n">
        <v>5</v>
      </c>
      <c r="B19" s="32" t="n"/>
      <c r="C19" s="33" t="n"/>
      <c r="D19" s="34" t="n"/>
      <c r="E19" s="34" t="n"/>
      <c r="F19" s="35" t="n"/>
      <c r="G19" s="36">
        <f>IF(B19="","",ROUND(C19*IF(D19="",Assumptions!$B$4,D19),2))</f>
        <v/>
      </c>
      <c r="H19" s="37">
        <f>IF(B19="","",ROUND(G19+(E19*(1+Assumptions!$B$11))+IF(F19="yes",Assumptions!$B$7,0),2))</f>
        <v/>
      </c>
    </row>
    <row r="20">
      <c r="A20" s="31" t="n">
        <v>6</v>
      </c>
      <c r="B20" s="32" t="n"/>
      <c r="C20" s="33" t="n"/>
      <c r="D20" s="34" t="n"/>
      <c r="E20" s="34" t="n"/>
      <c r="F20" s="35" t="n"/>
      <c r="G20" s="36">
        <f>IF(B20="","",ROUND(C20*IF(D20="",Assumptions!$B$4,D20),2))</f>
        <v/>
      </c>
      <c r="H20" s="37">
        <f>IF(B20="","",ROUND(G20+(E20*(1+Assumptions!$B$11))+IF(F20="yes",Assumptions!$B$7,0),2))</f>
        <v/>
      </c>
    </row>
    <row r="21">
      <c r="A21" s="31" t="n">
        <v>7</v>
      </c>
      <c r="B21" s="32" t="n"/>
      <c r="C21" s="33" t="n"/>
      <c r="D21" s="34" t="n"/>
      <c r="E21" s="34" t="n"/>
      <c r="F21" s="35" t="n"/>
      <c r="G21" s="36">
        <f>IF(B21="","",ROUND(C21*IF(D21="",Assumptions!$B$4,D21),2))</f>
        <v/>
      </c>
      <c r="H21" s="37">
        <f>IF(B21="","",ROUND(G21+(E21*(1+Assumptions!$B$11))+IF(F21="yes",Assumptions!$B$7,0),2))</f>
        <v/>
      </c>
    </row>
    <row r="22">
      <c r="A22" s="31" t="n">
        <v>8</v>
      </c>
      <c r="B22" s="32" t="n"/>
      <c r="C22" s="33" t="n"/>
      <c r="D22" s="34" t="n"/>
      <c r="E22" s="34" t="n"/>
      <c r="F22" s="35" t="n"/>
      <c r="G22" s="36">
        <f>IF(B22="","",ROUND(C22*IF(D22="",Assumptions!$B$4,D22),2))</f>
        <v/>
      </c>
      <c r="H22" s="37">
        <f>IF(B22="","",ROUND(G22+(E22*(1+Assumptions!$B$11))+IF(F22="yes",Assumptions!$B$7,0),2))</f>
        <v/>
      </c>
    </row>
    <row r="23">
      <c r="A23" s="31" t="n">
        <v>9</v>
      </c>
      <c r="B23" s="32" t="n"/>
      <c r="C23" s="33" t="n"/>
      <c r="D23" s="34" t="n"/>
      <c r="E23" s="34" t="n"/>
      <c r="F23" s="35" t="n"/>
      <c r="G23" s="36">
        <f>IF(B23="","",ROUND(C23*IF(D23="",Assumptions!$B$4,D23),2))</f>
        <v/>
      </c>
      <c r="H23" s="37">
        <f>IF(B23="","",ROUND(G23+(E23*(1+Assumptions!$B$11))+IF(F23="yes",Assumptions!$B$7,0),2))</f>
        <v/>
      </c>
    </row>
    <row r="24">
      <c r="A24" s="31" t="n">
        <v>10</v>
      </c>
      <c r="B24" s="32" t="n"/>
      <c r="C24" s="33" t="n"/>
      <c r="D24" s="34" t="n"/>
      <c r="E24" s="34" t="n"/>
      <c r="F24" s="35" t="n"/>
      <c r="G24" s="36">
        <f>IF(B24="","",ROUND(C24*IF(D24="",Assumptions!$B$4,D24),2))</f>
        <v/>
      </c>
      <c r="H24" s="37">
        <f>IF(B24="","",ROUND(G24+(E24*(1+Assumptions!$B$11))+IF(F24="yes",Assumptions!$B$7,0),2))</f>
        <v/>
      </c>
    </row>
    <row r="25">
      <c r="A25" s="31" t="n">
        <v>11</v>
      </c>
      <c r="B25" s="32" t="n"/>
      <c r="C25" s="33" t="n"/>
      <c r="D25" s="34" t="n"/>
      <c r="E25" s="34" t="n"/>
      <c r="F25" s="35" t="n"/>
      <c r="G25" s="36">
        <f>IF(B25="","",ROUND(C25*IF(D25="",Assumptions!$B$4,D25),2))</f>
        <v/>
      </c>
      <c r="H25" s="37">
        <f>IF(B25="","",ROUND(G25+(E25*(1+Assumptions!$B$11))+IF(F25="yes",Assumptions!$B$7,0),2))</f>
        <v/>
      </c>
    </row>
    <row r="26">
      <c r="A26" s="31" t="n">
        <v>12</v>
      </c>
      <c r="B26" s="32" t="n"/>
      <c r="C26" s="33" t="n"/>
      <c r="D26" s="34" t="n"/>
      <c r="E26" s="34" t="n"/>
      <c r="F26" s="35" t="n"/>
      <c r="G26" s="36">
        <f>IF(B26="","",ROUND(C26*IF(D26="",Assumptions!$B$4,D26),2))</f>
        <v/>
      </c>
      <c r="H26" s="37">
        <f>IF(B26="","",ROUND(G26+(E26*(1+Assumptions!$B$11))+IF(F26="yes",Assumptions!$B$7,0),2))</f>
        <v/>
      </c>
    </row>
    <row r="27">
      <c r="A27" s="31" t="n">
        <v>13</v>
      </c>
      <c r="B27" s="32" t="n"/>
      <c r="C27" s="33" t="n"/>
      <c r="D27" s="34" t="n"/>
      <c r="E27" s="34" t="n"/>
      <c r="F27" s="35" t="n"/>
      <c r="G27" s="36">
        <f>IF(B27="","",ROUND(C27*IF(D27="",Assumptions!$B$4,D27),2))</f>
        <v/>
      </c>
      <c r="H27" s="37">
        <f>IF(B27="","",ROUND(G27+(E27*(1+Assumptions!$B$11))+IF(F27="yes",Assumptions!$B$7,0),2))</f>
        <v/>
      </c>
    </row>
    <row r="28">
      <c r="A28" s="31" t="n">
        <v>14</v>
      </c>
      <c r="B28" s="32" t="n"/>
      <c r="C28" s="33" t="n"/>
      <c r="D28" s="34" t="n"/>
      <c r="E28" s="34" t="n"/>
      <c r="F28" s="35" t="n"/>
      <c r="G28" s="36">
        <f>IF(B28="","",ROUND(C28*IF(D28="",Assumptions!$B$4,D28),2))</f>
        <v/>
      </c>
      <c r="H28" s="37">
        <f>IF(B28="","",ROUND(G28+(E28*(1+Assumptions!$B$11))+IF(F28="yes",Assumptions!$B$7,0),2))</f>
        <v/>
      </c>
    </row>
    <row r="29">
      <c r="A29" s="31" t="n">
        <v>15</v>
      </c>
      <c r="B29" s="32" t="n"/>
      <c r="C29" s="33" t="n"/>
      <c r="D29" s="34" t="n"/>
      <c r="E29" s="34" t="n"/>
      <c r="F29" s="35" t="n"/>
      <c r="G29" s="36">
        <f>IF(B29="","",ROUND(C29*IF(D29="",Assumptions!$B$4,D29),2))</f>
        <v/>
      </c>
      <c r="H29" s="37">
        <f>IF(B29="","",ROUND(G29+(E29*(1+Assumptions!$B$11))+IF(F29="yes",Assumptions!$B$7,0),2))</f>
        <v/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1" formatRows="0" sort="0" password="ACAD"/>
  <mergeCells count="18">
    <mergeCell ref="A8"/>
    <mergeCell ref="B6:C6"/>
    <mergeCell ref="A6"/>
    <mergeCell ref="A9"/>
    <mergeCell ref="A4"/>
    <mergeCell ref="B7:C7"/>
    <mergeCell ref="B11:C11"/>
    <mergeCell ref="B5:C5"/>
    <mergeCell ref="A2:H2"/>
    <mergeCell ref="A7"/>
    <mergeCell ref="B10:C10"/>
    <mergeCell ref="A11"/>
    <mergeCell ref="A10"/>
    <mergeCell ref="A1:H1"/>
    <mergeCell ref="B9:C9"/>
    <mergeCell ref="B8:C8"/>
    <mergeCell ref="B4:C4"/>
    <mergeCell ref="A5"/>
  </mergeCells>
  <dataValidations count="4">
    <dataValidation sqref="B6:B9" showDropDown="0" showInputMessage="0" showErrorMessage="0" allowBlank="0" errorTitle="Use yes or no" error="Pick yes or no from the dropdown." promptTitle="Allowed values" prompt="Use yes or no." type="list">
      <formula1>"yes,no"</formula1>
    </dataValidation>
    <dataValidation sqref="B10:B11" showDropDown="0" showInputMessage="0" showErrorMessage="0" allowBlank="1" errorTitle="Numbers only" error="Enter a number that is zero or higher." type="decimal" operator="greaterThanOrEqual">
      <formula1>0</formula1>
    </dataValidation>
    <dataValidation sqref="F15:F29" showDropDown="0" showInputMessage="0" showErrorMessage="0" allowBlank="0" errorTitle="Use yes or no" error="Pick yes or no from the dropdown." promptTitle="Allowed values" prompt="Use yes or no." type="list">
      <formula1>"yes,no"</formula1>
    </dataValidation>
    <dataValidation sqref="C15:E29" showDropDown="0" showInputMessage="0" showErrorMessage="0" allowBlank="1" errorTitle="Numbers only" error="Enter a number that is zero or higher.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20" customWidth="1" min="5" max="5"/>
    <col width="24" customWidth="1" min="6" max="6"/>
  </cols>
  <sheetData>
    <row r="1" ht="28" customHeight="1">
      <c r="A1" s="1" t="inlineStr">
        <is>
          <t>Quote Summary</t>
        </is>
      </c>
    </row>
    <row r="2" ht="22" customHeight="1">
      <c r="A2" s="2" t="inlineStr">
        <is>
          <t>Use this sheet to decide whether the quote is ready to send.</t>
        </is>
      </c>
    </row>
    <row r="8" ht="24" customHeight="1">
      <c r="A8" s="38" t="inlineStr">
        <is>
          <t>Quote total</t>
        </is>
      </c>
      <c r="B8" s="39">
        <f>ROUND(SUM('Scope Inputs'!H15:H29)*(1+IF('Scope Inputs'!B9="yes",Assumptions!$B$8,0))-'Scope Inputs'!B11,2)</f>
        <v/>
      </c>
      <c r="D8" s="12" t="inlineStr">
        <is>
          <t>What this means</t>
        </is>
      </c>
    </row>
    <row r="9" ht="24" customHeight="1">
      <c r="A9" s="38" t="inlineStr">
        <is>
          <t>Deposit amount</t>
        </is>
      </c>
      <c r="B9" s="39">
        <f>ROUND(B8*Assumptions!$B$5,2)</f>
        <v/>
      </c>
      <c r="D9" s="15" t="inlineStr">
        <is>
          <t>send_ready: scope complete, timeline realistic, quote above floor</t>
        </is>
      </c>
    </row>
    <row r="10" ht="24" customHeight="1">
      <c r="A10" s="38" t="inlineStr">
        <is>
          <t>Delivery window</t>
        </is>
      </c>
      <c r="B10" s="40">
        <f>IF('Scope Inputs'!B9="yes",TEXT(Assumptions!$B$10,"0")&amp;" business days",TEXT(Assumptions!$B$9,"0")&amp;" business days")</f>
        <v/>
      </c>
      <c r="D10" s="15" t="inlineStr">
        <is>
          <t>clarify_scope: missing readiness input or no valid scope rows</t>
        </is>
      </c>
    </row>
    <row r="11">
      <c r="D11" s="15" t="inlineStr">
        <is>
          <t>below_floor: total exists but job is too small at the current scope</t>
        </is>
      </c>
    </row>
    <row r="12" ht="30" customHeight="1">
      <c r="A12" s="38" t="inlineStr">
        <is>
          <t>Quote confidence state</t>
        </is>
      </c>
      <c r="B12" s="40">
        <f>IF(OR('Scope Inputs'!B4="",'Scope Inputs'!B5="",'Scope Inputs'!B6&lt;&gt;"yes",'Scope Inputs'!B7&lt;&gt;"yes",'Scope Inputs'!B8&lt;&gt;"yes",COUNTIF('Scope Inputs'!B15:B29,"&lt;&gt;")=0),"clarify_scope",IF(AND('Scope Inputs'!B9="yes",'Scope Inputs'!B10&lt;Assumptions!$B$10),"unrealistic_timeline",IF(B8&lt;Assumptions!$B$6,"below_floor","send_ready")))</f>
        <v/>
      </c>
      <c r="D12" s="15" t="inlineStr">
        <is>
          <t>unrealistic_timeline: quote is feasible only if the delivery expectation changes</t>
        </is>
      </c>
    </row>
    <row r="13" ht="30" customHeight="1">
      <c r="A13" s="38" t="inlineStr">
        <is>
          <t>Recommended next step</t>
        </is>
      </c>
      <c r="B13" s="41">
        <f>IF(B12="clarify_scope","Ask for missing scope details before sending the quote",IF(B12="unrealistic_timeline","Reset delivery expectation before sending",IF(B12="below_floor","Raise scope, remove discount, or decline the job","Send the quote with deposit and timeline")))</f>
        <v/>
      </c>
    </row>
    <row r="15" ht="24" customHeight="1">
      <c r="A15" s="38" t="inlineStr">
        <is>
          <t>Minimum profitable floor</t>
        </is>
      </c>
      <c r="B15" s="39">
        <f>Assumptions!$B$6</f>
        <v/>
      </c>
      <c r="D15" s="12" t="inlineStr">
        <is>
          <t>Proof checklist</t>
        </is>
      </c>
    </row>
    <row r="16" ht="24" customHeight="1">
      <c r="A16" s="38" t="inlineStr">
        <is>
          <t>Quote margin buffer</t>
        </is>
      </c>
      <c r="B16" s="39">
        <f>ROUND(B8-B15,2)</f>
        <v/>
      </c>
      <c r="D16" s="15" t="inlineStr">
        <is>
          <t>• Totals respond to Assumptions and Scope Inputs.</t>
        </is>
      </c>
    </row>
    <row r="17">
      <c r="D17" s="15" t="inlineStr">
        <is>
          <t>• You should not send when the state is clarify_scope, below_floor, or unrealistic_timeline.</t>
        </is>
      </c>
    </row>
    <row r="18">
      <c r="D18" s="15" t="inlineStr">
        <is>
          <t>• Deposit and timeline update automatically from the current quote.</t>
        </is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1" formatRows="0" sort="0" password="ACAD"/>
  <mergeCells count="9">
    <mergeCell ref="A2:F2"/>
    <mergeCell ref="D11:F11"/>
    <mergeCell ref="A1:F1"/>
    <mergeCell ref="D12:F12"/>
    <mergeCell ref="D18:F18"/>
    <mergeCell ref="D9:F9"/>
    <mergeCell ref="D17:F17"/>
    <mergeCell ref="D16:F16"/>
    <mergeCell ref="D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4" customWidth="1" min="4" max="4"/>
    <col width="16" customWidth="1" min="5" max="5"/>
    <col width="18" customWidth="1" min="6" max="6"/>
    <col width="28" customWidth="1" min="7" max="7"/>
    <col width="20" customWidth="1" min="8" max="8"/>
    <col width="18" customWidth="1" min="9" max="9"/>
    <col width="14" customWidth="1" min="10" max="10"/>
  </cols>
  <sheetData>
    <row r="1" ht="28" customHeight="1">
      <c r="A1" s="1" t="inlineStr">
        <is>
          <t>Saved Quotes</t>
        </is>
      </c>
    </row>
    <row r="2" ht="22" customHeight="1">
      <c r="A2" s="2" t="inlineStr">
        <is>
          <t>Use this log to keep prior quote snapshots visible without overwriting them.</t>
        </is>
      </c>
    </row>
    <row r="4">
      <c r="A4" s="28" t="inlineStr">
        <is>
          <t>Quote date</t>
        </is>
      </c>
      <c r="B4" s="29" t="inlineStr">
        <is>
          <t>Client</t>
        </is>
      </c>
      <c r="C4" s="29" t="inlineStr">
        <is>
          <t>Job type</t>
        </is>
      </c>
      <c r="D4" s="29" t="inlineStr">
        <is>
          <t>Quote total</t>
        </is>
      </c>
      <c r="E4" s="29" t="inlineStr">
        <is>
          <t>Deposit</t>
        </is>
      </c>
      <c r="F4" s="29" t="inlineStr">
        <is>
          <t>Delivery window</t>
        </is>
      </c>
      <c r="G4" s="29" t="inlineStr">
        <is>
          <t>State</t>
        </is>
      </c>
      <c r="H4" s="29" t="inlineStr">
        <is>
          <t>Next step</t>
        </is>
      </c>
      <c r="I4" s="29" t="inlineStr">
        <is>
          <t>Notes</t>
        </is>
      </c>
      <c r="J4" s="30" t="inlineStr">
        <is>
          <t>Version</t>
        </is>
      </c>
    </row>
    <row r="5">
      <c r="A5" s="42" t="inlineStr">
        <is>
          <t>2026-06-30</t>
        </is>
      </c>
      <c r="B5" s="43" t="inlineStr">
        <is>
          <t>Jordan Lee</t>
        </is>
      </c>
      <c r="C5" s="43" t="inlineStr">
        <is>
          <t>repair_bundle</t>
        </is>
      </c>
      <c r="D5" s="44" t="n">
        <v>585</v>
      </c>
      <c r="E5" s="44" t="n">
        <v>175.5</v>
      </c>
      <c r="F5" s="45" t="inlineStr">
        <is>
          <t>5 business days</t>
        </is>
      </c>
      <c r="G5" s="43" t="inlineStr">
        <is>
          <t>send_ready</t>
        </is>
      </c>
      <c r="H5" s="46" t="inlineStr">
        <is>
          <t>Send the quote with deposit and timeline</t>
        </is>
      </c>
      <c r="I5" s="46" t="inlineStr">
        <is>
          <t>Seeded standard quote</t>
        </is>
      </c>
      <c r="J5" s="47" t="n">
        <v>1</v>
      </c>
    </row>
    <row r="6">
      <c r="A6" s="42" t="inlineStr">
        <is>
          <t>2026-06-30</t>
        </is>
      </c>
      <c r="B6" s="43" t="inlineStr">
        <is>
          <t>Partial example</t>
        </is>
      </c>
      <c r="C6" s="43" t="inlineStr">
        <is>
          <t>drywall_patch</t>
        </is>
      </c>
      <c r="D6" s="44" t="n">
        <v>188.5</v>
      </c>
      <c r="E6" s="44" t="n">
        <v>56.55</v>
      </c>
      <c r="F6" s="45" t="inlineStr">
        <is>
          <t>5 business days</t>
        </is>
      </c>
      <c r="G6" s="43" t="inlineStr">
        <is>
          <t>clarify_scope</t>
        </is>
      </c>
      <c r="H6" s="46" t="inlineStr">
        <is>
          <t>Ask for missing scope details before sending the quote</t>
        </is>
      </c>
      <c r="I6" s="46" t="inlineStr">
        <is>
          <t>Shows blocked send state</t>
        </is>
      </c>
      <c r="J6" s="47" t="n">
        <v>1</v>
      </c>
    </row>
    <row r="7">
      <c r="A7" s="42" t="n"/>
      <c r="B7" s="43" t="n"/>
      <c r="C7" s="43" t="n"/>
      <c r="D7" s="44" t="n"/>
      <c r="E7" s="44" t="n"/>
      <c r="F7" s="45" t="n"/>
      <c r="G7" s="43" t="n"/>
      <c r="H7" s="46" t="n"/>
      <c r="I7" s="46" t="n"/>
      <c r="J7" s="47" t="n"/>
    </row>
    <row r="8">
      <c r="A8" s="42" t="n"/>
      <c r="B8" s="43" t="n"/>
      <c r="C8" s="43" t="n"/>
      <c r="D8" s="44" t="n"/>
      <c r="E8" s="44" t="n"/>
      <c r="F8" s="45" t="n"/>
      <c r="G8" s="43" t="n"/>
      <c r="H8" s="46" t="n"/>
      <c r="I8" s="46" t="n"/>
      <c r="J8" s="47" t="n"/>
    </row>
    <row r="9">
      <c r="A9" s="42" t="n"/>
      <c r="B9" s="43" t="n"/>
      <c r="C9" s="43" t="n"/>
      <c r="D9" s="44" t="n"/>
      <c r="E9" s="44" t="n"/>
      <c r="F9" s="45" t="n"/>
      <c r="G9" s="43" t="n"/>
      <c r="H9" s="46" t="n"/>
      <c r="I9" s="46" t="n"/>
      <c r="J9" s="47" t="n"/>
    </row>
    <row r="10">
      <c r="A10" s="42" t="n"/>
      <c r="B10" s="43" t="n"/>
      <c r="C10" s="43" t="n"/>
      <c r="D10" s="44" t="n"/>
      <c r="E10" s="44" t="n"/>
      <c r="F10" s="45" t="n"/>
      <c r="G10" s="43" t="n"/>
      <c r="H10" s="46" t="n"/>
      <c r="I10" s="46" t="n"/>
      <c r="J10" s="47" t="n"/>
    </row>
    <row r="11">
      <c r="A11" s="42" t="n"/>
      <c r="B11" s="43" t="n"/>
      <c r="C11" s="43" t="n"/>
      <c r="D11" s="44" t="n"/>
      <c r="E11" s="44" t="n"/>
      <c r="F11" s="45" t="n"/>
      <c r="G11" s="43" t="n"/>
      <c r="H11" s="46" t="n"/>
      <c r="I11" s="46" t="n"/>
      <c r="J11" s="47" t="n"/>
    </row>
    <row r="12">
      <c r="A12" s="42" t="n"/>
      <c r="B12" s="43" t="n"/>
      <c r="C12" s="43" t="n"/>
      <c r="D12" s="44" t="n"/>
      <c r="E12" s="44" t="n"/>
      <c r="F12" s="45" t="n"/>
      <c r="G12" s="43" t="n"/>
      <c r="H12" s="46" t="n"/>
      <c r="I12" s="46" t="n"/>
      <c r="J12" s="47" t="n"/>
    </row>
    <row r="13">
      <c r="A13" s="42" t="n"/>
      <c r="B13" s="43" t="n"/>
      <c r="C13" s="43" t="n"/>
      <c r="D13" s="44" t="n"/>
      <c r="E13" s="44" t="n"/>
      <c r="F13" s="45" t="n"/>
      <c r="G13" s="43" t="n"/>
      <c r="H13" s="46" t="n"/>
      <c r="I13" s="46" t="n"/>
      <c r="J13" s="47" t="n"/>
    </row>
    <row r="14">
      <c r="A14" s="42" t="n"/>
      <c r="B14" s="43" t="n"/>
      <c r="C14" s="43" t="n"/>
      <c r="D14" s="44" t="n"/>
      <c r="E14" s="44" t="n"/>
      <c r="F14" s="45" t="n"/>
      <c r="G14" s="43" t="n"/>
      <c r="H14" s="46" t="n"/>
      <c r="I14" s="46" t="n"/>
      <c r="J14" s="47" t="n"/>
    </row>
    <row r="15">
      <c r="A15" s="42" t="n"/>
      <c r="B15" s="43" t="n"/>
      <c r="C15" s="43" t="n"/>
      <c r="D15" s="44" t="n"/>
      <c r="E15" s="44" t="n"/>
      <c r="F15" s="45" t="n"/>
      <c r="G15" s="43" t="n"/>
      <c r="H15" s="46" t="n"/>
      <c r="I15" s="46" t="n"/>
      <c r="J15" s="47" t="n"/>
    </row>
    <row r="16">
      <c r="A16" s="42" t="n"/>
      <c r="B16" s="43" t="n"/>
      <c r="C16" s="43" t="n"/>
      <c r="D16" s="44" t="n"/>
      <c r="E16" s="44" t="n"/>
      <c r="F16" s="45" t="n"/>
      <c r="G16" s="43" t="n"/>
      <c r="H16" s="46" t="n"/>
      <c r="I16" s="46" t="n"/>
      <c r="J16" s="47" t="n"/>
    </row>
    <row r="17">
      <c r="A17" s="42" t="n"/>
      <c r="B17" s="43" t="n"/>
      <c r="C17" s="43" t="n"/>
      <c r="D17" s="44" t="n"/>
      <c r="E17" s="44" t="n"/>
      <c r="F17" s="45" t="n"/>
      <c r="G17" s="43" t="n"/>
      <c r="H17" s="46" t="n"/>
      <c r="I17" s="46" t="n"/>
      <c r="J17" s="47" t="n"/>
    </row>
    <row r="18">
      <c r="A18" s="42" t="n"/>
      <c r="B18" s="43" t="n"/>
      <c r="C18" s="43" t="n"/>
      <c r="D18" s="44" t="n"/>
      <c r="E18" s="44" t="n"/>
      <c r="F18" s="45" t="n"/>
      <c r="G18" s="43" t="n"/>
      <c r="H18" s="46" t="n"/>
      <c r="I18" s="46" t="n"/>
      <c r="J18" s="47" t="n"/>
    </row>
    <row r="19">
      <c r="A19" s="42" t="n"/>
      <c r="B19" s="43" t="n"/>
      <c r="C19" s="43" t="n"/>
      <c r="D19" s="44" t="n"/>
      <c r="E19" s="44" t="n"/>
      <c r="F19" s="45" t="n"/>
      <c r="G19" s="43" t="n"/>
      <c r="H19" s="46" t="n"/>
      <c r="I19" s="46" t="n"/>
      <c r="J19" s="47" t="n"/>
    </row>
    <row r="20">
      <c r="A20" s="42" t="n"/>
      <c r="B20" s="43" t="n"/>
      <c r="C20" s="43" t="n"/>
      <c r="D20" s="44" t="n"/>
      <c r="E20" s="44" t="n"/>
      <c r="F20" s="45" t="n"/>
      <c r="G20" s="43" t="n"/>
      <c r="H20" s="46" t="n"/>
      <c r="I20" s="46" t="n"/>
      <c r="J20" s="47" t="n"/>
    </row>
    <row r="21">
      <c r="A21" s="42" t="n"/>
      <c r="B21" s="43" t="n"/>
      <c r="C21" s="43" t="n"/>
      <c r="D21" s="44" t="n"/>
      <c r="E21" s="44" t="n"/>
      <c r="F21" s="45" t="n"/>
      <c r="G21" s="43" t="n"/>
      <c r="H21" s="46" t="n"/>
      <c r="I21" s="46" t="n"/>
      <c r="J21" s="47" t="n"/>
    </row>
    <row r="22">
      <c r="A22" s="42" t="n"/>
      <c r="B22" s="43" t="n"/>
      <c r="C22" s="43" t="n"/>
      <c r="D22" s="44" t="n"/>
      <c r="E22" s="44" t="n"/>
      <c r="F22" s="45" t="n"/>
      <c r="G22" s="43" t="n"/>
      <c r="H22" s="46" t="n"/>
      <c r="I22" s="46" t="n"/>
      <c r="J22" s="47" t="n"/>
    </row>
    <row r="23">
      <c r="A23" s="42" t="n"/>
      <c r="B23" s="43" t="n"/>
      <c r="C23" s="43" t="n"/>
      <c r="D23" s="44" t="n"/>
      <c r="E23" s="44" t="n"/>
      <c r="F23" s="45" t="n"/>
      <c r="G23" s="43" t="n"/>
      <c r="H23" s="46" t="n"/>
      <c r="I23" s="46" t="n"/>
      <c r="J23" s="47" t="n"/>
    </row>
    <row r="24">
      <c r="A24" s="42" t="n"/>
      <c r="B24" s="43" t="n"/>
      <c r="C24" s="43" t="n"/>
      <c r="D24" s="44" t="n"/>
      <c r="E24" s="44" t="n"/>
      <c r="F24" s="45" t="n"/>
      <c r="G24" s="43" t="n"/>
      <c r="H24" s="46" t="n"/>
      <c r="I24" s="46" t="n"/>
      <c r="J24" s="47" t="n"/>
    </row>
    <row r="25">
      <c r="A25" s="42" t="n"/>
      <c r="B25" s="43" t="n"/>
      <c r="C25" s="43" t="n"/>
      <c r="D25" s="44" t="n"/>
      <c r="E25" s="44" t="n"/>
      <c r="F25" s="45" t="n"/>
      <c r="G25" s="43" t="n"/>
      <c r="H25" s="46" t="n"/>
      <c r="I25" s="46" t="n"/>
      <c r="J25" s="47" t="n"/>
    </row>
    <row r="26">
      <c r="A26" s="42" t="n"/>
      <c r="B26" s="43" t="n"/>
      <c r="C26" s="43" t="n"/>
      <c r="D26" s="44" t="n"/>
      <c r="E26" s="44" t="n"/>
      <c r="F26" s="45" t="n"/>
      <c r="G26" s="43" t="n"/>
      <c r="H26" s="46" t="n"/>
      <c r="I26" s="46" t="n"/>
      <c r="J26" s="47" t="n"/>
    </row>
    <row r="27">
      <c r="A27" s="42" t="n"/>
      <c r="B27" s="43" t="n"/>
      <c r="C27" s="43" t="n"/>
      <c r="D27" s="44" t="n"/>
      <c r="E27" s="44" t="n"/>
      <c r="F27" s="45" t="n"/>
      <c r="G27" s="43" t="n"/>
      <c r="H27" s="46" t="n"/>
      <c r="I27" s="46" t="n"/>
      <c r="J27" s="47" t="n"/>
    </row>
    <row r="28">
      <c r="A28" s="42" t="n"/>
      <c r="B28" s="43" t="n"/>
      <c r="C28" s="43" t="n"/>
      <c r="D28" s="44" t="n"/>
      <c r="E28" s="44" t="n"/>
      <c r="F28" s="45" t="n"/>
      <c r="G28" s="43" t="n"/>
      <c r="H28" s="46" t="n"/>
      <c r="I28" s="46" t="n"/>
      <c r="J28" s="47" t="n"/>
    </row>
    <row r="29">
      <c r="A29" s="42" t="n"/>
      <c r="B29" s="43" t="n"/>
      <c r="C29" s="43" t="n"/>
      <c r="D29" s="44" t="n"/>
      <c r="E29" s="44" t="n"/>
      <c r="F29" s="45" t="n"/>
      <c r="G29" s="43" t="n"/>
      <c r="H29" s="46" t="n"/>
      <c r="I29" s="46" t="n"/>
      <c r="J29" s="47" t="n"/>
    </row>
    <row r="30">
      <c r="A30" s="42" t="n"/>
      <c r="B30" s="43" t="n"/>
      <c r="C30" s="43" t="n"/>
      <c r="D30" s="44" t="n"/>
      <c r="E30" s="44" t="n"/>
      <c r="F30" s="45" t="n"/>
      <c r="G30" s="43" t="n"/>
      <c r="H30" s="46" t="n"/>
      <c r="I30" s="46" t="n"/>
      <c r="J30" s="47" t="n"/>
    </row>
    <row r="31">
      <c r="A31" s="42" t="n"/>
      <c r="B31" s="43" t="n"/>
      <c r="C31" s="43" t="n"/>
      <c r="D31" s="44" t="n"/>
      <c r="E31" s="44" t="n"/>
      <c r="F31" s="45" t="n"/>
      <c r="G31" s="43" t="n"/>
      <c r="H31" s="46" t="n"/>
      <c r="I31" s="46" t="n"/>
      <c r="J31" s="47" t="n"/>
    </row>
    <row r="32">
      <c r="A32" s="42" t="n"/>
      <c r="B32" s="43" t="n"/>
      <c r="C32" s="43" t="n"/>
      <c r="D32" s="44" t="n"/>
      <c r="E32" s="44" t="n"/>
      <c r="F32" s="45" t="n"/>
      <c r="G32" s="43" t="n"/>
      <c r="H32" s="46" t="n"/>
      <c r="I32" s="46" t="n"/>
      <c r="J32" s="47" t="n"/>
    </row>
    <row r="33">
      <c r="A33" s="42" t="n"/>
      <c r="B33" s="43" t="n"/>
      <c r="C33" s="43" t="n"/>
      <c r="D33" s="44" t="n"/>
      <c r="E33" s="44" t="n"/>
      <c r="F33" s="45" t="n"/>
      <c r="G33" s="43" t="n"/>
      <c r="H33" s="46" t="n"/>
      <c r="I33" s="46" t="n"/>
      <c r="J33" s="47" t="n"/>
    </row>
    <row r="34">
      <c r="A34" s="42" t="n"/>
      <c r="B34" s="43" t="n"/>
      <c r="C34" s="43" t="n"/>
      <c r="D34" s="44" t="n"/>
      <c r="E34" s="44" t="n"/>
      <c r="F34" s="45" t="n"/>
      <c r="G34" s="43" t="n"/>
      <c r="H34" s="46" t="n"/>
      <c r="I34" s="46" t="n"/>
      <c r="J34" s="47" t="n"/>
    </row>
    <row r="35">
      <c r="A35" s="42" t="n"/>
      <c r="B35" s="43" t="n"/>
      <c r="C35" s="43" t="n"/>
      <c r="D35" s="44" t="n"/>
      <c r="E35" s="44" t="n"/>
      <c r="F35" s="45" t="n"/>
      <c r="G35" s="43" t="n"/>
      <c r="H35" s="46" t="n"/>
      <c r="I35" s="46" t="n"/>
      <c r="J35" s="47" t="n"/>
    </row>
    <row r="36">
      <c r="A36" s="42" t="n"/>
      <c r="B36" s="43" t="n"/>
      <c r="C36" s="43" t="n"/>
      <c r="D36" s="44" t="n"/>
      <c r="E36" s="44" t="n"/>
      <c r="F36" s="45" t="n"/>
      <c r="G36" s="43" t="n"/>
      <c r="H36" s="46" t="n"/>
      <c r="I36" s="46" t="n"/>
      <c r="J36" s="47" t="n"/>
    </row>
    <row r="37">
      <c r="A37" s="42" t="n"/>
      <c r="B37" s="43" t="n"/>
      <c r="C37" s="43" t="n"/>
      <c r="D37" s="44" t="n"/>
      <c r="E37" s="44" t="n"/>
      <c r="F37" s="45" t="n"/>
      <c r="G37" s="43" t="n"/>
      <c r="H37" s="46" t="n"/>
      <c r="I37" s="46" t="n"/>
      <c r="J37" s="47" t="n"/>
    </row>
    <row r="38">
      <c r="A38" s="42" t="n"/>
      <c r="B38" s="43" t="n"/>
      <c r="C38" s="43" t="n"/>
      <c r="D38" s="44" t="n"/>
      <c r="E38" s="44" t="n"/>
      <c r="F38" s="45" t="n"/>
      <c r="G38" s="43" t="n"/>
      <c r="H38" s="46" t="n"/>
      <c r="I38" s="46" t="n"/>
      <c r="J38" s="47" t="n"/>
    </row>
    <row r="39">
      <c r="A39" s="42" t="n"/>
      <c r="B39" s="43" t="n"/>
      <c r="C39" s="43" t="n"/>
      <c r="D39" s="44" t="n"/>
      <c r="E39" s="44" t="n"/>
      <c r="F39" s="45" t="n"/>
      <c r="G39" s="43" t="n"/>
      <c r="H39" s="46" t="n"/>
      <c r="I39" s="46" t="n"/>
      <c r="J39" s="47" t="n"/>
    </row>
    <row r="40">
      <c r="A40" s="42" t="n"/>
      <c r="B40" s="43" t="n"/>
      <c r="C40" s="43" t="n"/>
      <c r="D40" s="44" t="n"/>
      <c r="E40" s="44" t="n"/>
      <c r="F40" s="45" t="n"/>
      <c r="G40" s="43" t="n"/>
      <c r="H40" s="46" t="n"/>
      <c r="I40" s="46" t="n"/>
      <c r="J40" s="47" t="n"/>
    </row>
    <row r="41">
      <c r="A41" s="42" t="n"/>
      <c r="B41" s="43" t="n"/>
      <c r="C41" s="43" t="n"/>
      <c r="D41" s="44" t="n"/>
      <c r="E41" s="44" t="n"/>
      <c r="F41" s="45" t="n"/>
      <c r="G41" s="43" t="n"/>
      <c r="H41" s="46" t="n"/>
      <c r="I41" s="46" t="n"/>
      <c r="J41" s="47" t="n"/>
    </row>
    <row r="42">
      <c r="A42" s="42" t="n"/>
      <c r="B42" s="43" t="n"/>
      <c r="C42" s="43" t="n"/>
      <c r="D42" s="44" t="n"/>
      <c r="E42" s="44" t="n"/>
      <c r="F42" s="45" t="n"/>
      <c r="G42" s="43" t="n"/>
      <c r="H42" s="46" t="n"/>
      <c r="I42" s="46" t="n"/>
      <c r="J42" s="47" t="n"/>
    </row>
    <row r="43">
      <c r="A43" s="42" t="n"/>
      <c r="B43" s="43" t="n"/>
      <c r="C43" s="43" t="n"/>
      <c r="D43" s="44" t="n"/>
      <c r="E43" s="44" t="n"/>
      <c r="F43" s="45" t="n"/>
      <c r="G43" s="43" t="n"/>
      <c r="H43" s="46" t="n"/>
      <c r="I43" s="46" t="n"/>
      <c r="J43" s="47" t="n"/>
    </row>
    <row r="44">
      <c r="A44" s="42" t="n"/>
      <c r="B44" s="43" t="n"/>
      <c r="C44" s="43" t="n"/>
      <c r="D44" s="44" t="n"/>
      <c r="E44" s="44" t="n"/>
      <c r="F44" s="45" t="n"/>
      <c r="G44" s="43" t="n"/>
      <c r="H44" s="46" t="n"/>
      <c r="I44" s="46" t="n"/>
      <c r="J44" s="47" t="n"/>
    </row>
    <row r="45">
      <c r="A45" s="42" t="n"/>
      <c r="B45" s="43" t="n"/>
      <c r="C45" s="43" t="n"/>
      <c r="D45" s="44" t="n"/>
      <c r="E45" s="44" t="n"/>
      <c r="F45" s="45" t="n"/>
      <c r="G45" s="43" t="n"/>
      <c r="H45" s="46" t="n"/>
      <c r="I45" s="46" t="n"/>
      <c r="J45" s="47" t="n"/>
    </row>
    <row r="46">
      <c r="A46" s="42" t="n"/>
      <c r="B46" s="43" t="n"/>
      <c r="C46" s="43" t="n"/>
      <c r="D46" s="44" t="n"/>
      <c r="E46" s="44" t="n"/>
      <c r="F46" s="45" t="n"/>
      <c r="G46" s="43" t="n"/>
      <c r="H46" s="46" t="n"/>
      <c r="I46" s="46" t="n"/>
      <c r="J46" s="47" t="n"/>
    </row>
    <row r="47">
      <c r="A47" s="42" t="n"/>
      <c r="B47" s="43" t="n"/>
      <c r="C47" s="43" t="n"/>
      <c r="D47" s="44" t="n"/>
      <c r="E47" s="44" t="n"/>
      <c r="F47" s="45" t="n"/>
      <c r="G47" s="43" t="n"/>
      <c r="H47" s="46" t="n"/>
      <c r="I47" s="46" t="n"/>
      <c r="J47" s="47" t="n"/>
    </row>
    <row r="48">
      <c r="A48" s="42" t="n"/>
      <c r="B48" s="43" t="n"/>
      <c r="C48" s="43" t="n"/>
      <c r="D48" s="44" t="n"/>
      <c r="E48" s="44" t="n"/>
      <c r="F48" s="45" t="n"/>
      <c r="G48" s="43" t="n"/>
      <c r="H48" s="46" t="n"/>
      <c r="I48" s="46" t="n"/>
      <c r="J48" s="47" t="n"/>
    </row>
    <row r="49">
      <c r="A49" s="42" t="n"/>
      <c r="B49" s="43" t="n"/>
      <c r="C49" s="43" t="n"/>
      <c r="D49" s="44" t="n"/>
      <c r="E49" s="44" t="n"/>
      <c r="F49" s="45" t="n"/>
      <c r="G49" s="43" t="n"/>
      <c r="H49" s="46" t="n"/>
      <c r="I49" s="46" t="n"/>
      <c r="J49" s="47" t="n"/>
    </row>
    <row r="50">
      <c r="A50" s="42" t="n"/>
      <c r="B50" s="43" t="n"/>
      <c r="C50" s="43" t="n"/>
      <c r="D50" s="44" t="n"/>
      <c r="E50" s="44" t="n"/>
      <c r="F50" s="45" t="n"/>
      <c r="G50" s="43" t="n"/>
      <c r="H50" s="46" t="n"/>
      <c r="I50" s="46" t="n"/>
      <c r="J50" s="47" t="n"/>
    </row>
    <row r="51">
      <c r="A51" s="42" t="n"/>
      <c r="B51" s="43" t="n"/>
      <c r="C51" s="43" t="n"/>
      <c r="D51" s="44" t="n"/>
      <c r="E51" s="44" t="n"/>
      <c r="F51" s="45" t="n"/>
      <c r="G51" s="43" t="n"/>
      <c r="H51" s="46" t="n"/>
      <c r="I51" s="46" t="n"/>
      <c r="J51" s="47" t="n"/>
    </row>
    <row r="52">
      <c r="A52" s="42" t="n"/>
      <c r="B52" s="43" t="n"/>
      <c r="C52" s="43" t="n"/>
      <c r="D52" s="44" t="n"/>
      <c r="E52" s="44" t="n"/>
      <c r="F52" s="45" t="n"/>
      <c r="G52" s="43" t="n"/>
      <c r="H52" s="46" t="n"/>
      <c r="I52" s="46" t="n"/>
      <c r="J52" s="47" t="n"/>
    </row>
    <row r="53">
      <c r="A53" s="42" t="n"/>
      <c r="B53" s="43" t="n"/>
      <c r="C53" s="43" t="n"/>
      <c r="D53" s="44" t="n"/>
      <c r="E53" s="44" t="n"/>
      <c r="F53" s="45" t="n"/>
      <c r="G53" s="43" t="n"/>
      <c r="H53" s="46" t="n"/>
      <c r="I53" s="46" t="n"/>
      <c r="J53" s="47" t="n"/>
    </row>
    <row r="54">
      <c r="A54" s="42" t="n"/>
      <c r="B54" s="43" t="n"/>
      <c r="C54" s="43" t="n"/>
      <c r="D54" s="44" t="n"/>
      <c r="E54" s="44" t="n"/>
      <c r="F54" s="45" t="n"/>
      <c r="G54" s="43" t="n"/>
      <c r="H54" s="46" t="n"/>
      <c r="I54" s="46" t="n"/>
      <c r="J54" s="47" t="n"/>
    </row>
  </sheetData>
  <sheetProtection selectLockedCells="0" selectUnlockedCells="0" sheet="1" objects="0" insertRows="0" insertHyperlinks="1" autoFilter="1" scenarios="0" formatColumns="0" deleteColumns="0" insertColumns="0" pivotTables="1" deleteRows="0" formatCells="1" formatRows="0" sort="0" password="ACAD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2026-06-30T07:36:12Z</dcterms:created>
  <dcterms:modified xsi:type="dcterms:W3CDTF">2026-06-30T07:36:12Z</dcterms:modified>
</cp:coreProperties>
</file>