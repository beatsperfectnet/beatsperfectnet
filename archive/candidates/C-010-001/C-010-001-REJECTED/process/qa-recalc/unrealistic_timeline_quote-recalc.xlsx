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<sst xmlns="http://schemas.openxmlformats.org/spreadsheetml/2006/main" count="121" uniqueCount="108">
  <si>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</si>
  <si>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</si>
  <si>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</si>
  <si>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</si>
  <si>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</si>
  <si>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</si>
  <si>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</si>
  <si>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</si>
  <si>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</si>
  <si>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</si>
  <si>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</si>
  <si>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</si>
  <si>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</si>
  <si>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</si>
  <si>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</si>
  <si>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</si>
  <si>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</si>
  <si>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</si>
  <si>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</si>
  <si>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</si>
  <si>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</si>
  <si>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</si>
  <si>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</si>
  <si>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</si>
  <si>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</si>
  <si>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</si>
  <si>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</si>
  <si>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</si>
  <si>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</si>
  <si>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</si>
  <si>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</si>
  <si>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</si>
  <si>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</si>
  <si>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</si>
  <si>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</si>
  <si>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</si>
  <si>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</si>
  <si>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</si>
  <si>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</si>
  <si>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</si>
  <si>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</si>
  <si>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</si>
  <si>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</si>
  <si>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</si>
  <si>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</si>
  <si>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Sam Ortiz</t>
  </si>
  <si>
    <t xml:space="preserve">Helper totals</t>
  </si>
  <si>
    <t xml:space="preserve">Job type</t>
  </si>
  <si>
    <t xml:space="preserve">repair_bundle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</si>
  <si>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</si>
  <si>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</si>
  <si>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</si>
  <si>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</si>
  <si>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</si>
  <si>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</si>
  <si>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</si>
  <si>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</si>
  <si>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</si>
  <si>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</si>
  <si>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</si>
  <si>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</si>
  <si>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</si>
  <si>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</si>
  <si>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</si>
  <si>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</si>
  <si>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</si>
  <si>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</si>
  <si>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</si>
  <si>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Install faucet</t>
  </si>
  <si>
    <t xml:space="preserve">no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</si>
  <si>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</si>
  <si>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</si>
  <si>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</si>
  <si>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</si>
  <si>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</si>
  <si>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</si>
  <si>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</si>
  <si>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</si>
  <si>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</si>
  <si>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</si>
  <si>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</si>
  <si>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</si>
  <si>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</si>
  <si>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</si>
  <si>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</si>
  <si>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</si>
  <si>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</si>
  <si>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</si>
  <si>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</si>
  <si>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</si>
  <si>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</si>
  <si>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</si>
  <si>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</si>
  <si>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</si>
  <si>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</si>
  <si>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</si>
  <si>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</si>
  <si>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</si>
  <si>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Jordan Lee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</si>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</sst>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0.3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 t="s">
        <v>45</v>
      </c>
      <c r="C4" s="21"/>
      <c r="J4" s="8" t="s">
        <v>46</v>
      </c>
    </row>
    <row r="5" customFormat="false" ht="21.75" hidden="false" customHeight="true" outlineLevel="0" collapsed="false">
      <c r="A5" s="20" t="s">
        <v>47</v>
      </c>
      <c r="B5" s="21" t="s">
        <v>48</v>
      </c>
      <c r="C5" s="21"/>
      <c r="J5" s="22" t="s">
        <v>49</v>
      </c>
      <c r="K5" s="23" t="n">
        <f aca="false">ROUND(SUM(H15:H29)-B11,2)</f>
        <v>585</v>
      </c>
    </row>
    <row r="6" customFormat="false" ht="21.75" hidden="false" customHeight="true" outlineLevel="0" collapsed="false">
      <c r="A6" s="20" t="s">
        <v>50</v>
      </c>
      <c r="B6" s="21" t="s">
        <v>51</v>
      </c>
      <c r="C6" s="21"/>
      <c r="J6" s="22" t="s">
        <v>52</v>
      </c>
      <c r="K6" s="23" t="n">
        <f aca="false">COUNTIF(B15:B29,"&lt;&gt;")</f>
        <v>2</v>
      </c>
    </row>
    <row r="7" customFormat="false" ht="21.75" hidden="false" customHeight="true" outlineLevel="0" collapsed="false">
      <c r="A7" s="20" t="s">
        <v>53</v>
      </c>
      <c r="B7" s="21" t="s">
        <v>51</v>
      </c>
      <c r="C7" s="21"/>
      <c r="J7" s="22" t="s">
        <v>54</v>
      </c>
      <c r="K7" s="23" t="n">
        <f aca="false">COUNTIF(F15:F29,"yes")</f>
        <v>1</v>
      </c>
    </row>
    <row r="8" customFormat="false" ht="21.75" hidden="false" customHeight="true" outlineLevel="0" collapsed="false">
      <c r="A8" s="20" t="s">
        <v>55</v>
      </c>
      <c r="B8" s="21" t="s">
        <v>51</v>
      </c>
      <c r="C8" s="21"/>
    </row>
    <row r="9" customFormat="false" ht="21.75" hidden="false" customHeight="true" outlineLevel="0" collapsed="false">
      <c r="A9" s="20" t="s">
        <v>56</v>
      </c>
      <c r="B9" s="21" t="s">
        <v>51</v>
      </c>
      <c r="C9" s="21"/>
    </row>
    <row r="10" customFormat="false" ht="21.75" hidden="false" customHeight="true" outlineLevel="0" collapsed="false">
      <c r="A10" s="20" t="s">
        <v>57</v>
      </c>
      <c r="B10" s="21" t="n">
        <v>1</v>
      </c>
      <c r="C10" s="21"/>
    </row>
    <row r="11" customFormat="false" ht="21.75" hidden="false" customHeight="true" outlineLevel="0" collapsed="false">
      <c r="A11" s="20" t="s">
        <v>58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59</v>
      </c>
      <c r="B14" s="25" t="s">
        <v>60</v>
      </c>
      <c r="C14" s="25" t="s">
        <v>61</v>
      </c>
      <c r="D14" s="25" t="s">
        <v>62</v>
      </c>
      <c r="E14" s="25" t="s">
        <v>63</v>
      </c>
      <c r="F14" s="25" t="s">
        <v>64</v>
      </c>
      <c r="G14" s="25" t="s">
        <v>65</v>
      </c>
      <c r="H14" s="26" t="s">
        <v>66</v>
      </c>
    </row>
    <row r="15" customFormat="false" ht="13.5" hidden="false" customHeight="true" outlineLevel="0" collapsed="false">
      <c r="A15" s="27" t="n">
        <v>1</v>
      </c>
      <c r="B15" s="28" t="s">
        <v>67</v>
      </c>
      <c r="C15" s="29" t="n">
        <v>3</v>
      </c>
      <c r="D15" s="30"/>
      <c r="E15" s="30" t="n">
        <v>60</v>
      </c>
      <c r="F15" s="31" t="s">
        <v>51</v>
      </c>
      <c r="G15" s="32" t="n">
        <f aca="false">IF(B15="","",ROUND(C15*IF(D15="",Assumptions!$B$4,D15),2))</f>
        <v>225</v>
      </c>
      <c r="H15" s="33" t="n">
        <f aca="false">IF(B15="","",ROUND(G15+(E15*(1+Assumptions!$B$11))+IF(F15="yes",Assumptions!$B$7,0),2))</f>
        <v>336</v>
      </c>
    </row>
    <row r="16" customFormat="false" ht="13.5" hidden="false" customHeight="true" outlineLevel="0" collapsed="false">
      <c r="A16" s="27" t="n">
        <v>2</v>
      </c>
      <c r="B16" s="28" t="s">
        <v>68</v>
      </c>
      <c r="C16" s="29" t="n">
        <v>2</v>
      </c>
      <c r="D16" s="30"/>
      <c r="E16" s="30" t="n">
        <v>90</v>
      </c>
      <c r="F16" s="31" t="s">
        <v>69</v>
      </c>
      <c r="G16" s="32" t="n">
        <f aca="false">IF(B16="","",ROUND(C16*IF(D16="",Assumptions!$B$4,D16),2))</f>
        <v>150</v>
      </c>
      <c r="H16" s="33" t="n">
        <f aca="false">IF(B16="","",ROUND(G16+(E16*(1+Assumptions!$B$11))+IF(F16="yes",Assumptions!$B$7,0),2))</f>
        <v>249</v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70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71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72</v>
      </c>
      <c r="B8" s="35" t="n">
        <f aca="false">ROUND(SUM('Scope Inputs'!H15:H29)*(1+IF('Scope Inputs'!B9="yes",Assumptions!$B$8,0))-'Scope Inputs'!B11,2)</f>
        <v>702</v>
      </c>
      <c r="D8" s="8" t="s">
        <v>73</v>
      </c>
    </row>
    <row r="9" customFormat="false" ht="24" hidden="false" customHeight="true" outlineLevel="0" collapsed="false">
      <c r="A9" s="34" t="s">
        <v>74</v>
      </c>
      <c r="B9" s="35" t="n">
        <f aca="false">ROUND(B8*Assumptions!$B$5,2)</f>
        <v>210.6</v>
      </c>
      <c r="D9" s="11" t="s">
        <v>75</v>
      </c>
      <c r="E9" s="11"/>
      <c r="F9" s="11"/>
    </row>
    <row r="10" customFormat="false" ht="24" hidden="false" customHeight="true" outlineLevel="0" collapsed="false">
      <c r="A10" s="34" t="s">
        <v>76</v>
      </c>
      <c r="B10" s="36" t="str">
        <f aca="false">IF('Scope Inputs'!B9="yes",TEXT(Assumptions!$B$10,"0")&amp;" business days",TEXT(Assumptions!$B$9,"0")&amp;" business days")</f>
        <v>2 business days</v>
      </c>
      <c r="D10" s="11" t="s">
        <v>77</v>
      </c>
      <c r="E10" s="11"/>
      <c r="F10" s="11"/>
    </row>
    <row r="11" customFormat="false" ht="13.5" hidden="false" customHeight="true" outlineLevel="0" collapsed="false">
      <c r="D11" s="11" t="s">
        <v>78</v>
      </c>
      <c r="E11" s="11"/>
      <c r="F11" s="11"/>
    </row>
    <row r="12" customFormat="false" ht="30" hidden="false" customHeight="true" outlineLevel="0" collapsed="false">
      <c r="A12" s="34" t="s">
        <v>79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unrealistic_timeline</v>
      </c>
      <c r="D12" s="11" t="s">
        <v>80</v>
      </c>
      <c r="E12" s="11"/>
      <c r="F12" s="11"/>
    </row>
    <row r="13" customFormat="false" ht="30" hidden="false" customHeight="true" outlineLevel="0" collapsed="false">
      <c r="A13" s="34" t="s">
        <v>81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Reset delivery expectation before sending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82</v>
      </c>
      <c r="B15" s="35" t="n">
        <f aca="false">Assumptions!$B$6</f>
        <v>250</v>
      </c>
      <c r="D15" s="8" t="s">
        <v>83</v>
      </c>
    </row>
    <row r="16" customFormat="false" ht="24" hidden="false" customHeight="true" outlineLevel="0" collapsed="false">
      <c r="A16" s="34" t="s">
        <v>84</v>
      </c>
      <c r="B16" s="35" t="n">
        <f aca="false">ROUND(B8-B15,2)</f>
        <v>452</v>
      </c>
      <c r="D16" s="11" t="s">
        <v>85</v>
      </c>
      <c r="E16" s="11"/>
      <c r="F16" s="11"/>
    </row>
    <row r="17" customFormat="false" ht="13.5" hidden="false" customHeight="true" outlineLevel="0" collapsed="false">
      <c r="D17" s="11" t="s">
        <v>86</v>
      </c>
      <c r="E17" s="11"/>
      <c r="F17" s="11"/>
    </row>
    <row r="18" customFormat="false" ht="13.5" hidden="false" customHeight="true" outlineLevel="0" collapsed="false">
      <c r="D18" s="11" t="s">
        <v>87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90</v>
      </c>
      <c r="B4" s="25" t="s">
        <v>91</v>
      </c>
      <c r="C4" s="25" t="s">
        <v>47</v>
      </c>
      <c r="D4" s="25" t="s">
        <v>72</v>
      </c>
      <c r="E4" s="25" t="s">
        <v>92</v>
      </c>
      <c r="F4" s="25" t="s">
        <v>76</v>
      </c>
      <c r="G4" s="25" t="s">
        <v>93</v>
      </c>
      <c r="H4" s="25" t="s">
        <v>94</v>
      </c>
      <c r="I4" s="25" t="s">
        <v>95</v>
      </c>
      <c r="J4" s="26" t="s">
        <v>96</v>
      </c>
    </row>
    <row r="5" customFormat="false" ht="27.75" hidden="false" customHeight="true" outlineLevel="0" collapsed="false">
      <c r="A5" s="38" t="s">
        <v>97</v>
      </c>
      <c r="B5" s="28" t="s">
        <v>98</v>
      </c>
      <c r="C5" s="28" t="s">
        <v>48</v>
      </c>
      <c r="D5" s="30" t="n">
        <v>585</v>
      </c>
      <c r="E5" s="30" t="n">
        <v>175.5</v>
      </c>
      <c r="F5" s="31" t="s">
        <v>99</v>
      </c>
      <c r="G5" s="28" t="s">
        <v>100</v>
      </c>
      <c r="H5" s="39" t="s">
        <v>101</v>
      </c>
      <c r="I5" s="39" t="s">
        <v>102</v>
      </c>
      <c r="J5" s="40" t="n">
        <v>1</v>
      </c>
    </row>
    <row r="6" customFormat="false" ht="41.25" hidden="false" customHeight="true" outlineLevel="0" collapsed="false">
      <c r="A6" s="38" t="s">
        <v>97</v>
      </c>
      <c r="B6" s="28" t="s">
        <v>103</v>
      </c>
      <c r="C6" s="28" t="s">
        <v>104</v>
      </c>
      <c r="D6" s="30" t="n">
        <v>188.5</v>
      </c>
      <c r="E6" s="30" t="n">
        <v>56.55</v>
      </c>
      <c r="F6" s="31" t="s">
        <v>99</v>
      </c>
      <c r="G6" s="28" t="s">
        <v>105</v>
      </c>
      <c r="H6" s="39" t="s">
        <v>106</v>
      </c>
      <c r="I6" s="39" t="s">
        <v>107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