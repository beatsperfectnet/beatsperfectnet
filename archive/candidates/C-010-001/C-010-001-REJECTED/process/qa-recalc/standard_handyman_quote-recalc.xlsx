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Assumptions" sheetId="2" state="visible" r:id="rId4"/>
    <sheet name="Scope Inputs" sheetId="3" state="visible" r:id="rId5"/>
    <sheet name="Quote Summary" sheetId="4" state="visible" r:id="rId6"/>
    <sheet name="Saved Qu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<sst xmlns="http://schemas.openxmlformats.org/spreadsheetml/2006/main" count="121" uniqueCount="107">
  <si>
    <t xml:space="preserve">Handyman Quote Readiness Planner</t>
  </si>
  <si>
    <t xml:space="preserve">Quote the job, check the floor, and know whether to send or clarify before you reply.</t>
  </si>
  <si>
    <t xml:space="preserve">Step 1</t>
  </si>
  <si>
    <t xml:space="preserve">Open Assumptions and confirm your hourly rate, minimum job floor, deposit policy, and standard timing.</t>
  </si>
  <si>
    <t xml:space="preserve">Step 2</t>
  </si>
  <si>
    <t xml:space="preserve">Go to Scope Inputs and complete the readiness checks before touching the line items.</t>
  </si>
  <si>
    <t xml:space="preserve">Step 3</t>
  </si>
  <si>
    <t xml:space="preserve">Enter task rows with hours, material cost, and travel yes/no. Yellow cells are yours.</t>
  </si>
  <si>
    <t xml:space="preserve">Step 4</t>
  </si>
  <si>
    <t xml:space="preserve">Read Quote Summary. Send only when the state says send_ready. Otherwise follow the next-step guidance.</t>
  </si>
  <si>
    <t xml:space="preserve">Color key</t>
  </si>
  <si>
    <t xml:space="preserve">This workbook is for quoting only.</t>
  </si>
  <si>
    <t xml:space="preserve">Yellow</t>
  </si>
  <si>
    <t xml:space="preserve">Buyer input cells</t>
  </si>
  <si>
    <t xml:space="preserve">• No invoicing, CRM, dispatch, or auto-emailing.</t>
  </si>
  <si>
    <t xml:space="preserve">Blue</t>
  </si>
  <si>
    <t xml:space="preserve">Generated outputs</t>
  </si>
  <si>
    <t xml:space="preserve">• If the state is clarify_scope, ask for more details before sending.</t>
  </si>
  <si>
    <t xml:space="preserve">White</t>
  </si>
  <si>
    <t xml:space="preserve">Reference or helper text</t>
  </si>
  <si>
    <t xml:space="preserve">• If the state is below_floor, adjust scope or decline the job.</t>
  </si>
  <si>
    <t xml:space="preserve">• If the state is unrealistic_timeline, reset expectations before you quote.</t>
  </si>
  <si>
    <t xml:space="preserve">Assumptions</t>
  </si>
  <si>
    <t xml:space="preserve">Set the business defaults that every quote uses unless you override them.</t>
  </si>
  <si>
    <t xml:space="preserve">Default hourly rate</t>
  </si>
  <si>
    <t xml:space="preserve">$/hour</t>
  </si>
  <si>
    <t xml:space="preserve">Guardrails</t>
  </si>
  <si>
    <t xml:space="preserve">Deposit percent</t>
  </si>
  <si>
    <t xml:space="preserve">percent</t>
  </si>
  <si>
    <t xml:space="preserve">Quote Summary uses these values every time.</t>
  </si>
  <si>
    <t xml:space="preserve">Minimum job floor</t>
  </si>
  <si>
    <t xml:space="preserve">$ minimum</t>
  </si>
  <si>
    <t xml:space="preserve">Change deposit percent here to update the summary.</t>
  </si>
  <si>
    <t xml:space="preserve">Travel fee per quoted job</t>
  </si>
  <si>
    <t xml:space="preserve">$ flat</t>
  </si>
  <si>
    <t xml:space="preserve">Minimum job floor blocks send_ready when totals fall below it.</t>
  </si>
  <si>
    <t xml:space="preserve">Rush surcharge percent</t>
  </si>
  <si>
    <t xml:space="preserve">Rush timing and surcharge work together.</t>
  </si>
  <si>
    <t xml:space="preserve">Standard turnaround days</t>
  </si>
  <si>
    <t xml:space="preserve">business days</t>
  </si>
  <si>
    <t xml:space="preserve">Rush turnaround days</t>
  </si>
  <si>
    <t xml:space="preserve">Material markup percent</t>
  </si>
  <si>
    <t xml:space="preserve">Scope Inputs</t>
  </si>
  <si>
    <t xml:space="preserve">Complete readiness checks first, then enter line items. Only yellow cells should be edited.</t>
  </si>
  <si>
    <t xml:space="preserve">Client name</t>
  </si>
  <si>
    <t xml:space="preserve">Jordan Lee</t>
  </si>
  <si>
    <t xml:space="preserve">Helper totals</t>
  </si>
  <si>
    <t xml:space="preserve">Job type</t>
  </si>
  <si>
    <t xml:space="preserve">repair_bundle</t>
  </si>
  <si>
    <t xml:space="preserve">Base total before rush</t>
  </si>
  <si>
    <t xml:space="preserve">Site visit complete</t>
  </si>
  <si>
    <t xml:space="preserve">yes</t>
  </si>
  <si>
    <t xml:space="preserve">Valid task rows</t>
  </si>
  <si>
    <t xml:space="preserve">Material list complete</t>
  </si>
  <si>
    <t xml:space="preserve">Travel lines</t>
  </si>
  <si>
    <t xml:space="preserve">Scope confirmed</t>
  </si>
  <si>
    <t xml:space="preserve">Rush requested</t>
  </si>
  <si>
    <t xml:space="preserve">no</t>
  </si>
  <si>
    <t xml:space="preserve">Requested days until start</t>
  </si>
  <si>
    <t xml:space="preserve">Discount amount</t>
  </si>
  <si>
    <t xml:space="preserve">No.</t>
  </si>
  <si>
    <t xml:space="preserve">Task name</t>
  </si>
  <si>
    <t xml:space="preserve">Est. hours</t>
  </si>
  <si>
    <t xml:space="preserve">Rate override</t>
  </si>
  <si>
    <t xml:space="preserve">Material cost</t>
  </si>
  <si>
    <t xml:space="preserve">Travel required</t>
  </si>
  <si>
    <t xml:space="preserve">Labor subtotal</t>
  </si>
  <si>
    <t xml:space="preserve">Line subtotal</t>
  </si>
  <si>
    <t xml:space="preserve">Patch hallway drywall</t>
  </si>
  <si>
    <t xml:space="preserve">Install faucet</t>
  </si>
  <si>
    <t xml:space="preserve">Quote Summary</t>
  </si>
  <si>
    <t xml:space="preserve">Use this sheet to decide whether the quote is ready to send.</t>
  </si>
  <si>
    <t xml:space="preserve">Quote total</t>
  </si>
  <si>
    <t xml:space="preserve">What this means</t>
  </si>
  <si>
    <t xml:space="preserve">Deposit amount</t>
  </si>
  <si>
    <t xml:space="preserve">send_ready: scope complete, timeline realistic, quote above floor</t>
  </si>
  <si>
    <t xml:space="preserve">Delivery window</t>
  </si>
  <si>
    <t xml:space="preserve">clarify_scope: missing readiness input or no valid scope rows</t>
  </si>
  <si>
    <t xml:space="preserve">below_floor: total exists but job is too small at the current scope</t>
  </si>
  <si>
    <t xml:space="preserve">Quote confidence state</t>
  </si>
  <si>
    <t xml:space="preserve">unrealistic_timeline: quote is feasible only if the delivery expectation changes</t>
  </si>
  <si>
    <t xml:space="preserve">Recommended next step</t>
  </si>
  <si>
    <t xml:space="preserve">Minimum profitable floor</t>
  </si>
  <si>
    <t xml:space="preserve">Proof checklist</t>
  </si>
  <si>
    <t xml:space="preserve">Quote margin buffer</t>
  </si>
  <si>
    <t xml:space="preserve">• Totals respond to Assumptions and Scope Inputs.</t>
  </si>
  <si>
    <t xml:space="preserve">• You should not send when the state is clarify_scope, below_floor, or unrealistic_timeline.</t>
  </si>
  <si>
    <t xml:space="preserve">• Deposit and timeline update automatically from the current quote.</t>
  </si>
  <si>
    <t xml:space="preserve">Saved Quotes</t>
  </si>
  <si>
    <t xml:space="preserve">Use this log to keep prior quote snapshots visible without overwriting them.</t>
  </si>
  <si>
    <t xml:space="preserve">Quote date</t>
  </si>
  <si>
    <t xml:space="preserve">Client</t>
  </si>
  <si>
    <t xml:space="preserve">Deposit</t>
  </si>
  <si>
    <t xml:space="preserve">State</t>
  </si>
  <si>
    <t xml:space="preserve">Next step</t>
  </si>
  <si>
    <t xml:space="preserve">Notes</t>
  </si>
  <si>
    <t xml:space="preserve">Version</t>
  </si>
  <si>
    <t xml:space="preserve">2026-06-30</t>
  </si>
  <si>
    <t xml:space="preserve">5 business days</t>
  </si>
  <si>
    <t xml:space="preserve">send_ready</t>
  </si>
  <si>
    <t xml:space="preserve">Send the quote with deposit and timeline</t>
  </si>
  <si>
    <t xml:space="preserve">Seeded standard quote</t>
  </si>
  <si>
    <t xml:space="preserve">Partial example</t>
  </si>
  <si>
    <t xml:space="preserve">drywall_patch</t>
  </si>
  <si>
    <t xml:space="preserve">clarify_scope</t>
  </si>
  <si>
    <t xml:space="preserve">Ask for missing scope details before sending the quote</t>
  </si>
  <si>
    <t xml:space="preserve">Shows blocked send state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</si>
</sst>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%"/>
    <numFmt numFmtId="167" formatCode="0"/>
    <numFmt numFmtId="168" formatCode="0.00"/>
    <numFmt numFmtId="169" formatCode="@"/>
  </numFmts>
  <fonts count="11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Aptos Display"/>
      <family val="0"/>
    </font>
    <font>
      <i val="true"/>
      <sz val="10"/>
      <color theme="1"/>
      <name val="Aptos"/>
      <family val="0"/>
    </font>
    <font>
      <b val="true"/>
      <sz val="12"/>
      <color theme="1"/>
      <name val="Aptos"/>
      <family val="0"/>
    </font>
    <font>
      <sz val="10"/>
      <color theme="1"/>
      <name val="Aptos"/>
      <family val="0"/>
    </font>
    <font>
      <b val="true"/>
      <sz val="11"/>
      <color theme="1"/>
      <name val="Aptos"/>
      <family val="0"/>
    </font>
    <font>
      <b val="true"/>
      <sz val="10"/>
      <color theme="1"/>
      <name val="Aptos"/>
      <family val="0"/>
    </font>
    <font>
      <b val="true"/>
      <sz val="9"/>
      <color theme="1"/>
      <name val="Aptos"/>
      <family val="0"/>
    </font>
  </fonts>
  <fills count="9">
    <fill>
      <patternFill patternType="none"/>
    </fill>
    <fill>
      <patternFill patternType="gray125"/>
    </fill>
    <fill>
      <patternFill patternType="solid">
        <fgColor rgb="FF8C3B28"/>
        <bgColor rgb="FF993366"/>
      </patternFill>
    </fill>
    <fill>
      <patternFill patternType="solid">
        <fgColor rgb="FFF5F1EA"/>
        <bgColor rgb="FFF8F4EE"/>
      </patternFill>
    </fill>
    <fill>
      <patternFill patternType="solid">
        <fgColor rgb="FFFFFDFC"/>
        <bgColor rgb="FFF8F4EE"/>
      </patternFill>
    </fill>
    <fill>
      <patternFill patternType="solid">
        <fgColor rgb="FFFFF2CC"/>
        <bgColor rgb="FFF5F1EA"/>
      </patternFill>
    </fill>
    <fill>
      <patternFill patternType="solid">
        <fgColor rgb="FFDDEBF7"/>
        <bgColor rgb="FFEEF2F6"/>
      </patternFill>
    </fill>
    <fill>
      <patternFill patternType="solid">
        <fgColor rgb="FFF8F4EE"/>
        <bgColor rgb="FFF5F1EA"/>
      </patternFill>
    </fill>
    <fill>
      <patternFill patternType="solid">
        <fgColor rgb="FFEEF2F6"/>
        <bgColor rgb="FFF5F1EA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>
        <color rgb="FF8C3B28"/>
      </left>
      <right style="thin">
        <color rgb="FFD7C7B4"/>
      </right>
      <top style="medium">
        <color rgb="FF8C3B28"/>
      </top>
      <bottom style="thin">
        <color rgb="FFD7C7B4"/>
      </bottom>
      <diagonal/>
    </border>
    <border diagonalUp="false" diagonalDown="false">
      <left style="thin">
        <color rgb="FFD7C7B4"/>
      </left>
      <right style="thin">
        <color rgb="FFD7C7B4"/>
      </right>
      <top style="medium">
        <color rgb="FF8C3B28"/>
      </top>
      <bottom style="thin">
        <color rgb="FFD7C7B4"/>
      </bottom>
      <diagonal/>
    </border>
    <border diagonalUp="false" diagonalDown="false">
      <left style="thin">
        <color rgb="FFD7C7B4"/>
      </left>
      <right style="medium">
        <color rgb="FF8C3B28"/>
      </right>
      <top style="medium">
        <color rgb="FF8C3B28"/>
      </top>
      <bottom style="thin">
        <color rgb="FFD7C7B4"/>
      </bottom>
      <diagonal/>
    </border>
    <border diagonalUp="false" diagonalDown="false">
      <left style="medium">
        <color rgb="FF8C3B28"/>
      </left>
      <right style="medium">
        <color rgb="FF8C3B28"/>
      </right>
      <top style="thin">
        <color rgb="FFD7C7B4"/>
      </top>
      <bottom style="medium">
        <color rgb="FF8C3B28"/>
      </bottom>
      <diagonal/>
    </border>
    <border diagonalUp="false" diagonalDown="false">
      <left style="medium">
        <color rgb="FF8C3B28"/>
      </left>
      <right style="thin">
        <color rgb="FFD7C7B4"/>
      </right>
      <top style="medium">
        <color rgb="FF8C3B28"/>
      </top>
      <bottom style="medium">
        <color rgb="FF8C3B28"/>
      </bottom>
      <diagonal/>
    </border>
    <border diagonalUp="false" diagonalDown="false">
      <left style="thin">
        <color rgb="FFD7C7B4"/>
      </left>
      <right style="medium">
        <color rgb="FF8C3B28"/>
      </right>
      <top style="medium">
        <color rgb="FF8C3B28"/>
      </top>
      <bottom style="medium">
        <color rgb="FF8C3B28"/>
      </bottom>
      <diagonal/>
    </border>
    <border diagonalUp="false" diagonalDown="false">
      <left style="thin">
        <color rgb="FFD7C7B4"/>
      </left>
      <right style="thin">
        <color rgb="FFD7C7B4"/>
      </right>
      <top style="medium">
        <color rgb="FF8C3B28"/>
      </top>
      <bottom style="medium">
        <color rgb="FF8C3B2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5" borderId="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5" borderId="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8" fontId="7" fillId="5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5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5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6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5" borderId="7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7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DF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7C7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6"/>
      <rgbColor rgb="FFF5F1EA"/>
      <rgbColor rgb="FFF8F4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C3B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44"/>
    <col collapsed="false" customWidth="true" hidden="false" outlineLevel="0" max="4" min="3" style="1" width="20"/>
    <col collapsed="false" customWidth="true" hidden="false" outlineLevel="0" max="7" min="5" style="1" width="1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13.5" hidden="false" customHeight="true" outlineLevel="0" collapsed="false"/>
    <row r="4" customFormat="false" ht="13.5" hidden="false" customHeight="true" outlineLevel="0" collapsed="false"/>
    <row r="5" customFormat="false" ht="15" hidden="false" customHeight="true" outlineLevel="0" collapsed="false">
      <c r="A5" s="4" t="s">
        <v>2</v>
      </c>
      <c r="B5" s="4"/>
      <c r="C5" s="5"/>
      <c r="D5" s="5"/>
      <c r="E5" s="6"/>
    </row>
    <row r="6" customFormat="false" ht="13.5" hidden="false" customHeight="true" outlineLevel="0" collapsed="false">
      <c r="A6" s="7" t="s">
        <v>3</v>
      </c>
      <c r="B6" s="7"/>
      <c r="C6" s="7"/>
      <c r="D6" s="7"/>
      <c r="E6" s="7"/>
    </row>
    <row r="7" customFormat="false" ht="13.5" hidden="false" customHeight="true" outlineLevel="0" collapsed="false">
      <c r="A7" s="7"/>
      <c r="B7" s="7"/>
      <c r="C7" s="7"/>
      <c r="D7" s="7"/>
      <c r="E7" s="7"/>
    </row>
    <row r="8" customFormat="false" ht="13.5" hidden="false" customHeight="true" outlineLevel="0" collapsed="false"/>
    <row r="9" customFormat="false" ht="15" hidden="false" customHeight="true" outlineLevel="0" collapsed="false">
      <c r="A9" s="4" t="s">
        <v>4</v>
      </c>
      <c r="B9" s="4"/>
      <c r="C9" s="5"/>
      <c r="D9" s="5"/>
      <c r="E9" s="6"/>
    </row>
    <row r="10" customFormat="false" ht="13.5" hidden="false" customHeight="true" outlineLevel="0" collapsed="false">
      <c r="A10" s="7" t="s">
        <v>5</v>
      </c>
      <c r="B10" s="7"/>
      <c r="C10" s="7"/>
      <c r="D10" s="7"/>
      <c r="E10" s="7"/>
    </row>
    <row r="11" customFormat="false" ht="13.5" hidden="false" customHeight="true" outlineLevel="0" collapsed="false">
      <c r="A11" s="7"/>
      <c r="B11" s="7"/>
      <c r="C11" s="7"/>
      <c r="D11" s="7"/>
      <c r="E11" s="7"/>
    </row>
    <row r="12" customFormat="false" ht="13.5" hidden="false" customHeight="true" outlineLevel="0" collapsed="false"/>
    <row r="13" customFormat="false" ht="15" hidden="false" customHeight="true" outlineLevel="0" collapsed="false">
      <c r="A13" s="4" t="s">
        <v>6</v>
      </c>
      <c r="B13" s="4"/>
      <c r="C13" s="5"/>
      <c r="D13" s="5"/>
      <c r="E13" s="6"/>
    </row>
    <row r="14" customFormat="false" ht="13.5" hidden="false" customHeight="true" outlineLevel="0" collapsed="false">
      <c r="A14" s="7" t="s">
        <v>7</v>
      </c>
      <c r="B14" s="7"/>
      <c r="C14" s="7"/>
      <c r="D14" s="7"/>
      <c r="E14" s="7"/>
    </row>
    <row r="15" customFormat="false" ht="13.5" hidden="false" customHeight="true" outlineLevel="0" collapsed="false">
      <c r="A15" s="7"/>
      <c r="B15" s="7"/>
      <c r="C15" s="7"/>
      <c r="D15" s="7"/>
      <c r="E15" s="7"/>
    </row>
    <row r="16" customFormat="false" ht="13.5" hidden="false" customHeight="true" outlineLevel="0" collapsed="false"/>
    <row r="17" customFormat="false" ht="15" hidden="false" customHeight="true" outlineLevel="0" collapsed="false">
      <c r="A17" s="4" t="s">
        <v>8</v>
      </c>
      <c r="B17" s="4"/>
      <c r="C17" s="5"/>
      <c r="D17" s="5"/>
      <c r="E17" s="6"/>
    </row>
    <row r="18" customFormat="false" ht="13.5" hidden="false" customHeight="true" outlineLevel="0" collapsed="false">
      <c r="A18" s="7" t="s">
        <v>9</v>
      </c>
      <c r="B18" s="7"/>
      <c r="C18" s="7"/>
      <c r="D18" s="7"/>
      <c r="E18" s="7"/>
    </row>
    <row r="19" customFormat="false" ht="13.5" hidden="false" customHeight="true" outlineLevel="0" collapsed="false">
      <c r="A19" s="7"/>
      <c r="B19" s="7"/>
      <c r="C19" s="7"/>
      <c r="D19" s="7"/>
      <c r="E19" s="7"/>
    </row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>
      <c r="A22" s="8" t="s">
        <v>10</v>
      </c>
      <c r="D22" s="8" t="s">
        <v>11</v>
      </c>
    </row>
    <row r="23" customFormat="false" ht="13.5" hidden="false" customHeight="true" outlineLevel="0" collapsed="false">
      <c r="A23" s="9" t="s">
        <v>12</v>
      </c>
      <c r="B23" s="10" t="s">
        <v>13</v>
      </c>
      <c r="D23" s="11" t="s">
        <v>14</v>
      </c>
      <c r="E23" s="11"/>
      <c r="F23" s="11"/>
      <c r="G23" s="11"/>
    </row>
    <row r="24" customFormat="false" ht="13.5" hidden="false" customHeight="true" outlineLevel="0" collapsed="false">
      <c r="A24" s="12" t="s">
        <v>15</v>
      </c>
      <c r="B24" s="10" t="s">
        <v>16</v>
      </c>
      <c r="D24" s="11" t="s">
        <v>17</v>
      </c>
      <c r="E24" s="11"/>
      <c r="F24" s="11"/>
      <c r="G24" s="11"/>
    </row>
    <row r="25" customFormat="false" ht="13.5" hidden="false" customHeight="true" outlineLevel="0" collapsed="false">
      <c r="A25" s="13" t="s">
        <v>18</v>
      </c>
      <c r="B25" s="10" t="s">
        <v>19</v>
      </c>
      <c r="D25" s="11" t="s">
        <v>20</v>
      </c>
      <c r="E25" s="11"/>
      <c r="F25" s="11"/>
      <c r="G25" s="11"/>
    </row>
    <row r="26" customFormat="false" ht="13.5" hidden="false" customHeight="true" outlineLevel="0" collapsed="false">
      <c r="D26" s="11" t="s">
        <v>21</v>
      </c>
      <c r="E26" s="11"/>
      <c r="F26" s="11"/>
      <c r="G26" s="11"/>
    </row>
  </sheetData>
  <sheetProtection sheet="true" objects="true" scenarios="true" insertColumns="false" insertRows="false" deleteColumns="false" deleteRows="false"/>
  <mergeCells count="14">
    <mergeCell ref="A1:G1"/>
    <mergeCell ref="A2:G2"/>
    <mergeCell ref="A5:B5"/>
    <mergeCell ref="A6:E7"/>
    <mergeCell ref="A9:B9"/>
    <mergeCell ref="A10:E11"/>
    <mergeCell ref="A13:B13"/>
    <mergeCell ref="A14:E15"/>
    <mergeCell ref="A17:B17"/>
    <mergeCell ref="A18:E19"/>
    <mergeCell ref="D23:G23"/>
    <mergeCell ref="D24:G24"/>
    <mergeCell ref="D25:G25"/>
    <mergeCell ref="D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18"/>
    <col collapsed="false" customWidth="true" hidden="false" outlineLevel="0" max="4" min="4" style="1" width="20"/>
    <col collapsed="false" customWidth="true" hidden="false" outlineLevel="0" max="5" min="5" style="1" width="24"/>
  </cols>
  <sheetData>
    <row r="1" customFormat="false" ht="27.75" hidden="false" customHeight="true" outlineLevel="0" collapsed="false">
      <c r="A1" s="2" t="s">
        <v>22</v>
      </c>
      <c r="B1" s="2"/>
      <c r="C1" s="2"/>
      <c r="D1" s="2"/>
      <c r="E1" s="2"/>
    </row>
    <row r="2" customFormat="false" ht="21.75" hidden="false" customHeight="true" outlineLevel="0" collapsed="false">
      <c r="A2" s="3" t="s">
        <v>23</v>
      </c>
      <c r="B2" s="3"/>
      <c r="C2" s="3"/>
      <c r="D2" s="3"/>
      <c r="E2" s="3"/>
    </row>
    <row r="3" customFormat="false" ht="13.5" hidden="false" customHeight="true" outlineLevel="0" collapsed="false"/>
    <row r="4" customFormat="false" ht="13.5" hidden="false" customHeight="true" outlineLevel="0" collapsed="false">
      <c r="A4" s="14" t="s">
        <v>24</v>
      </c>
      <c r="B4" s="15" t="n">
        <v>75</v>
      </c>
      <c r="C4" s="16" t="s">
        <v>25</v>
      </c>
      <c r="E4" s="8" t="s">
        <v>26</v>
      </c>
    </row>
    <row r="5" customFormat="false" ht="13.5" hidden="false" customHeight="true" outlineLevel="0" collapsed="false">
      <c r="A5" s="14" t="s">
        <v>27</v>
      </c>
      <c r="B5" s="17" t="n">
        <v>0.3</v>
      </c>
      <c r="C5" s="16" t="s">
        <v>28</v>
      </c>
      <c r="E5" s="18" t="s">
        <v>29</v>
      </c>
    </row>
    <row r="6" customFormat="false" ht="13.5" hidden="false" customHeight="true" outlineLevel="0" collapsed="false">
      <c r="A6" s="14" t="s">
        <v>30</v>
      </c>
      <c r="B6" s="15" t="n">
        <v>250</v>
      </c>
      <c r="C6" s="16" t="s">
        <v>31</v>
      </c>
      <c r="E6" s="18" t="s">
        <v>32</v>
      </c>
    </row>
    <row r="7" customFormat="false" ht="13.5" hidden="false" customHeight="true" outlineLevel="0" collapsed="false">
      <c r="A7" s="14" t="s">
        <v>33</v>
      </c>
      <c r="B7" s="15" t="n">
        <v>45</v>
      </c>
      <c r="C7" s="16" t="s">
        <v>34</v>
      </c>
      <c r="E7" s="18" t="s">
        <v>35</v>
      </c>
    </row>
    <row r="8" customFormat="false" ht="13.5" hidden="false" customHeight="true" outlineLevel="0" collapsed="false">
      <c r="A8" s="14" t="s">
        <v>36</v>
      </c>
      <c r="B8" s="17" t="n">
        <v>0.2</v>
      </c>
      <c r="C8" s="16" t="s">
        <v>28</v>
      </c>
      <c r="E8" s="18" t="s">
        <v>37</v>
      </c>
    </row>
    <row r="9" customFormat="false" ht="13.5" hidden="false" customHeight="true" outlineLevel="0" collapsed="false">
      <c r="A9" s="14" t="s">
        <v>38</v>
      </c>
      <c r="B9" s="19" t="n">
        <v>5</v>
      </c>
      <c r="C9" s="16" t="s">
        <v>39</v>
      </c>
    </row>
    <row r="10" customFormat="false" ht="13.5" hidden="false" customHeight="true" outlineLevel="0" collapsed="false">
      <c r="A10" s="14" t="s">
        <v>40</v>
      </c>
      <c r="B10" s="19" t="n">
        <v>2</v>
      </c>
      <c r="C10" s="16" t="s">
        <v>39</v>
      </c>
    </row>
    <row r="11" customFormat="false" ht="13.5" hidden="false" customHeight="true" outlineLevel="0" collapsed="false">
      <c r="A11" s="14" t="s">
        <v>41</v>
      </c>
      <c r="B11" s="17" t="n">
        <v>0.1</v>
      </c>
      <c r="C11" s="16" t="s">
        <v>28</v>
      </c>
    </row>
  </sheetData>
  <sheetProtection sheet="true" objects="true" scenarios="true" insertColumns="false" insertRows="false" deleteColumns="false" deleteRows="false"/>
  <mergeCells count="2">
    <mergeCell ref="A1:E1"/>
    <mergeCell ref="A2:E2"/>
  </mergeCells>
  <dataValidations count="1">
    <dataValidation allowBlank="true" error="Enter a number that is zero or higher." errorStyle="stop" errorTitle="Numbers only" operator="greaterThanOrEqual" showDropDown="false" showErrorMessage="false" showInputMessage="false" sqref="B4:B1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6" min="3" style="1" width="14"/>
    <col collapsed="false" customWidth="true" hidden="false" outlineLevel="0" max="8" min="7" style="1" width="16"/>
  </cols>
  <sheetData>
    <row r="1" customFormat="false" ht="27.75" hidden="false" customHeight="true" outlineLevel="0" collapsed="false">
      <c r="A1" s="2" t="s">
        <v>42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3" t="s">
        <v>43</v>
      </c>
      <c r="B2" s="3"/>
      <c r="C2" s="3"/>
      <c r="D2" s="3"/>
      <c r="E2" s="3"/>
      <c r="F2" s="3"/>
      <c r="G2" s="3"/>
      <c r="H2" s="3"/>
    </row>
    <row r="3" customFormat="false" ht="13.5" hidden="false" customHeight="true" outlineLevel="0" collapsed="false"/>
    <row r="4" customFormat="false" ht="21.75" hidden="false" customHeight="true" outlineLevel="0" collapsed="false">
      <c r="A4" s="20" t="s">
        <v>44</v>
      </c>
      <c r="B4" s="21" t="s">
        <v>45</v>
      </c>
      <c r="C4" s="21"/>
      <c r="J4" s="8" t="s">
        <v>46</v>
      </c>
    </row>
    <row r="5" customFormat="false" ht="21.75" hidden="false" customHeight="true" outlineLevel="0" collapsed="false">
      <c r="A5" s="20" t="s">
        <v>47</v>
      </c>
      <c r="B5" s="21" t="s">
        <v>48</v>
      </c>
      <c r="C5" s="21"/>
      <c r="J5" s="22" t="s">
        <v>49</v>
      </c>
      <c r="K5" s="23" t="n">
        <f aca="false">ROUND(SUM(H15:H29)-B11,2)</f>
        <v>585</v>
      </c>
    </row>
    <row r="6" customFormat="false" ht="21.75" hidden="false" customHeight="true" outlineLevel="0" collapsed="false">
      <c r="A6" s="20" t="s">
        <v>50</v>
      </c>
      <c r="B6" s="21" t="s">
        <v>51</v>
      </c>
      <c r="C6" s="21"/>
      <c r="J6" s="22" t="s">
        <v>52</v>
      </c>
      <c r="K6" s="23" t="n">
        <f aca="false">COUNTIF(B15:B29,"&lt;&gt;")</f>
        <v>2</v>
      </c>
    </row>
    <row r="7" customFormat="false" ht="21.75" hidden="false" customHeight="true" outlineLevel="0" collapsed="false">
      <c r="A7" s="20" t="s">
        <v>53</v>
      </c>
      <c r="B7" s="21" t="s">
        <v>51</v>
      </c>
      <c r="C7" s="21"/>
      <c r="J7" s="22" t="s">
        <v>54</v>
      </c>
      <c r="K7" s="23" t="n">
        <f aca="false">COUNTIF(F15:F29,"yes")</f>
        <v>1</v>
      </c>
    </row>
    <row r="8" customFormat="false" ht="21.75" hidden="false" customHeight="true" outlineLevel="0" collapsed="false">
      <c r="A8" s="20" t="s">
        <v>55</v>
      </c>
      <c r="B8" s="21" t="s">
        <v>51</v>
      </c>
      <c r="C8" s="21"/>
    </row>
    <row r="9" customFormat="false" ht="21.75" hidden="false" customHeight="true" outlineLevel="0" collapsed="false">
      <c r="A9" s="20" t="s">
        <v>56</v>
      </c>
      <c r="B9" s="21" t="s">
        <v>57</v>
      </c>
      <c r="C9" s="21"/>
    </row>
    <row r="10" customFormat="false" ht="21.75" hidden="false" customHeight="true" outlineLevel="0" collapsed="false">
      <c r="A10" s="20" t="s">
        <v>58</v>
      </c>
      <c r="B10" s="21" t="n">
        <v>5</v>
      </c>
      <c r="C10" s="21"/>
    </row>
    <row r="11" customFormat="false" ht="21.75" hidden="false" customHeight="true" outlineLevel="0" collapsed="false">
      <c r="A11" s="20" t="s">
        <v>59</v>
      </c>
      <c r="B11" s="21" t="n">
        <v>0</v>
      </c>
      <c r="C11" s="21"/>
    </row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>
      <c r="A14" s="24" t="s">
        <v>60</v>
      </c>
      <c r="B14" s="25" t="s">
        <v>61</v>
      </c>
      <c r="C14" s="25" t="s">
        <v>62</v>
      </c>
      <c r="D14" s="25" t="s">
        <v>63</v>
      </c>
      <c r="E14" s="25" t="s">
        <v>64</v>
      </c>
      <c r="F14" s="25" t="s">
        <v>65</v>
      </c>
      <c r="G14" s="25" t="s">
        <v>66</v>
      </c>
      <c r="H14" s="26" t="s">
        <v>67</v>
      </c>
    </row>
    <row r="15" customFormat="false" ht="13.5" hidden="false" customHeight="true" outlineLevel="0" collapsed="false">
      <c r="A15" s="27" t="n">
        <v>1</v>
      </c>
      <c r="B15" s="28" t="s">
        <v>68</v>
      </c>
      <c r="C15" s="29" t="n">
        <v>3</v>
      </c>
      <c r="D15" s="30"/>
      <c r="E15" s="30" t="n">
        <v>60</v>
      </c>
      <c r="F15" s="31" t="s">
        <v>51</v>
      </c>
      <c r="G15" s="32" t="n">
        <f aca="false">IF(B15="","",ROUND(C15*IF(D15="",Assumptions!$B$4,D15),2))</f>
        <v>225</v>
      </c>
      <c r="H15" s="33" t="n">
        <f aca="false">IF(B15="","",ROUND(G15+(E15*(1+Assumptions!$B$11))+IF(F15="yes",Assumptions!$B$7,0),2))</f>
        <v>336</v>
      </c>
    </row>
    <row r="16" customFormat="false" ht="13.5" hidden="false" customHeight="true" outlineLevel="0" collapsed="false">
      <c r="A16" s="27" t="n">
        <v>2</v>
      </c>
      <c r="B16" s="28" t="s">
        <v>69</v>
      </c>
      <c r="C16" s="29" t="n">
        <v>2</v>
      </c>
      <c r="D16" s="30"/>
      <c r="E16" s="30" t="n">
        <v>90</v>
      </c>
      <c r="F16" s="31" t="s">
        <v>57</v>
      </c>
      <c r="G16" s="32" t="n">
        <f aca="false">IF(B16="","",ROUND(C16*IF(D16="",Assumptions!$B$4,D16),2))</f>
        <v>150</v>
      </c>
      <c r="H16" s="33" t="n">
        <f aca="false">IF(B16="","",ROUND(G16+(E16*(1+Assumptions!$B$11))+IF(F16="yes",Assumptions!$B$7,0),2))</f>
        <v>249</v>
      </c>
    </row>
    <row r="17" customFormat="false" ht="13.5" hidden="false" customHeight="true" outlineLevel="0" collapsed="false">
      <c r="A17" s="27" t="n">
        <v>3</v>
      </c>
      <c r="B17" s="28"/>
      <c r="C17" s="29"/>
      <c r="D17" s="30"/>
      <c r="E17" s="30"/>
      <c r="F17" s="31"/>
      <c r="G17" s="32" t="str">
        <f aca="false">IF(B17="","",ROUND(C17*IF(D17="",Assumptions!$B$4,D17),2))</f>
        <v/>
      </c>
      <c r="H17" s="33" t="str">
        <f aca="false">IF(B17="","",ROUND(G17+(E17*(1+Assumptions!$B$11))+IF(F17="yes",Assumptions!$B$7,0),2))</f>
        <v/>
      </c>
    </row>
    <row r="18" customFormat="false" ht="13.5" hidden="false" customHeight="true" outlineLevel="0" collapsed="false">
      <c r="A18" s="27" t="n">
        <v>4</v>
      </c>
      <c r="B18" s="28"/>
      <c r="C18" s="29"/>
      <c r="D18" s="30"/>
      <c r="E18" s="30"/>
      <c r="F18" s="31"/>
      <c r="G18" s="32" t="str">
        <f aca="false">IF(B18="","",ROUND(C18*IF(D18="",Assumptions!$B$4,D18),2))</f>
        <v/>
      </c>
      <c r="H18" s="33" t="str">
        <f aca="false">IF(B18="","",ROUND(G18+(E18*(1+Assumptions!$B$11))+IF(F18="yes",Assumptions!$B$7,0),2))</f>
        <v/>
      </c>
    </row>
    <row r="19" customFormat="false" ht="13.5" hidden="false" customHeight="true" outlineLevel="0" collapsed="false">
      <c r="A19" s="27" t="n">
        <v>5</v>
      </c>
      <c r="B19" s="28"/>
      <c r="C19" s="29"/>
      <c r="D19" s="30"/>
      <c r="E19" s="30"/>
      <c r="F19" s="31"/>
      <c r="G19" s="32" t="str">
        <f aca="false">IF(B19="","",ROUND(C19*IF(D19="",Assumptions!$B$4,D19),2))</f>
        <v/>
      </c>
      <c r="H19" s="33" t="str">
        <f aca="false">IF(B19="","",ROUND(G19+(E19*(1+Assumptions!$B$11))+IF(F19="yes",Assumptions!$B$7,0),2))</f>
        <v/>
      </c>
    </row>
    <row r="20" customFormat="false" ht="13.5" hidden="false" customHeight="true" outlineLevel="0" collapsed="false">
      <c r="A20" s="27" t="n">
        <v>6</v>
      </c>
      <c r="B20" s="28"/>
      <c r="C20" s="29"/>
      <c r="D20" s="30"/>
      <c r="E20" s="30"/>
      <c r="F20" s="31"/>
      <c r="G20" s="32" t="str">
        <f aca="false">IF(B20="","",ROUND(C20*IF(D20="",Assumptions!$B$4,D20),2))</f>
        <v/>
      </c>
      <c r="H20" s="33" t="str">
        <f aca="false">IF(B20="","",ROUND(G20+(E20*(1+Assumptions!$B$11))+IF(F20="yes",Assumptions!$B$7,0),2))</f>
        <v/>
      </c>
    </row>
    <row r="21" customFormat="false" ht="13.5" hidden="false" customHeight="true" outlineLevel="0" collapsed="false">
      <c r="A21" s="27" t="n">
        <v>7</v>
      </c>
      <c r="B21" s="28"/>
      <c r="C21" s="29"/>
      <c r="D21" s="30"/>
      <c r="E21" s="30"/>
      <c r="F21" s="31"/>
      <c r="G21" s="32" t="str">
        <f aca="false">IF(B21="","",ROUND(C21*IF(D21="",Assumptions!$B$4,D21),2))</f>
        <v/>
      </c>
      <c r="H21" s="33" t="str">
        <f aca="false">IF(B21="","",ROUND(G21+(E21*(1+Assumptions!$B$11))+IF(F21="yes",Assumptions!$B$7,0),2))</f>
        <v/>
      </c>
    </row>
    <row r="22" customFormat="false" ht="13.5" hidden="false" customHeight="true" outlineLevel="0" collapsed="false">
      <c r="A22" s="27" t="n">
        <v>8</v>
      </c>
      <c r="B22" s="28"/>
      <c r="C22" s="29"/>
      <c r="D22" s="30"/>
      <c r="E22" s="30"/>
      <c r="F22" s="31"/>
      <c r="G22" s="32" t="str">
        <f aca="false">IF(B22="","",ROUND(C22*IF(D22="",Assumptions!$B$4,D22),2))</f>
        <v/>
      </c>
      <c r="H22" s="33" t="str">
        <f aca="false">IF(B22="","",ROUND(G22+(E22*(1+Assumptions!$B$11))+IF(F22="yes",Assumptions!$B$7,0),2))</f>
        <v/>
      </c>
    </row>
    <row r="23" customFormat="false" ht="13.5" hidden="false" customHeight="true" outlineLevel="0" collapsed="false">
      <c r="A23" s="27" t="n">
        <v>9</v>
      </c>
      <c r="B23" s="28"/>
      <c r="C23" s="29"/>
      <c r="D23" s="30"/>
      <c r="E23" s="30"/>
      <c r="F23" s="31"/>
      <c r="G23" s="32" t="str">
        <f aca="false">IF(B23="","",ROUND(C23*IF(D23="",Assumptions!$B$4,D23),2))</f>
        <v/>
      </c>
      <c r="H23" s="33" t="str">
        <f aca="false">IF(B23="","",ROUND(G23+(E23*(1+Assumptions!$B$11))+IF(F23="yes",Assumptions!$B$7,0),2))</f>
        <v/>
      </c>
    </row>
    <row r="24" customFormat="false" ht="13.5" hidden="false" customHeight="true" outlineLevel="0" collapsed="false">
      <c r="A24" s="27" t="n">
        <v>10</v>
      </c>
      <c r="B24" s="28"/>
      <c r="C24" s="29"/>
      <c r="D24" s="30"/>
      <c r="E24" s="30"/>
      <c r="F24" s="31"/>
      <c r="G24" s="32" t="str">
        <f aca="false">IF(B24="","",ROUND(C24*IF(D24="",Assumptions!$B$4,D24),2))</f>
        <v/>
      </c>
      <c r="H24" s="33" t="str">
        <f aca="false">IF(B24="","",ROUND(G24+(E24*(1+Assumptions!$B$11))+IF(F24="yes",Assumptions!$B$7,0),2))</f>
        <v/>
      </c>
    </row>
    <row r="25" customFormat="false" ht="13.5" hidden="false" customHeight="true" outlineLevel="0" collapsed="false">
      <c r="A25" s="27" t="n">
        <v>11</v>
      </c>
      <c r="B25" s="28"/>
      <c r="C25" s="29"/>
      <c r="D25" s="30"/>
      <c r="E25" s="30"/>
      <c r="F25" s="31"/>
      <c r="G25" s="32" t="str">
        <f aca="false">IF(B25="","",ROUND(C25*IF(D25="",Assumptions!$B$4,D25),2))</f>
        <v/>
      </c>
      <c r="H25" s="33" t="str">
        <f aca="false">IF(B25="","",ROUND(G25+(E25*(1+Assumptions!$B$11))+IF(F25="yes",Assumptions!$B$7,0),2))</f>
        <v/>
      </c>
    </row>
    <row r="26" customFormat="false" ht="13.5" hidden="false" customHeight="true" outlineLevel="0" collapsed="false">
      <c r="A26" s="27" t="n">
        <v>12</v>
      </c>
      <c r="B26" s="28"/>
      <c r="C26" s="29"/>
      <c r="D26" s="30"/>
      <c r="E26" s="30"/>
      <c r="F26" s="31"/>
      <c r="G26" s="32" t="str">
        <f aca="false">IF(B26="","",ROUND(C26*IF(D26="",Assumptions!$B$4,D26),2))</f>
        <v/>
      </c>
      <c r="H26" s="33" t="str">
        <f aca="false">IF(B26="","",ROUND(G26+(E26*(1+Assumptions!$B$11))+IF(F26="yes",Assumptions!$B$7,0),2))</f>
        <v/>
      </c>
    </row>
    <row r="27" customFormat="false" ht="13.5" hidden="false" customHeight="true" outlineLevel="0" collapsed="false">
      <c r="A27" s="27" t="n">
        <v>13</v>
      </c>
      <c r="B27" s="28"/>
      <c r="C27" s="29"/>
      <c r="D27" s="30"/>
      <c r="E27" s="30"/>
      <c r="F27" s="31"/>
      <c r="G27" s="32" t="str">
        <f aca="false">IF(B27="","",ROUND(C27*IF(D27="",Assumptions!$B$4,D27),2))</f>
        <v/>
      </c>
      <c r="H27" s="33" t="str">
        <f aca="false">IF(B27="","",ROUND(G27+(E27*(1+Assumptions!$B$11))+IF(F27="yes",Assumptions!$B$7,0),2))</f>
        <v/>
      </c>
    </row>
    <row r="28" customFormat="false" ht="13.5" hidden="false" customHeight="true" outlineLevel="0" collapsed="false">
      <c r="A28" s="27" t="n">
        <v>14</v>
      </c>
      <c r="B28" s="28"/>
      <c r="C28" s="29"/>
      <c r="D28" s="30"/>
      <c r="E28" s="30"/>
      <c r="F28" s="31"/>
      <c r="G28" s="32" t="str">
        <f aca="false">IF(B28="","",ROUND(C28*IF(D28="",Assumptions!$B$4,D28),2))</f>
        <v/>
      </c>
      <c r="H28" s="33" t="str">
        <f aca="false">IF(B28="","",ROUND(G28+(E28*(1+Assumptions!$B$11))+IF(F28="yes",Assumptions!$B$7,0),2))</f>
        <v/>
      </c>
    </row>
    <row r="29" customFormat="false" ht="13.5" hidden="false" customHeight="true" outlineLevel="0" collapsed="false">
      <c r="A29" s="27" t="n">
        <v>15</v>
      </c>
      <c r="B29" s="28"/>
      <c r="C29" s="29"/>
      <c r="D29" s="30"/>
      <c r="E29" s="30"/>
      <c r="F29" s="31"/>
      <c r="G29" s="32" t="str">
        <f aca="false">IF(B29="","",ROUND(C29*IF(D29="",Assumptions!$B$4,D29),2))</f>
        <v/>
      </c>
      <c r="H29" s="33" t="str">
        <f aca="false">IF(B29="","",ROUND(G29+(E29*(1+Assumptions!$B$11))+IF(F29="yes",Assumptions!$B$7,0),2))</f>
        <v/>
      </c>
    </row>
  </sheetData>
  <sheetProtection sheet="true" objects="true" scenarios="true" insertColumns="false" insertRows="false" deleteColumns="false" deleteRows="false"/>
  <mergeCells count="10">
    <mergeCell ref="A1:H1"/>
    <mergeCell ref="A2:H2"/>
    <mergeCell ref="B4:C4"/>
    <mergeCell ref="B5:C5"/>
    <mergeCell ref="B6:C6"/>
    <mergeCell ref="B7:C7"/>
    <mergeCell ref="B8:C8"/>
    <mergeCell ref="B9:C9"/>
    <mergeCell ref="B10:C10"/>
    <mergeCell ref="B11:C11"/>
  </mergeCells>
  <dataValidations count="4">
    <dataValidation allowBlank="false" error="Pick yes or no from the dropdown." errorStyle="stop" errorTitle="Use yes or no" operator="equal" prompt="Use yes or no." promptTitle="Allowed values" showDropDown="false" showErrorMessage="false" showInputMessage="false" sqref="B6:B9" type="list">
      <formula1>"yes,no"</formula1>
      <formula2>0</formula2>
    </dataValidation>
    <dataValidation allowBlank="true" error="Enter a number that is zero or higher." errorStyle="stop" errorTitle="Numbers only" operator="greaterThanOrEqual" showDropDown="false" showErrorMessage="false" showInputMessage="false" sqref="B10:B11" type="decimal">
      <formula1>0</formula1>
      <formula2>0</formula2>
    </dataValidation>
    <dataValidation allowBlank="true" error="Enter a number that is zero or higher." errorStyle="stop" errorTitle="Numbers only" operator="greaterThanOrEqual" showDropDown="false" showErrorMessage="false" showInputMessage="false" sqref="C15:E29" type="decimal">
      <formula1>0</formula1>
      <formula2>0</formula2>
    </dataValidation>
    <dataValidation allowBlank="false" error="Pick yes or no from the dropdown." errorStyle="stop" errorTitle="Use yes or no" operator="equal" prompt="Use yes or no." promptTitle="Allowed values" showDropDown="false" showErrorMessage="false" showInputMessage="false" sqref="F15:F2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18"/>
    <col collapsed="false" customWidth="true" hidden="false" outlineLevel="0" max="5" min="5" style="1" width="20"/>
    <col collapsed="false" customWidth="true" hidden="false" outlineLevel="0" max="6" min="6" style="1" width="24"/>
  </cols>
  <sheetData>
    <row r="1" customFormat="false" ht="27.75" hidden="false" customHeight="true" outlineLevel="0" collapsed="false">
      <c r="A1" s="2" t="s">
        <v>70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3" t="s">
        <v>71</v>
      </c>
      <c r="B2" s="3"/>
      <c r="C2" s="3"/>
      <c r="D2" s="3"/>
      <c r="E2" s="3"/>
      <c r="F2" s="3"/>
    </row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24" hidden="false" customHeight="true" outlineLevel="0" collapsed="false">
      <c r="A8" s="34" t="s">
        <v>72</v>
      </c>
      <c r="B8" s="35" t="n">
        <f aca="false">ROUND(SUM('Scope Inputs'!H15:H29)*(1+IF('Scope Inputs'!B9="yes",Assumptions!$B$8,0))-'Scope Inputs'!B11,2)</f>
        <v>585</v>
      </c>
      <c r="D8" s="8" t="s">
        <v>73</v>
      </c>
    </row>
    <row r="9" customFormat="false" ht="24" hidden="false" customHeight="true" outlineLevel="0" collapsed="false">
      <c r="A9" s="34" t="s">
        <v>74</v>
      </c>
      <c r="B9" s="35" t="n">
        <f aca="false">ROUND(B8*Assumptions!$B$5,2)</f>
        <v>175.5</v>
      </c>
      <c r="D9" s="11" t="s">
        <v>75</v>
      </c>
      <c r="E9" s="11"/>
      <c r="F9" s="11"/>
    </row>
    <row r="10" customFormat="false" ht="24" hidden="false" customHeight="true" outlineLevel="0" collapsed="false">
      <c r="A10" s="34" t="s">
        <v>76</v>
      </c>
      <c r="B10" s="36" t="str">
        <f aca="false">IF('Scope Inputs'!B9="yes",TEXT(Assumptions!$B$10,"0")&amp;" business days",TEXT(Assumptions!$B$9,"0")&amp;" business days")</f>
        <v>5 business days</v>
      </c>
      <c r="D10" s="11" t="s">
        <v>77</v>
      </c>
      <c r="E10" s="11"/>
      <c r="F10" s="11"/>
    </row>
    <row r="11" customFormat="false" ht="13.5" hidden="false" customHeight="true" outlineLevel="0" collapsed="false">
      <c r="D11" s="11" t="s">
        <v>78</v>
      </c>
      <c r="E11" s="11"/>
      <c r="F11" s="11"/>
    </row>
    <row r="12" customFormat="false" ht="30" hidden="false" customHeight="true" outlineLevel="0" collapsed="false">
      <c r="A12" s="34" t="s">
        <v>79</v>
      </c>
      <c r="B12" s="36" t="str">
        <f aca="false">IF(OR('Scope Inputs'!B4="",'Scope Inputs'!B5="",'Scope Inputs'!B6&lt;&gt;"yes",'Scope Inputs'!B7&lt;&gt;"yes",'Scope Inputs'!B8&lt;&gt;"yes",COUNTIF('Scope Inputs'!B15:B29,"&lt;&gt;")=0),"clarify_scope",IF(AND('Scope Inputs'!B9="yes",'Scope Inputs'!B10&lt;Assumptions!$B$10),"unrealistic_timeline",IF(B8&lt;Assumptions!$B$6,"below_floor","send_ready")))</f>
        <v>send_ready</v>
      </c>
      <c r="D12" s="11" t="s">
        <v>80</v>
      </c>
      <c r="E12" s="11"/>
      <c r="F12" s="11"/>
    </row>
    <row r="13" customFormat="false" ht="30" hidden="false" customHeight="true" outlineLevel="0" collapsed="false">
      <c r="A13" s="34" t="s">
        <v>81</v>
      </c>
      <c r="B13" s="37" t="str">
        <f aca="false">IF(B12="clarify_scope","Ask for missing scope details before sending the quote",IF(B12="unrealistic_timeline","Reset delivery expectation before sending",IF(B12="below_floor","Raise scope, remove discount, or decline the job","Send the quote with deposit and timeline")))</f>
        <v>Send the quote with deposit and timeline</v>
      </c>
    </row>
    <row r="14" customFormat="false" ht="13.5" hidden="false" customHeight="true" outlineLevel="0" collapsed="false"/>
    <row r="15" customFormat="false" ht="24" hidden="false" customHeight="true" outlineLevel="0" collapsed="false">
      <c r="A15" s="34" t="s">
        <v>82</v>
      </c>
      <c r="B15" s="35" t="n">
        <f aca="false">Assumptions!$B$6</f>
        <v>250</v>
      </c>
      <c r="D15" s="8" t="s">
        <v>83</v>
      </c>
    </row>
    <row r="16" customFormat="false" ht="24" hidden="false" customHeight="true" outlineLevel="0" collapsed="false">
      <c r="A16" s="34" t="s">
        <v>84</v>
      </c>
      <c r="B16" s="35" t="n">
        <f aca="false">ROUND(B8-B15,2)</f>
        <v>335</v>
      </c>
      <c r="D16" s="11" t="s">
        <v>85</v>
      </c>
      <c r="E16" s="11"/>
      <c r="F16" s="11"/>
    </row>
    <row r="17" customFormat="false" ht="13.5" hidden="false" customHeight="true" outlineLevel="0" collapsed="false">
      <c r="D17" s="11" t="s">
        <v>86</v>
      </c>
      <c r="E17" s="11"/>
      <c r="F17" s="11"/>
    </row>
    <row r="18" customFormat="false" ht="13.5" hidden="false" customHeight="true" outlineLevel="0" collapsed="false">
      <c r="D18" s="11" t="s">
        <v>87</v>
      </c>
      <c r="E18" s="11"/>
      <c r="F18" s="11"/>
    </row>
  </sheetData>
  <sheetProtection sheet="true" objects="true" scenarios="true" insertColumns="false" insertRows="false" deleteColumns="false" deleteRows="false"/>
  <mergeCells count="9">
    <mergeCell ref="A1:F1"/>
    <mergeCell ref="A2:F2"/>
    <mergeCell ref="D9:F9"/>
    <mergeCell ref="D10:F10"/>
    <mergeCell ref="D11:F11"/>
    <mergeCell ref="D12:F12"/>
    <mergeCell ref="D16:F16"/>
    <mergeCell ref="D17:F17"/>
    <mergeCell ref="D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28"/>
    <col collapsed="false" customWidth="true" hidden="false" outlineLevel="0" max="8" min="8" style="1" width="20"/>
    <col collapsed="false" customWidth="true" hidden="false" outlineLevel="0" max="9" min="9" style="1" width="18"/>
    <col collapsed="false" customWidth="true" hidden="false" outlineLevel="0" max="10" min="10" style="1" width="14"/>
  </cols>
  <sheetData>
    <row r="1" customFormat="false" ht="27.75" hidden="false" customHeight="true" outlineLevel="0" collapsed="false">
      <c r="A1" s="2" t="s">
        <v>88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>
      <c r="A2" s="3" t="s">
        <v>89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3.5" hidden="false" customHeight="true" outlineLevel="0" collapsed="false"/>
    <row r="4" customFormat="false" ht="12.75" hidden="false" customHeight="true" outlineLevel="0" collapsed="false">
      <c r="A4" s="24" t="s">
        <v>90</v>
      </c>
      <c r="B4" s="25" t="s">
        <v>91</v>
      </c>
      <c r="C4" s="25" t="s">
        <v>47</v>
      </c>
      <c r="D4" s="25" t="s">
        <v>72</v>
      </c>
      <c r="E4" s="25" t="s">
        <v>92</v>
      </c>
      <c r="F4" s="25" t="s">
        <v>76</v>
      </c>
      <c r="G4" s="25" t="s">
        <v>93</v>
      </c>
      <c r="H4" s="25" t="s">
        <v>94</v>
      </c>
      <c r="I4" s="25" t="s">
        <v>95</v>
      </c>
      <c r="J4" s="26" t="s">
        <v>96</v>
      </c>
    </row>
    <row r="5" customFormat="false" ht="27.75" hidden="false" customHeight="true" outlineLevel="0" collapsed="false">
      <c r="A5" s="38" t="s">
        <v>97</v>
      </c>
      <c r="B5" s="28" t="s">
        <v>45</v>
      </c>
      <c r="C5" s="28" t="s">
        <v>48</v>
      </c>
      <c r="D5" s="30" t="n">
        <v>585</v>
      </c>
      <c r="E5" s="30" t="n">
        <v>175.5</v>
      </c>
      <c r="F5" s="31" t="s">
        <v>98</v>
      </c>
      <c r="G5" s="28" t="s">
        <v>99</v>
      </c>
      <c r="H5" s="39" t="s">
        <v>100</v>
      </c>
      <c r="I5" s="39" t="s">
        <v>101</v>
      </c>
      <c r="J5" s="40" t="n">
        <v>1</v>
      </c>
    </row>
    <row r="6" customFormat="false" ht="41.25" hidden="false" customHeight="true" outlineLevel="0" collapsed="false">
      <c r="A6" s="38" t="s">
        <v>97</v>
      </c>
      <c r="B6" s="28" t="s">
        <v>102</v>
      </c>
      <c r="C6" s="28" t="s">
        <v>103</v>
      </c>
      <c r="D6" s="30" t="n">
        <v>188.5</v>
      </c>
      <c r="E6" s="30" t="n">
        <v>56.55</v>
      </c>
      <c r="F6" s="31" t="s">
        <v>98</v>
      </c>
      <c r="G6" s="28" t="s">
        <v>104</v>
      </c>
      <c r="H6" s="39" t="s">
        <v>105</v>
      </c>
      <c r="I6" s="39" t="s">
        <v>106</v>
      </c>
      <c r="J6" s="40" t="n">
        <v>1</v>
      </c>
    </row>
    <row r="7" customFormat="false" ht="12.75" hidden="false" customHeight="true" outlineLevel="0" collapsed="false">
      <c r="A7" s="38"/>
      <c r="B7" s="28"/>
      <c r="C7" s="28"/>
      <c r="D7" s="30"/>
      <c r="E7" s="30"/>
      <c r="F7" s="31"/>
      <c r="G7" s="28"/>
      <c r="H7" s="39"/>
      <c r="I7" s="39"/>
      <c r="J7" s="40"/>
    </row>
    <row r="8" customFormat="false" ht="12.75" hidden="false" customHeight="true" outlineLevel="0" collapsed="false">
      <c r="A8" s="38"/>
      <c r="B8" s="28"/>
      <c r="C8" s="28"/>
      <c r="D8" s="30"/>
      <c r="E8" s="30"/>
      <c r="F8" s="31"/>
      <c r="G8" s="28"/>
      <c r="H8" s="39"/>
      <c r="I8" s="39"/>
      <c r="J8" s="40"/>
    </row>
    <row r="9" customFormat="false" ht="12.75" hidden="false" customHeight="true" outlineLevel="0" collapsed="false">
      <c r="A9" s="38"/>
      <c r="B9" s="28"/>
      <c r="C9" s="28"/>
      <c r="D9" s="30"/>
      <c r="E9" s="30"/>
      <c r="F9" s="31"/>
      <c r="G9" s="28"/>
      <c r="H9" s="39"/>
      <c r="I9" s="39"/>
      <c r="J9" s="40"/>
    </row>
    <row r="10" customFormat="false" ht="12.75" hidden="false" customHeight="true" outlineLevel="0" collapsed="false">
      <c r="A10" s="38"/>
      <c r="B10" s="28"/>
      <c r="C10" s="28"/>
      <c r="D10" s="30"/>
      <c r="E10" s="30"/>
      <c r="F10" s="31"/>
      <c r="G10" s="28"/>
      <c r="H10" s="39"/>
      <c r="I10" s="39"/>
      <c r="J10" s="40"/>
    </row>
    <row r="11" customFormat="false" ht="12.75" hidden="false" customHeight="true" outlineLevel="0" collapsed="false">
      <c r="A11" s="38"/>
      <c r="B11" s="28"/>
      <c r="C11" s="28"/>
      <c r="D11" s="30"/>
      <c r="E11" s="30"/>
      <c r="F11" s="31"/>
      <c r="G11" s="28"/>
      <c r="H11" s="39"/>
      <c r="I11" s="39"/>
      <c r="J11" s="40"/>
    </row>
    <row r="12" customFormat="false" ht="12.75" hidden="false" customHeight="true" outlineLevel="0" collapsed="false">
      <c r="A12" s="38"/>
      <c r="B12" s="28"/>
      <c r="C12" s="28"/>
      <c r="D12" s="30"/>
      <c r="E12" s="30"/>
      <c r="F12" s="31"/>
      <c r="G12" s="28"/>
      <c r="H12" s="39"/>
      <c r="I12" s="39"/>
      <c r="J12" s="40"/>
    </row>
    <row r="13" customFormat="false" ht="12.75" hidden="false" customHeight="true" outlineLevel="0" collapsed="false">
      <c r="A13" s="38"/>
      <c r="B13" s="28"/>
      <c r="C13" s="28"/>
      <c r="D13" s="30"/>
      <c r="E13" s="30"/>
      <c r="F13" s="31"/>
      <c r="G13" s="28"/>
      <c r="H13" s="39"/>
      <c r="I13" s="39"/>
      <c r="J13" s="40"/>
    </row>
    <row r="14" customFormat="false" ht="12.75" hidden="false" customHeight="true" outlineLevel="0" collapsed="false">
      <c r="A14" s="38"/>
      <c r="B14" s="28"/>
      <c r="C14" s="28"/>
      <c r="D14" s="30"/>
      <c r="E14" s="30"/>
      <c r="F14" s="31"/>
      <c r="G14" s="28"/>
      <c r="H14" s="39"/>
      <c r="I14" s="39"/>
      <c r="J14" s="40"/>
    </row>
    <row r="15" customFormat="false" ht="12.75" hidden="false" customHeight="true" outlineLevel="0" collapsed="false">
      <c r="A15" s="38"/>
      <c r="B15" s="28"/>
      <c r="C15" s="28"/>
      <c r="D15" s="30"/>
      <c r="E15" s="30"/>
      <c r="F15" s="31"/>
      <c r="G15" s="28"/>
      <c r="H15" s="39"/>
      <c r="I15" s="39"/>
      <c r="J15" s="40"/>
    </row>
    <row r="16" customFormat="false" ht="12.75" hidden="false" customHeight="true" outlineLevel="0" collapsed="false">
      <c r="A16" s="38"/>
      <c r="B16" s="28"/>
      <c r="C16" s="28"/>
      <c r="D16" s="30"/>
      <c r="E16" s="30"/>
      <c r="F16" s="31"/>
      <c r="G16" s="28"/>
      <c r="H16" s="39"/>
      <c r="I16" s="39"/>
      <c r="J16" s="40"/>
    </row>
    <row r="17" customFormat="false" ht="12.75" hidden="false" customHeight="true" outlineLevel="0" collapsed="false">
      <c r="A17" s="38"/>
      <c r="B17" s="28"/>
      <c r="C17" s="28"/>
      <c r="D17" s="30"/>
      <c r="E17" s="30"/>
      <c r="F17" s="31"/>
      <c r="G17" s="28"/>
      <c r="H17" s="39"/>
      <c r="I17" s="39"/>
      <c r="J17" s="40"/>
    </row>
    <row r="18" customFormat="false" ht="12.75" hidden="false" customHeight="true" outlineLevel="0" collapsed="false">
      <c r="A18" s="38"/>
      <c r="B18" s="28"/>
      <c r="C18" s="28"/>
      <c r="D18" s="30"/>
      <c r="E18" s="30"/>
      <c r="F18" s="31"/>
      <c r="G18" s="28"/>
      <c r="H18" s="39"/>
      <c r="I18" s="39"/>
      <c r="J18" s="40"/>
    </row>
    <row r="19" customFormat="false" ht="12.75" hidden="false" customHeight="true" outlineLevel="0" collapsed="false">
      <c r="A19" s="38"/>
      <c r="B19" s="28"/>
      <c r="C19" s="28"/>
      <c r="D19" s="30"/>
      <c r="E19" s="30"/>
      <c r="F19" s="31"/>
      <c r="G19" s="28"/>
      <c r="H19" s="39"/>
      <c r="I19" s="39"/>
      <c r="J19" s="40"/>
    </row>
    <row r="20" customFormat="false" ht="12.75" hidden="false" customHeight="true" outlineLevel="0" collapsed="false">
      <c r="A20" s="38"/>
      <c r="B20" s="28"/>
      <c r="C20" s="28"/>
      <c r="D20" s="30"/>
      <c r="E20" s="30"/>
      <c r="F20" s="31"/>
      <c r="G20" s="28"/>
      <c r="H20" s="39"/>
      <c r="I20" s="39"/>
      <c r="J20" s="40"/>
    </row>
    <row r="21" customFormat="false" ht="12.75" hidden="false" customHeight="true" outlineLevel="0" collapsed="false">
      <c r="A21" s="38"/>
      <c r="B21" s="28"/>
      <c r="C21" s="28"/>
      <c r="D21" s="30"/>
      <c r="E21" s="30"/>
      <c r="F21" s="31"/>
      <c r="G21" s="28"/>
      <c r="H21" s="39"/>
      <c r="I21" s="39"/>
      <c r="J21" s="40"/>
    </row>
    <row r="22" customFormat="false" ht="12.75" hidden="false" customHeight="true" outlineLevel="0" collapsed="false">
      <c r="A22" s="38"/>
      <c r="B22" s="28"/>
      <c r="C22" s="28"/>
      <c r="D22" s="30"/>
      <c r="E22" s="30"/>
      <c r="F22" s="31"/>
      <c r="G22" s="28"/>
      <c r="H22" s="39"/>
      <c r="I22" s="39"/>
      <c r="J22" s="40"/>
    </row>
    <row r="23" customFormat="false" ht="12.75" hidden="false" customHeight="true" outlineLevel="0" collapsed="false">
      <c r="A23" s="38"/>
      <c r="B23" s="28"/>
      <c r="C23" s="28"/>
      <c r="D23" s="30"/>
      <c r="E23" s="30"/>
      <c r="F23" s="31"/>
      <c r="G23" s="28"/>
      <c r="H23" s="39"/>
      <c r="I23" s="39"/>
      <c r="J23" s="40"/>
    </row>
    <row r="24" customFormat="false" ht="12.75" hidden="false" customHeight="true" outlineLevel="0" collapsed="false">
      <c r="A24" s="38"/>
      <c r="B24" s="28"/>
      <c r="C24" s="28"/>
      <c r="D24" s="30"/>
      <c r="E24" s="30"/>
      <c r="F24" s="31"/>
      <c r="G24" s="28"/>
      <c r="H24" s="39"/>
      <c r="I24" s="39"/>
      <c r="J24" s="40"/>
    </row>
    <row r="25" customFormat="false" ht="12.75" hidden="false" customHeight="true" outlineLevel="0" collapsed="false">
      <c r="A25" s="38"/>
      <c r="B25" s="28"/>
      <c r="C25" s="28"/>
      <c r="D25" s="30"/>
      <c r="E25" s="30"/>
      <c r="F25" s="31"/>
      <c r="G25" s="28"/>
      <c r="H25" s="39"/>
      <c r="I25" s="39"/>
      <c r="J25" s="40"/>
    </row>
    <row r="26" customFormat="false" ht="12.75" hidden="false" customHeight="true" outlineLevel="0" collapsed="false">
      <c r="A26" s="38"/>
      <c r="B26" s="28"/>
      <c r="C26" s="28"/>
      <c r="D26" s="30"/>
      <c r="E26" s="30"/>
      <c r="F26" s="31"/>
      <c r="G26" s="28"/>
      <c r="H26" s="39"/>
      <c r="I26" s="39"/>
      <c r="J26" s="40"/>
    </row>
    <row r="27" customFormat="false" ht="12.75" hidden="false" customHeight="true" outlineLevel="0" collapsed="false">
      <c r="A27" s="38"/>
      <c r="B27" s="28"/>
      <c r="C27" s="28"/>
      <c r="D27" s="30"/>
      <c r="E27" s="30"/>
      <c r="F27" s="31"/>
      <c r="G27" s="28"/>
      <c r="H27" s="39"/>
      <c r="I27" s="39"/>
      <c r="J27" s="40"/>
    </row>
    <row r="28" customFormat="false" ht="12.75" hidden="false" customHeight="true" outlineLevel="0" collapsed="false">
      <c r="A28" s="38"/>
      <c r="B28" s="28"/>
      <c r="C28" s="28"/>
      <c r="D28" s="30"/>
      <c r="E28" s="30"/>
      <c r="F28" s="31"/>
      <c r="G28" s="28"/>
      <c r="H28" s="39"/>
      <c r="I28" s="39"/>
      <c r="J28" s="40"/>
    </row>
    <row r="29" customFormat="false" ht="12.75" hidden="false" customHeight="true" outlineLevel="0" collapsed="false">
      <c r="A29" s="38"/>
      <c r="B29" s="28"/>
      <c r="C29" s="28"/>
      <c r="D29" s="30"/>
      <c r="E29" s="30"/>
      <c r="F29" s="31"/>
      <c r="G29" s="28"/>
      <c r="H29" s="39"/>
      <c r="I29" s="39"/>
      <c r="J29" s="40"/>
    </row>
    <row r="30" customFormat="false" ht="12.75" hidden="false" customHeight="true" outlineLevel="0" collapsed="false">
      <c r="A30" s="38"/>
      <c r="B30" s="28"/>
      <c r="C30" s="28"/>
      <c r="D30" s="30"/>
      <c r="E30" s="30"/>
      <c r="F30" s="31"/>
      <c r="G30" s="28"/>
      <c r="H30" s="39"/>
      <c r="I30" s="39"/>
      <c r="J30" s="40"/>
    </row>
    <row r="31" customFormat="false" ht="12.75" hidden="false" customHeight="true" outlineLevel="0" collapsed="false">
      <c r="A31" s="38"/>
      <c r="B31" s="28"/>
      <c r="C31" s="28"/>
      <c r="D31" s="30"/>
      <c r="E31" s="30"/>
      <c r="F31" s="31"/>
      <c r="G31" s="28"/>
      <c r="H31" s="39"/>
      <c r="I31" s="39"/>
      <c r="J31" s="40"/>
    </row>
    <row r="32" customFormat="false" ht="12.75" hidden="false" customHeight="true" outlineLevel="0" collapsed="false">
      <c r="A32" s="38"/>
      <c r="B32" s="28"/>
      <c r="C32" s="28"/>
      <c r="D32" s="30"/>
      <c r="E32" s="30"/>
      <c r="F32" s="31"/>
      <c r="G32" s="28"/>
      <c r="H32" s="39"/>
      <c r="I32" s="39"/>
      <c r="J32" s="40"/>
    </row>
    <row r="33" customFormat="false" ht="12.75" hidden="false" customHeight="true" outlineLevel="0" collapsed="false">
      <c r="A33" s="38"/>
      <c r="B33" s="28"/>
      <c r="C33" s="28"/>
      <c r="D33" s="30"/>
      <c r="E33" s="30"/>
      <c r="F33" s="31"/>
      <c r="G33" s="28"/>
      <c r="H33" s="39"/>
      <c r="I33" s="39"/>
      <c r="J33" s="40"/>
    </row>
    <row r="34" customFormat="false" ht="12.75" hidden="false" customHeight="true" outlineLevel="0" collapsed="false">
      <c r="A34" s="38"/>
      <c r="B34" s="28"/>
      <c r="C34" s="28"/>
      <c r="D34" s="30"/>
      <c r="E34" s="30"/>
      <c r="F34" s="31"/>
      <c r="G34" s="28"/>
      <c r="H34" s="39"/>
      <c r="I34" s="39"/>
      <c r="J34" s="40"/>
    </row>
    <row r="35" customFormat="false" ht="12.75" hidden="false" customHeight="true" outlineLevel="0" collapsed="false">
      <c r="A35" s="38"/>
      <c r="B35" s="28"/>
      <c r="C35" s="28"/>
      <c r="D35" s="30"/>
      <c r="E35" s="30"/>
      <c r="F35" s="31"/>
      <c r="G35" s="28"/>
      <c r="H35" s="39"/>
      <c r="I35" s="39"/>
      <c r="J35" s="40"/>
    </row>
    <row r="36" customFormat="false" ht="12.75" hidden="false" customHeight="true" outlineLevel="0" collapsed="false">
      <c r="A36" s="38"/>
      <c r="B36" s="28"/>
      <c r="C36" s="28"/>
      <c r="D36" s="30"/>
      <c r="E36" s="30"/>
      <c r="F36" s="31"/>
      <c r="G36" s="28"/>
      <c r="H36" s="39"/>
      <c r="I36" s="39"/>
      <c r="J36" s="40"/>
    </row>
    <row r="37" customFormat="false" ht="12.75" hidden="false" customHeight="true" outlineLevel="0" collapsed="false">
      <c r="A37" s="38"/>
      <c r="B37" s="28"/>
      <c r="C37" s="28"/>
      <c r="D37" s="30"/>
      <c r="E37" s="30"/>
      <c r="F37" s="31"/>
      <c r="G37" s="28"/>
      <c r="H37" s="39"/>
      <c r="I37" s="39"/>
      <c r="J37" s="40"/>
    </row>
    <row r="38" customFormat="false" ht="12.75" hidden="false" customHeight="true" outlineLevel="0" collapsed="false">
      <c r="A38" s="38"/>
      <c r="B38" s="28"/>
      <c r="C38" s="28"/>
      <c r="D38" s="30"/>
      <c r="E38" s="30"/>
      <c r="F38" s="31"/>
      <c r="G38" s="28"/>
      <c r="H38" s="39"/>
      <c r="I38" s="39"/>
      <c r="J38" s="40"/>
    </row>
    <row r="39" customFormat="false" ht="12.75" hidden="false" customHeight="true" outlineLevel="0" collapsed="false">
      <c r="A39" s="38"/>
      <c r="B39" s="28"/>
      <c r="C39" s="28"/>
      <c r="D39" s="30"/>
      <c r="E39" s="30"/>
      <c r="F39" s="31"/>
      <c r="G39" s="28"/>
      <c r="H39" s="39"/>
      <c r="I39" s="39"/>
      <c r="J39" s="40"/>
    </row>
    <row r="40" customFormat="false" ht="12.75" hidden="false" customHeight="true" outlineLevel="0" collapsed="false">
      <c r="A40" s="38"/>
      <c r="B40" s="28"/>
      <c r="C40" s="28"/>
      <c r="D40" s="30"/>
      <c r="E40" s="30"/>
      <c r="F40" s="31"/>
      <c r="G40" s="28"/>
      <c r="H40" s="39"/>
      <c r="I40" s="39"/>
      <c r="J40" s="40"/>
    </row>
    <row r="41" customFormat="false" ht="12.75" hidden="false" customHeight="true" outlineLevel="0" collapsed="false">
      <c r="A41" s="38"/>
      <c r="B41" s="28"/>
      <c r="C41" s="28"/>
      <c r="D41" s="30"/>
      <c r="E41" s="30"/>
      <c r="F41" s="31"/>
      <c r="G41" s="28"/>
      <c r="H41" s="39"/>
      <c r="I41" s="39"/>
      <c r="J41" s="40"/>
    </row>
    <row r="42" customFormat="false" ht="12.75" hidden="false" customHeight="true" outlineLevel="0" collapsed="false">
      <c r="A42" s="38"/>
      <c r="B42" s="28"/>
      <c r="C42" s="28"/>
      <c r="D42" s="30"/>
      <c r="E42" s="30"/>
      <c r="F42" s="31"/>
      <c r="G42" s="28"/>
      <c r="H42" s="39"/>
      <c r="I42" s="39"/>
      <c r="J42" s="40"/>
    </row>
    <row r="43" customFormat="false" ht="12.75" hidden="false" customHeight="true" outlineLevel="0" collapsed="false">
      <c r="A43" s="38"/>
      <c r="B43" s="28"/>
      <c r="C43" s="28"/>
      <c r="D43" s="30"/>
      <c r="E43" s="30"/>
      <c r="F43" s="31"/>
      <c r="G43" s="28"/>
      <c r="H43" s="39"/>
      <c r="I43" s="39"/>
      <c r="J43" s="40"/>
    </row>
    <row r="44" customFormat="false" ht="12.75" hidden="false" customHeight="true" outlineLevel="0" collapsed="false">
      <c r="A44" s="38"/>
      <c r="B44" s="28"/>
      <c r="C44" s="28"/>
      <c r="D44" s="30"/>
      <c r="E44" s="30"/>
      <c r="F44" s="31"/>
      <c r="G44" s="28"/>
      <c r="H44" s="39"/>
      <c r="I44" s="39"/>
      <c r="J44" s="40"/>
    </row>
    <row r="45" customFormat="false" ht="12.75" hidden="false" customHeight="true" outlineLevel="0" collapsed="false">
      <c r="A45" s="38"/>
      <c r="B45" s="28"/>
      <c r="C45" s="28"/>
      <c r="D45" s="30"/>
      <c r="E45" s="30"/>
      <c r="F45" s="31"/>
      <c r="G45" s="28"/>
      <c r="H45" s="39"/>
      <c r="I45" s="39"/>
      <c r="J45" s="40"/>
    </row>
    <row r="46" customFormat="false" ht="12.75" hidden="false" customHeight="true" outlineLevel="0" collapsed="false">
      <c r="A46" s="38"/>
      <c r="B46" s="28"/>
      <c r="C46" s="28"/>
      <c r="D46" s="30"/>
      <c r="E46" s="30"/>
      <c r="F46" s="31"/>
      <c r="G46" s="28"/>
      <c r="H46" s="39"/>
      <c r="I46" s="39"/>
      <c r="J46" s="40"/>
    </row>
    <row r="47" customFormat="false" ht="12.75" hidden="false" customHeight="true" outlineLevel="0" collapsed="false">
      <c r="A47" s="38"/>
      <c r="B47" s="28"/>
      <c r="C47" s="28"/>
      <c r="D47" s="30"/>
      <c r="E47" s="30"/>
      <c r="F47" s="31"/>
      <c r="G47" s="28"/>
      <c r="H47" s="39"/>
      <c r="I47" s="39"/>
      <c r="J47" s="40"/>
    </row>
    <row r="48" customFormat="false" ht="12.75" hidden="false" customHeight="true" outlineLevel="0" collapsed="false">
      <c r="A48" s="38"/>
      <c r="B48" s="28"/>
      <c r="C48" s="28"/>
      <c r="D48" s="30"/>
      <c r="E48" s="30"/>
      <c r="F48" s="31"/>
      <c r="G48" s="28"/>
      <c r="H48" s="39"/>
      <c r="I48" s="39"/>
      <c r="J48" s="40"/>
    </row>
    <row r="49" customFormat="false" ht="12.75" hidden="false" customHeight="true" outlineLevel="0" collapsed="false">
      <c r="A49" s="38"/>
      <c r="B49" s="28"/>
      <c r="C49" s="28"/>
      <c r="D49" s="30"/>
      <c r="E49" s="30"/>
      <c r="F49" s="31"/>
      <c r="G49" s="28"/>
      <c r="H49" s="39"/>
      <c r="I49" s="39"/>
      <c r="J49" s="40"/>
    </row>
    <row r="50" customFormat="false" ht="12.75" hidden="false" customHeight="true" outlineLevel="0" collapsed="false">
      <c r="A50" s="38"/>
      <c r="B50" s="28"/>
      <c r="C50" s="28"/>
      <c r="D50" s="30"/>
      <c r="E50" s="30"/>
      <c r="F50" s="31"/>
      <c r="G50" s="28"/>
      <c r="H50" s="39"/>
      <c r="I50" s="39"/>
      <c r="J50" s="40"/>
    </row>
    <row r="51" customFormat="false" ht="12.75" hidden="false" customHeight="true" outlineLevel="0" collapsed="false">
      <c r="A51" s="38"/>
      <c r="B51" s="28"/>
      <c r="C51" s="28"/>
      <c r="D51" s="30"/>
      <c r="E51" s="30"/>
      <c r="F51" s="31"/>
      <c r="G51" s="28"/>
      <c r="H51" s="39"/>
      <c r="I51" s="39"/>
      <c r="J51" s="40"/>
    </row>
    <row r="52" customFormat="false" ht="12.75" hidden="false" customHeight="true" outlineLevel="0" collapsed="false">
      <c r="A52" s="38"/>
      <c r="B52" s="28"/>
      <c r="C52" s="28"/>
      <c r="D52" s="30"/>
      <c r="E52" s="30"/>
      <c r="F52" s="31"/>
      <c r="G52" s="28"/>
      <c r="H52" s="39"/>
      <c r="I52" s="39"/>
      <c r="J52" s="40"/>
    </row>
    <row r="53" customFormat="false" ht="12.75" hidden="false" customHeight="true" outlineLevel="0" collapsed="false">
      <c r="A53" s="38"/>
      <c r="B53" s="28"/>
      <c r="C53" s="28"/>
      <c r="D53" s="30"/>
      <c r="E53" s="30"/>
      <c r="F53" s="31"/>
      <c r="G53" s="28"/>
      <c r="H53" s="39"/>
      <c r="I53" s="39"/>
      <c r="J53" s="40"/>
    </row>
    <row r="54" customFormat="false" ht="12.75" hidden="false" customHeight="true" outlineLevel="0" collapsed="false">
      <c r="A54" s="38"/>
      <c r="B54" s="28"/>
      <c r="C54" s="28"/>
      <c r="D54" s="30"/>
      <c r="E54" s="30"/>
      <c r="F54" s="31"/>
      <c r="G54" s="28"/>
      <c r="H54" s="39"/>
      <c r="I54" s="39"/>
      <c r="J54" s="40"/>
    </row>
  </sheetData>
  <sheetProtection sheet="true" objects="true" scenarios="true" insertColumns="false" insertRows="false" deleteColumns="false" deleteRows="false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2026-06-30T07:36:12Z</dcterms:created>
  <dc:creator>openpyxl</dc:creator>
  <dc:description/>
  <dc:language>en-US</dc:language>
  <cp:lastModifiedBy/>
  <dcterms:modified xsi:type="dcterms:W3CDTF">2026-06-30T07:39:07Z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